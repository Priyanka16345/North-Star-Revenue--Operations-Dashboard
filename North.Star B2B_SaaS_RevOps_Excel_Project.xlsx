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queryTables/queryTable1.xml" ContentType="application/vnd.openxmlformats-officedocument.spreadsheetml.queryTable+xml"/>
  <Override PartName="/xl/tables/table4.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hidePivotFieldList="1"/>
  <mc:AlternateContent xmlns:mc="http://schemas.openxmlformats.org/markup-compatibility/2006">
    <mc:Choice Requires="x15">
      <x15ac:absPath xmlns:x15ac="http://schemas.microsoft.com/office/spreadsheetml/2010/11/ac" url="/Users/priyankadas/Downloads/"/>
    </mc:Choice>
  </mc:AlternateContent>
  <xr:revisionPtr revIDLastSave="0" documentId="8_{DC9A9F19-E576-354E-B6A4-D5C0C2877832}" xr6:coauthVersionLast="47" xr6:coauthVersionMax="47" xr10:uidLastSave="{00000000-0000-0000-0000-000000000000}"/>
  <bookViews>
    <workbookView xWindow="0" yWindow="0" windowWidth="28800" windowHeight="18000" activeTab="6" xr2:uid="{00000000-000D-0000-FFFF-FFFF00000000}"/>
  </bookViews>
  <sheets>
    <sheet name="Deals_Raw" sheetId="1" r:id="rId1"/>
    <sheet name="Rep_Targets" sheetId="2" r:id="rId2"/>
    <sheet name="Clean_Deals" sheetId="4" r:id="rId3"/>
    <sheet name="Cleaned_Rep_Targets" sheetId="6" r:id="rId4"/>
    <sheet name="Executive KPI" sheetId="7" r:id="rId5"/>
    <sheet name="Reports" sheetId="9" r:id="rId6"/>
    <sheet name="Dashboard" sheetId="16" r:id="rId7"/>
  </sheets>
  <definedNames>
    <definedName name="ExternalData_1" localSheetId="2" hidden="1">Clean_Deals!$A$1:$S$1201</definedName>
    <definedName name="ExternalData_2" localSheetId="3" hidden="1">Cleaned_Rep_Targets!$A$1:$C$145</definedName>
    <definedName name="Slicer_Product">#N/A</definedName>
    <definedName name="Slicer_Region">#N/A</definedName>
    <definedName name="Slicer_Sales_Rep">#N/A</definedName>
    <definedName name="Slicer_Stage">#N/A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7" i="7" l="1" a="1"/>
  <c r="G37" i="7" s="1"/>
  <c r="B10" i="7" a="1"/>
  <c r="B10" i="7" s="1"/>
  <c r="T2" i="4"/>
  <c r="T3" i="4"/>
  <c r="T4" i="4"/>
  <c r="T5" i="4"/>
  <c r="T6" i="4"/>
  <c r="T7" i="4"/>
  <c r="T8" i="4"/>
  <c r="T9" i="4"/>
  <c r="T10" i="4"/>
  <c r="T11" i="4"/>
  <c r="T12" i="4"/>
  <c r="T13" i="4"/>
  <c r="T14" i="4"/>
  <c r="T15" i="4"/>
  <c r="T16" i="4"/>
  <c r="T17" i="4"/>
  <c r="T18" i="4"/>
  <c r="T19" i="4"/>
  <c r="T20" i="4"/>
  <c r="T21" i="4"/>
  <c r="T22" i="4"/>
  <c r="T23" i="4"/>
  <c r="T24" i="4"/>
  <c r="T25" i="4"/>
  <c r="T26" i="4"/>
  <c r="T27" i="4"/>
  <c r="T28" i="4"/>
  <c r="T29" i="4"/>
  <c r="T30" i="4"/>
  <c r="T31" i="4"/>
  <c r="T32" i="4"/>
  <c r="T33" i="4"/>
  <c r="T34" i="4"/>
  <c r="T35" i="4"/>
  <c r="T36" i="4"/>
  <c r="T37" i="4"/>
  <c r="T38" i="4"/>
  <c r="T39" i="4"/>
  <c r="T40" i="4"/>
  <c r="T41" i="4"/>
  <c r="T42" i="4"/>
  <c r="T43" i="4"/>
  <c r="T44" i="4"/>
  <c r="T45" i="4"/>
  <c r="T46" i="4"/>
  <c r="T47" i="4"/>
  <c r="T48" i="4"/>
  <c r="T49" i="4"/>
  <c r="T50" i="4"/>
  <c r="T51" i="4"/>
  <c r="T52" i="4"/>
  <c r="T53" i="4"/>
  <c r="T54" i="4"/>
  <c r="T55" i="4"/>
  <c r="T56" i="4"/>
  <c r="T57" i="4"/>
  <c r="T58" i="4"/>
  <c r="T59" i="4"/>
  <c r="T60" i="4"/>
  <c r="T61" i="4"/>
  <c r="T62" i="4"/>
  <c r="T63" i="4"/>
  <c r="T64" i="4"/>
  <c r="T65" i="4"/>
  <c r="T66" i="4"/>
  <c r="T67" i="4"/>
  <c r="T68" i="4"/>
  <c r="T69" i="4"/>
  <c r="T70" i="4"/>
  <c r="T71" i="4"/>
  <c r="T72" i="4"/>
  <c r="T73" i="4"/>
  <c r="T74" i="4"/>
  <c r="T75" i="4"/>
  <c r="T76" i="4"/>
  <c r="T77" i="4"/>
  <c r="T78" i="4"/>
  <c r="T79" i="4"/>
  <c r="T80" i="4"/>
  <c r="T81" i="4"/>
  <c r="T82" i="4"/>
  <c r="T83" i="4"/>
  <c r="T84" i="4"/>
  <c r="T85" i="4"/>
  <c r="T86" i="4"/>
  <c r="T87" i="4"/>
  <c r="T88" i="4"/>
  <c r="T89" i="4"/>
  <c r="T90" i="4"/>
  <c r="T91" i="4"/>
  <c r="T92" i="4"/>
  <c r="T93" i="4"/>
  <c r="T94" i="4"/>
  <c r="T95" i="4"/>
  <c r="T96" i="4"/>
  <c r="T97" i="4"/>
  <c r="T98" i="4"/>
  <c r="T99" i="4"/>
  <c r="T100" i="4"/>
  <c r="T101" i="4"/>
  <c r="T102" i="4"/>
  <c r="T103" i="4"/>
  <c r="T104" i="4"/>
  <c r="T105" i="4"/>
  <c r="T106" i="4"/>
  <c r="T107" i="4"/>
  <c r="T108" i="4"/>
  <c r="T109" i="4"/>
  <c r="T110" i="4"/>
  <c r="T111" i="4"/>
  <c r="T112" i="4"/>
  <c r="T113" i="4"/>
  <c r="T114" i="4"/>
  <c r="T115" i="4"/>
  <c r="T116" i="4"/>
  <c r="T117" i="4"/>
  <c r="T118" i="4"/>
  <c r="T119" i="4"/>
  <c r="T120" i="4"/>
  <c r="T121" i="4"/>
  <c r="T122" i="4"/>
  <c r="T123" i="4"/>
  <c r="T124" i="4"/>
  <c r="T125" i="4"/>
  <c r="T126" i="4"/>
  <c r="T127" i="4"/>
  <c r="T128" i="4"/>
  <c r="T129" i="4"/>
  <c r="T130" i="4"/>
  <c r="T131" i="4"/>
  <c r="T132" i="4"/>
  <c r="T133" i="4"/>
  <c r="T134" i="4"/>
  <c r="T135" i="4"/>
  <c r="T136" i="4"/>
  <c r="T137" i="4"/>
  <c r="T138" i="4"/>
  <c r="T139" i="4"/>
  <c r="T140" i="4"/>
  <c r="T141" i="4"/>
  <c r="T142" i="4"/>
  <c r="T143" i="4"/>
  <c r="T144" i="4"/>
  <c r="T145" i="4"/>
  <c r="T146" i="4"/>
  <c r="T147" i="4"/>
  <c r="T148" i="4"/>
  <c r="T149" i="4"/>
  <c r="T150" i="4"/>
  <c r="T151" i="4"/>
  <c r="T152" i="4"/>
  <c r="T153" i="4"/>
  <c r="T154" i="4"/>
  <c r="T155" i="4"/>
  <c r="T156" i="4"/>
  <c r="T157" i="4"/>
  <c r="T158" i="4"/>
  <c r="T159" i="4"/>
  <c r="T160" i="4"/>
  <c r="T161" i="4"/>
  <c r="T162" i="4"/>
  <c r="T163" i="4"/>
  <c r="T164" i="4"/>
  <c r="T165" i="4"/>
  <c r="T166" i="4"/>
  <c r="T167" i="4"/>
  <c r="T168" i="4"/>
  <c r="T169" i="4"/>
  <c r="T170" i="4"/>
  <c r="T171" i="4"/>
  <c r="T172" i="4"/>
  <c r="T173" i="4"/>
  <c r="T174" i="4"/>
  <c r="T175" i="4"/>
  <c r="T176" i="4"/>
  <c r="T177" i="4"/>
  <c r="T178" i="4"/>
  <c r="T179" i="4"/>
  <c r="T180" i="4"/>
  <c r="T181" i="4"/>
  <c r="T182" i="4"/>
  <c r="T183" i="4"/>
  <c r="T184" i="4"/>
  <c r="T185" i="4"/>
  <c r="T186" i="4"/>
  <c r="T187" i="4"/>
  <c r="T188" i="4"/>
  <c r="T189" i="4"/>
  <c r="T190" i="4"/>
  <c r="T191" i="4"/>
  <c r="T192" i="4"/>
  <c r="T193" i="4"/>
  <c r="T194" i="4"/>
  <c r="T195" i="4"/>
  <c r="T196" i="4"/>
  <c r="T197" i="4"/>
  <c r="T198" i="4"/>
  <c r="T199" i="4"/>
  <c r="T200" i="4"/>
  <c r="T201" i="4"/>
  <c r="T202" i="4"/>
  <c r="T203" i="4"/>
  <c r="T204" i="4"/>
  <c r="T205" i="4"/>
  <c r="T206" i="4"/>
  <c r="T207" i="4"/>
  <c r="T208" i="4"/>
  <c r="T209" i="4"/>
  <c r="T210" i="4"/>
  <c r="T211" i="4"/>
  <c r="T212" i="4"/>
  <c r="T213" i="4"/>
  <c r="T214" i="4"/>
  <c r="T215" i="4"/>
  <c r="T216" i="4"/>
  <c r="T217" i="4"/>
  <c r="T218" i="4"/>
  <c r="T219" i="4"/>
  <c r="T220" i="4"/>
  <c r="T221" i="4"/>
  <c r="T222" i="4"/>
  <c r="T223" i="4"/>
  <c r="T224" i="4"/>
  <c r="T225" i="4"/>
  <c r="T226" i="4"/>
  <c r="T227" i="4"/>
  <c r="T228" i="4"/>
  <c r="T229" i="4"/>
  <c r="T230" i="4"/>
  <c r="T231" i="4"/>
  <c r="T232" i="4"/>
  <c r="T233" i="4"/>
  <c r="T234" i="4"/>
  <c r="T235" i="4"/>
  <c r="T236" i="4"/>
  <c r="T237" i="4"/>
  <c r="T238" i="4"/>
  <c r="T239" i="4"/>
  <c r="T240" i="4"/>
  <c r="T241" i="4"/>
  <c r="T242" i="4"/>
  <c r="T243" i="4"/>
  <c r="T244" i="4"/>
  <c r="T245" i="4"/>
  <c r="T246" i="4"/>
  <c r="T247" i="4"/>
  <c r="T248" i="4"/>
  <c r="T249" i="4"/>
  <c r="T250" i="4"/>
  <c r="T251" i="4"/>
  <c r="T252" i="4"/>
  <c r="T253" i="4"/>
  <c r="T254" i="4"/>
  <c r="T255" i="4"/>
  <c r="T256" i="4"/>
  <c r="T257" i="4"/>
  <c r="T258" i="4"/>
  <c r="T259" i="4"/>
  <c r="T260" i="4"/>
  <c r="T261" i="4"/>
  <c r="T262" i="4"/>
  <c r="T263" i="4"/>
  <c r="T264" i="4"/>
  <c r="T265" i="4"/>
  <c r="T266" i="4"/>
  <c r="T267" i="4"/>
  <c r="T268" i="4"/>
  <c r="T269" i="4"/>
  <c r="T270" i="4"/>
  <c r="T271" i="4"/>
  <c r="T272" i="4"/>
  <c r="T273" i="4"/>
  <c r="T274" i="4"/>
  <c r="T275" i="4"/>
  <c r="T276" i="4"/>
  <c r="T277" i="4"/>
  <c r="T278" i="4"/>
  <c r="T279" i="4"/>
  <c r="T280" i="4"/>
  <c r="T281" i="4"/>
  <c r="T282" i="4"/>
  <c r="T283" i="4"/>
  <c r="T284" i="4"/>
  <c r="T285" i="4"/>
  <c r="T286" i="4"/>
  <c r="T287" i="4"/>
  <c r="T288" i="4"/>
  <c r="T289" i="4"/>
  <c r="T290" i="4"/>
  <c r="T291" i="4"/>
  <c r="T292" i="4"/>
  <c r="T293" i="4"/>
  <c r="T294" i="4"/>
  <c r="T295" i="4"/>
  <c r="T296" i="4"/>
  <c r="T297" i="4"/>
  <c r="T298" i="4"/>
  <c r="T299" i="4"/>
  <c r="T300" i="4"/>
  <c r="T301" i="4"/>
  <c r="T302" i="4"/>
  <c r="T303" i="4"/>
  <c r="T304" i="4"/>
  <c r="T305" i="4"/>
  <c r="T306" i="4"/>
  <c r="T307" i="4"/>
  <c r="T308" i="4"/>
  <c r="T309" i="4"/>
  <c r="T310" i="4"/>
  <c r="T311" i="4"/>
  <c r="T312" i="4"/>
  <c r="T313" i="4"/>
  <c r="T314" i="4"/>
  <c r="T315" i="4"/>
  <c r="T316" i="4"/>
  <c r="T317" i="4"/>
  <c r="T318" i="4"/>
  <c r="T319" i="4"/>
  <c r="T320" i="4"/>
  <c r="T321" i="4"/>
  <c r="T322" i="4"/>
  <c r="T323" i="4"/>
  <c r="T324" i="4"/>
  <c r="T325" i="4"/>
  <c r="T326" i="4"/>
  <c r="T327" i="4"/>
  <c r="T328" i="4"/>
  <c r="T329" i="4"/>
  <c r="T330" i="4"/>
  <c r="T331" i="4"/>
  <c r="T332" i="4"/>
  <c r="T333" i="4"/>
  <c r="T334" i="4"/>
  <c r="T335" i="4"/>
  <c r="T336" i="4"/>
  <c r="T337" i="4"/>
  <c r="T338" i="4"/>
  <c r="T339" i="4"/>
  <c r="T340" i="4"/>
  <c r="T341" i="4"/>
  <c r="T342" i="4"/>
  <c r="T343" i="4"/>
  <c r="T344" i="4"/>
  <c r="T345" i="4"/>
  <c r="T346" i="4"/>
  <c r="T347" i="4"/>
  <c r="T348" i="4"/>
  <c r="T349" i="4"/>
  <c r="T350" i="4"/>
  <c r="T351" i="4"/>
  <c r="T352" i="4"/>
  <c r="T353" i="4"/>
  <c r="T354" i="4"/>
  <c r="T355" i="4"/>
  <c r="T356" i="4"/>
  <c r="T357" i="4"/>
  <c r="T358" i="4"/>
  <c r="T359" i="4"/>
  <c r="T360" i="4"/>
  <c r="T361" i="4"/>
  <c r="T362" i="4"/>
  <c r="T363" i="4"/>
  <c r="T364" i="4"/>
  <c r="T365" i="4"/>
  <c r="T366" i="4"/>
  <c r="T367" i="4"/>
  <c r="T368" i="4"/>
  <c r="T369" i="4"/>
  <c r="T370" i="4"/>
  <c r="T371" i="4"/>
  <c r="T372" i="4"/>
  <c r="T373" i="4"/>
  <c r="T374" i="4"/>
  <c r="T375" i="4"/>
  <c r="T376" i="4"/>
  <c r="T377" i="4"/>
  <c r="T378" i="4"/>
  <c r="T379" i="4"/>
  <c r="T380" i="4"/>
  <c r="T381" i="4"/>
  <c r="T382" i="4"/>
  <c r="T383" i="4"/>
  <c r="T384" i="4"/>
  <c r="T385" i="4"/>
  <c r="T386" i="4"/>
  <c r="T387" i="4"/>
  <c r="T388" i="4"/>
  <c r="T389" i="4"/>
  <c r="T390" i="4"/>
  <c r="T391" i="4"/>
  <c r="T392" i="4"/>
  <c r="T393" i="4"/>
  <c r="T394" i="4"/>
  <c r="T395" i="4"/>
  <c r="T396" i="4"/>
  <c r="T397" i="4"/>
  <c r="T398" i="4"/>
  <c r="T399" i="4"/>
  <c r="T400" i="4"/>
  <c r="T401" i="4"/>
  <c r="T402" i="4"/>
  <c r="T403" i="4"/>
  <c r="T404" i="4"/>
  <c r="T405" i="4"/>
  <c r="T406" i="4"/>
  <c r="T407" i="4"/>
  <c r="T408" i="4"/>
  <c r="T409" i="4"/>
  <c r="T410" i="4"/>
  <c r="T411" i="4"/>
  <c r="T412" i="4"/>
  <c r="T413" i="4"/>
  <c r="T414" i="4"/>
  <c r="T415" i="4"/>
  <c r="T416" i="4"/>
  <c r="T417" i="4"/>
  <c r="T418" i="4"/>
  <c r="T419" i="4"/>
  <c r="T420" i="4"/>
  <c r="T421" i="4"/>
  <c r="T422" i="4"/>
  <c r="T423" i="4"/>
  <c r="T424" i="4"/>
  <c r="T425" i="4"/>
  <c r="T426" i="4"/>
  <c r="T427" i="4"/>
  <c r="T428" i="4"/>
  <c r="T429" i="4"/>
  <c r="T430" i="4"/>
  <c r="T431" i="4"/>
  <c r="T432" i="4"/>
  <c r="T433" i="4"/>
  <c r="T434" i="4"/>
  <c r="T435" i="4"/>
  <c r="T436" i="4"/>
  <c r="T437" i="4"/>
  <c r="T438" i="4"/>
  <c r="T439" i="4"/>
  <c r="T440" i="4"/>
  <c r="T441" i="4"/>
  <c r="T442" i="4"/>
  <c r="T443" i="4"/>
  <c r="T444" i="4"/>
  <c r="T445" i="4"/>
  <c r="T446" i="4"/>
  <c r="T447" i="4"/>
  <c r="T448" i="4"/>
  <c r="T449" i="4"/>
  <c r="T450" i="4"/>
  <c r="T451" i="4"/>
  <c r="T452" i="4"/>
  <c r="T453" i="4"/>
  <c r="T454" i="4"/>
  <c r="T455" i="4"/>
  <c r="T456" i="4"/>
  <c r="T457" i="4"/>
  <c r="T458" i="4"/>
  <c r="T459" i="4"/>
  <c r="T460" i="4"/>
  <c r="T461" i="4"/>
  <c r="T462" i="4"/>
  <c r="T463" i="4"/>
  <c r="T464" i="4"/>
  <c r="T465" i="4"/>
  <c r="T466" i="4"/>
  <c r="T467" i="4"/>
  <c r="T468" i="4"/>
  <c r="T469" i="4"/>
  <c r="T470" i="4"/>
  <c r="T471" i="4"/>
  <c r="T472" i="4"/>
  <c r="T473" i="4"/>
  <c r="T474" i="4"/>
  <c r="T475" i="4"/>
  <c r="T476" i="4"/>
  <c r="T477" i="4"/>
  <c r="T478" i="4"/>
  <c r="T479" i="4"/>
  <c r="T480" i="4"/>
  <c r="T481" i="4"/>
  <c r="T482" i="4"/>
  <c r="T483" i="4"/>
  <c r="T484" i="4"/>
  <c r="T485" i="4"/>
  <c r="T486" i="4"/>
  <c r="T487" i="4"/>
  <c r="T488" i="4"/>
  <c r="T489" i="4"/>
  <c r="T490" i="4"/>
  <c r="T491" i="4"/>
  <c r="T492" i="4"/>
  <c r="T493" i="4"/>
  <c r="T494" i="4"/>
  <c r="T495" i="4"/>
  <c r="T496" i="4"/>
  <c r="T497" i="4"/>
  <c r="T498" i="4"/>
  <c r="T499" i="4"/>
  <c r="T500" i="4"/>
  <c r="T501" i="4"/>
  <c r="T502" i="4"/>
  <c r="T503" i="4"/>
  <c r="T504" i="4"/>
  <c r="T505" i="4"/>
  <c r="T506" i="4"/>
  <c r="T507" i="4"/>
  <c r="T508" i="4"/>
  <c r="T509" i="4"/>
  <c r="T510" i="4"/>
  <c r="T511" i="4"/>
  <c r="T512" i="4"/>
  <c r="T513" i="4"/>
  <c r="T514" i="4"/>
  <c r="T515" i="4"/>
  <c r="T516" i="4"/>
  <c r="T517" i="4"/>
  <c r="T518" i="4"/>
  <c r="T519" i="4"/>
  <c r="T520" i="4"/>
  <c r="T521" i="4"/>
  <c r="T522" i="4"/>
  <c r="T523" i="4"/>
  <c r="T524" i="4"/>
  <c r="T525" i="4"/>
  <c r="T526" i="4"/>
  <c r="T527" i="4"/>
  <c r="T528" i="4"/>
  <c r="T529" i="4"/>
  <c r="T530" i="4"/>
  <c r="T531" i="4"/>
  <c r="T532" i="4"/>
  <c r="T533" i="4"/>
  <c r="T534" i="4"/>
  <c r="T535" i="4"/>
  <c r="T536" i="4"/>
  <c r="T537" i="4"/>
  <c r="T538" i="4"/>
  <c r="T539" i="4"/>
  <c r="T540" i="4"/>
  <c r="T541" i="4"/>
  <c r="T542" i="4"/>
  <c r="T543" i="4"/>
  <c r="T544" i="4"/>
  <c r="T545" i="4"/>
  <c r="T546" i="4"/>
  <c r="T547" i="4"/>
  <c r="T548" i="4"/>
  <c r="T549" i="4"/>
  <c r="T550" i="4"/>
  <c r="T551" i="4"/>
  <c r="T552" i="4"/>
  <c r="T553" i="4"/>
  <c r="T554" i="4"/>
  <c r="T555" i="4"/>
  <c r="T556" i="4"/>
  <c r="T557" i="4"/>
  <c r="T558" i="4"/>
  <c r="T559" i="4"/>
  <c r="T560" i="4"/>
  <c r="T561" i="4"/>
  <c r="T562" i="4"/>
  <c r="T563" i="4"/>
  <c r="T564" i="4"/>
  <c r="T565" i="4"/>
  <c r="T566" i="4"/>
  <c r="T567" i="4"/>
  <c r="T568" i="4"/>
  <c r="T569" i="4"/>
  <c r="T570" i="4"/>
  <c r="T571" i="4"/>
  <c r="T572" i="4"/>
  <c r="T573" i="4"/>
  <c r="T574" i="4"/>
  <c r="T575" i="4"/>
  <c r="T576" i="4"/>
  <c r="T577" i="4"/>
  <c r="T578" i="4"/>
  <c r="T579" i="4"/>
  <c r="T580" i="4"/>
  <c r="T581" i="4"/>
  <c r="T582" i="4"/>
  <c r="T583" i="4"/>
  <c r="T584" i="4"/>
  <c r="T585" i="4"/>
  <c r="T586" i="4"/>
  <c r="T587" i="4"/>
  <c r="T588" i="4"/>
  <c r="T589" i="4"/>
  <c r="T590" i="4"/>
  <c r="T591" i="4"/>
  <c r="T592" i="4"/>
  <c r="T593" i="4"/>
  <c r="T594" i="4"/>
  <c r="T595" i="4"/>
  <c r="T596" i="4"/>
  <c r="T597" i="4"/>
  <c r="T598" i="4"/>
  <c r="T599" i="4"/>
  <c r="T600" i="4"/>
  <c r="T601" i="4"/>
  <c r="T602" i="4"/>
  <c r="T603" i="4"/>
  <c r="T604" i="4"/>
  <c r="T605" i="4"/>
  <c r="T606" i="4"/>
  <c r="T607" i="4"/>
  <c r="T608" i="4"/>
  <c r="T609" i="4"/>
  <c r="T610" i="4"/>
  <c r="T611" i="4"/>
  <c r="T612" i="4"/>
  <c r="T613" i="4"/>
  <c r="T614" i="4"/>
  <c r="T615" i="4"/>
  <c r="T616" i="4"/>
  <c r="T617" i="4"/>
  <c r="T618" i="4"/>
  <c r="T619" i="4"/>
  <c r="T620" i="4"/>
  <c r="T621" i="4"/>
  <c r="T622" i="4"/>
  <c r="T623" i="4"/>
  <c r="T624" i="4"/>
  <c r="T625" i="4"/>
  <c r="T626" i="4"/>
  <c r="T627" i="4"/>
  <c r="T628" i="4"/>
  <c r="T629" i="4"/>
  <c r="T630" i="4"/>
  <c r="T631" i="4"/>
  <c r="T632" i="4"/>
  <c r="T633" i="4"/>
  <c r="T634" i="4"/>
  <c r="T635" i="4"/>
  <c r="T636" i="4"/>
  <c r="T637" i="4"/>
  <c r="T638" i="4"/>
  <c r="T639" i="4"/>
  <c r="T640" i="4"/>
  <c r="T641" i="4"/>
  <c r="T642" i="4"/>
  <c r="T643" i="4"/>
  <c r="T644" i="4"/>
  <c r="T645" i="4"/>
  <c r="T646" i="4"/>
  <c r="T647" i="4"/>
  <c r="T648" i="4"/>
  <c r="T649" i="4"/>
  <c r="T650" i="4"/>
  <c r="T651" i="4"/>
  <c r="T652" i="4"/>
  <c r="T653" i="4"/>
  <c r="T654" i="4"/>
  <c r="T655" i="4"/>
  <c r="T656" i="4"/>
  <c r="T657" i="4"/>
  <c r="T658" i="4"/>
  <c r="T659" i="4"/>
  <c r="T660" i="4"/>
  <c r="T661" i="4"/>
  <c r="T662" i="4"/>
  <c r="T663" i="4"/>
  <c r="T664" i="4"/>
  <c r="T665" i="4"/>
  <c r="T666" i="4"/>
  <c r="T667" i="4"/>
  <c r="T668" i="4"/>
  <c r="T669" i="4"/>
  <c r="T670" i="4"/>
  <c r="T671" i="4"/>
  <c r="T672" i="4"/>
  <c r="T673" i="4"/>
  <c r="T674" i="4"/>
  <c r="T675" i="4"/>
  <c r="T676" i="4"/>
  <c r="T677" i="4"/>
  <c r="T678" i="4"/>
  <c r="T679" i="4"/>
  <c r="T680" i="4"/>
  <c r="T681" i="4"/>
  <c r="T682" i="4"/>
  <c r="T683" i="4"/>
  <c r="T684" i="4"/>
  <c r="T685" i="4"/>
  <c r="T686" i="4"/>
  <c r="T687" i="4"/>
  <c r="T688" i="4"/>
  <c r="T689" i="4"/>
  <c r="T690" i="4"/>
  <c r="T691" i="4"/>
  <c r="T692" i="4"/>
  <c r="T693" i="4"/>
  <c r="T694" i="4"/>
  <c r="T695" i="4"/>
  <c r="T696" i="4"/>
  <c r="T697" i="4"/>
  <c r="T698" i="4"/>
  <c r="T699" i="4"/>
  <c r="T700" i="4"/>
  <c r="T701" i="4"/>
  <c r="T702" i="4"/>
  <c r="T703" i="4"/>
  <c r="T704" i="4"/>
  <c r="T705" i="4"/>
  <c r="T706" i="4"/>
  <c r="T707" i="4"/>
  <c r="T708" i="4"/>
  <c r="T709" i="4"/>
  <c r="T710" i="4"/>
  <c r="T711" i="4"/>
  <c r="T712" i="4"/>
  <c r="T713" i="4"/>
  <c r="T714" i="4"/>
  <c r="T715" i="4"/>
  <c r="T716" i="4"/>
  <c r="T717" i="4"/>
  <c r="T718" i="4"/>
  <c r="T719" i="4"/>
  <c r="T720" i="4"/>
  <c r="T721" i="4"/>
  <c r="T722" i="4"/>
  <c r="T723" i="4"/>
  <c r="T724" i="4"/>
  <c r="T725" i="4"/>
  <c r="T726" i="4"/>
  <c r="T727" i="4"/>
  <c r="T728" i="4"/>
  <c r="T729" i="4"/>
  <c r="T730" i="4"/>
  <c r="T731" i="4"/>
  <c r="T732" i="4"/>
  <c r="T733" i="4"/>
  <c r="T734" i="4"/>
  <c r="T735" i="4"/>
  <c r="T736" i="4"/>
  <c r="T737" i="4"/>
  <c r="T738" i="4"/>
  <c r="T739" i="4"/>
  <c r="T740" i="4"/>
  <c r="T741" i="4"/>
  <c r="T742" i="4"/>
  <c r="T743" i="4"/>
  <c r="T744" i="4"/>
  <c r="T745" i="4"/>
  <c r="T746" i="4"/>
  <c r="T747" i="4"/>
  <c r="T748" i="4"/>
  <c r="T749" i="4"/>
  <c r="T750" i="4"/>
  <c r="T751" i="4"/>
  <c r="T752" i="4"/>
  <c r="T753" i="4"/>
  <c r="T754" i="4"/>
  <c r="T755" i="4"/>
  <c r="T756" i="4"/>
  <c r="T757" i="4"/>
  <c r="T758" i="4"/>
  <c r="T759" i="4"/>
  <c r="T760" i="4"/>
  <c r="T761" i="4"/>
  <c r="T762" i="4"/>
  <c r="T763" i="4"/>
  <c r="T764" i="4"/>
  <c r="T765" i="4"/>
  <c r="T766" i="4"/>
  <c r="T767" i="4"/>
  <c r="T768" i="4"/>
  <c r="T769" i="4"/>
  <c r="T770" i="4"/>
  <c r="T771" i="4"/>
  <c r="T772" i="4"/>
  <c r="T773" i="4"/>
  <c r="T774" i="4"/>
  <c r="T775" i="4"/>
  <c r="T776" i="4"/>
  <c r="T777" i="4"/>
  <c r="T778" i="4"/>
  <c r="T779" i="4"/>
  <c r="T780" i="4"/>
  <c r="T781" i="4"/>
  <c r="T782" i="4"/>
  <c r="T783" i="4"/>
  <c r="T784" i="4"/>
  <c r="T785" i="4"/>
  <c r="T786" i="4"/>
  <c r="T787" i="4"/>
  <c r="T788" i="4"/>
  <c r="T789" i="4"/>
  <c r="T790" i="4"/>
  <c r="T791" i="4"/>
  <c r="T792" i="4"/>
  <c r="T793" i="4"/>
  <c r="T794" i="4"/>
  <c r="T795" i="4"/>
  <c r="T796" i="4"/>
  <c r="T797" i="4"/>
  <c r="T798" i="4"/>
  <c r="T799" i="4"/>
  <c r="T800" i="4"/>
  <c r="T801" i="4"/>
  <c r="T802" i="4"/>
  <c r="T803" i="4"/>
  <c r="T804" i="4"/>
  <c r="T805" i="4"/>
  <c r="T806" i="4"/>
  <c r="T807" i="4"/>
  <c r="T808" i="4"/>
  <c r="T809" i="4"/>
  <c r="T810" i="4"/>
  <c r="T811" i="4"/>
  <c r="T812" i="4"/>
  <c r="T813" i="4"/>
  <c r="T814" i="4"/>
  <c r="T815" i="4"/>
  <c r="T816" i="4"/>
  <c r="T817" i="4"/>
  <c r="T818" i="4"/>
  <c r="T819" i="4"/>
  <c r="T820" i="4"/>
  <c r="T821" i="4"/>
  <c r="T822" i="4"/>
  <c r="T823" i="4"/>
  <c r="T824" i="4"/>
  <c r="T825" i="4"/>
  <c r="T826" i="4"/>
  <c r="T827" i="4"/>
  <c r="T828" i="4"/>
  <c r="T829" i="4"/>
  <c r="T830" i="4"/>
  <c r="T831" i="4"/>
  <c r="T832" i="4"/>
  <c r="T833" i="4"/>
  <c r="T834" i="4"/>
  <c r="T835" i="4"/>
  <c r="T836" i="4"/>
  <c r="T837" i="4"/>
  <c r="T838" i="4"/>
  <c r="T839" i="4"/>
  <c r="T840" i="4"/>
  <c r="T841" i="4"/>
  <c r="T842" i="4"/>
  <c r="T843" i="4"/>
  <c r="T844" i="4"/>
  <c r="T845" i="4"/>
  <c r="T846" i="4"/>
  <c r="T847" i="4"/>
  <c r="T848" i="4"/>
  <c r="T849" i="4"/>
  <c r="T850" i="4"/>
  <c r="T851" i="4"/>
  <c r="T852" i="4"/>
  <c r="T853" i="4"/>
  <c r="T854" i="4"/>
  <c r="T855" i="4"/>
  <c r="T856" i="4"/>
  <c r="T857" i="4"/>
  <c r="T858" i="4"/>
  <c r="T859" i="4"/>
  <c r="T860" i="4"/>
  <c r="T861" i="4"/>
  <c r="T862" i="4"/>
  <c r="T863" i="4"/>
  <c r="T864" i="4"/>
  <c r="T865" i="4"/>
  <c r="T866" i="4"/>
  <c r="T867" i="4"/>
  <c r="T868" i="4"/>
  <c r="T869" i="4"/>
  <c r="T870" i="4"/>
  <c r="T871" i="4"/>
  <c r="T872" i="4"/>
  <c r="T873" i="4"/>
  <c r="T874" i="4"/>
  <c r="T875" i="4"/>
  <c r="T876" i="4"/>
  <c r="T877" i="4"/>
  <c r="T878" i="4"/>
  <c r="T879" i="4"/>
  <c r="T880" i="4"/>
  <c r="T881" i="4"/>
  <c r="T882" i="4"/>
  <c r="T883" i="4"/>
  <c r="T884" i="4"/>
  <c r="T885" i="4"/>
  <c r="T886" i="4"/>
  <c r="T887" i="4"/>
  <c r="T888" i="4"/>
  <c r="T889" i="4"/>
  <c r="T890" i="4"/>
  <c r="T891" i="4"/>
  <c r="T892" i="4"/>
  <c r="T893" i="4"/>
  <c r="T894" i="4"/>
  <c r="T895" i="4"/>
  <c r="T896" i="4"/>
  <c r="T897" i="4"/>
  <c r="T898" i="4"/>
  <c r="T899" i="4"/>
  <c r="T900" i="4"/>
  <c r="T901" i="4"/>
  <c r="T902" i="4"/>
  <c r="T903" i="4"/>
  <c r="T904" i="4"/>
  <c r="T905" i="4"/>
  <c r="T906" i="4"/>
  <c r="T907" i="4"/>
  <c r="T908" i="4"/>
  <c r="T909" i="4"/>
  <c r="T910" i="4"/>
  <c r="T911" i="4"/>
  <c r="T912" i="4"/>
  <c r="T913" i="4"/>
  <c r="T914" i="4"/>
  <c r="T915" i="4"/>
  <c r="T916" i="4"/>
  <c r="T917" i="4"/>
  <c r="T918" i="4"/>
  <c r="T919" i="4"/>
  <c r="T920" i="4"/>
  <c r="T921" i="4"/>
  <c r="T922" i="4"/>
  <c r="T923" i="4"/>
  <c r="T924" i="4"/>
  <c r="T925" i="4"/>
  <c r="T926" i="4"/>
  <c r="T927" i="4"/>
  <c r="T928" i="4"/>
  <c r="T929" i="4"/>
  <c r="T930" i="4"/>
  <c r="T931" i="4"/>
  <c r="T932" i="4"/>
  <c r="T933" i="4"/>
  <c r="T934" i="4"/>
  <c r="T935" i="4"/>
  <c r="T936" i="4"/>
  <c r="T937" i="4"/>
  <c r="T938" i="4"/>
  <c r="T939" i="4"/>
  <c r="T940" i="4"/>
  <c r="T941" i="4"/>
  <c r="T942" i="4"/>
  <c r="T943" i="4"/>
  <c r="T944" i="4"/>
  <c r="T945" i="4"/>
  <c r="T946" i="4"/>
  <c r="T947" i="4"/>
  <c r="T948" i="4"/>
  <c r="T949" i="4"/>
  <c r="T950" i="4"/>
  <c r="T951" i="4"/>
  <c r="T952" i="4"/>
  <c r="T953" i="4"/>
  <c r="T954" i="4"/>
  <c r="T955" i="4"/>
  <c r="T956" i="4"/>
  <c r="T957" i="4"/>
  <c r="T958" i="4"/>
  <c r="T959" i="4"/>
  <c r="T960" i="4"/>
  <c r="T961" i="4"/>
  <c r="T962" i="4"/>
  <c r="T963" i="4"/>
  <c r="T964" i="4"/>
  <c r="T965" i="4"/>
  <c r="T966" i="4"/>
  <c r="T967" i="4"/>
  <c r="T968" i="4"/>
  <c r="T969" i="4"/>
  <c r="T970" i="4"/>
  <c r="T971" i="4"/>
  <c r="T972" i="4"/>
  <c r="T973" i="4"/>
  <c r="T974" i="4"/>
  <c r="T975" i="4"/>
  <c r="T976" i="4"/>
  <c r="T977" i="4"/>
  <c r="T978" i="4"/>
  <c r="T979" i="4"/>
  <c r="T980" i="4"/>
  <c r="T981" i="4"/>
  <c r="T982" i="4"/>
  <c r="T983" i="4"/>
  <c r="T984" i="4"/>
  <c r="T985" i="4"/>
  <c r="T986" i="4"/>
  <c r="T987" i="4"/>
  <c r="T988" i="4"/>
  <c r="T989" i="4"/>
  <c r="T990" i="4"/>
  <c r="T991" i="4"/>
  <c r="T992" i="4"/>
  <c r="T993" i="4"/>
  <c r="T994" i="4"/>
  <c r="T995" i="4"/>
  <c r="T996" i="4"/>
  <c r="T997" i="4"/>
  <c r="T998" i="4"/>
  <c r="T999" i="4"/>
  <c r="T1000" i="4"/>
  <c r="T1001" i="4"/>
  <c r="T1002" i="4"/>
  <c r="T1003" i="4"/>
  <c r="T1004" i="4"/>
  <c r="T1005" i="4"/>
  <c r="T1006" i="4"/>
  <c r="T1007" i="4"/>
  <c r="T1008" i="4"/>
  <c r="T1009" i="4"/>
  <c r="T1010" i="4"/>
  <c r="T1011" i="4"/>
  <c r="T1012" i="4"/>
  <c r="T1013" i="4"/>
  <c r="T1014" i="4"/>
  <c r="T1015" i="4"/>
  <c r="T1016" i="4"/>
  <c r="T1017" i="4"/>
  <c r="T1018" i="4"/>
  <c r="T1019" i="4"/>
  <c r="T1020" i="4"/>
  <c r="T1021" i="4"/>
  <c r="T1022" i="4"/>
  <c r="T1023" i="4"/>
  <c r="T1024" i="4"/>
  <c r="T1025" i="4"/>
  <c r="T1026" i="4"/>
  <c r="T1027" i="4"/>
  <c r="T1028" i="4"/>
  <c r="T1029" i="4"/>
  <c r="T1030" i="4"/>
  <c r="T1031" i="4"/>
  <c r="T1032" i="4"/>
  <c r="T1033" i="4"/>
  <c r="T1034" i="4"/>
  <c r="T1035" i="4"/>
  <c r="T1036" i="4"/>
  <c r="T1037" i="4"/>
  <c r="T1038" i="4"/>
  <c r="T1039" i="4"/>
  <c r="T1040" i="4"/>
  <c r="T1041" i="4"/>
  <c r="T1042" i="4"/>
  <c r="T1043" i="4"/>
  <c r="T1044" i="4"/>
  <c r="T1045" i="4"/>
  <c r="T1046" i="4"/>
  <c r="T1047" i="4"/>
  <c r="T1048" i="4"/>
  <c r="T1049" i="4"/>
  <c r="T1050" i="4"/>
  <c r="T1051" i="4"/>
  <c r="T1052" i="4"/>
  <c r="T1053" i="4"/>
  <c r="T1054" i="4"/>
  <c r="T1055" i="4"/>
  <c r="T1056" i="4"/>
  <c r="T1057" i="4"/>
  <c r="T1058" i="4"/>
  <c r="T1059" i="4"/>
  <c r="T1060" i="4"/>
  <c r="T1061" i="4"/>
  <c r="T1062" i="4"/>
  <c r="T1063" i="4"/>
  <c r="T1064" i="4"/>
  <c r="T1065" i="4"/>
  <c r="T1066" i="4"/>
  <c r="T1067" i="4"/>
  <c r="T1068" i="4"/>
  <c r="T1069" i="4"/>
  <c r="T1070" i="4"/>
  <c r="T1071" i="4"/>
  <c r="T1072" i="4"/>
  <c r="T1073" i="4"/>
  <c r="T1074" i="4"/>
  <c r="T1075" i="4"/>
  <c r="T1076" i="4"/>
  <c r="T1077" i="4"/>
  <c r="T1078" i="4"/>
  <c r="T1079" i="4"/>
  <c r="T1080" i="4"/>
  <c r="T1081" i="4"/>
  <c r="T1082" i="4"/>
  <c r="T1083" i="4"/>
  <c r="T1084" i="4"/>
  <c r="T1085" i="4"/>
  <c r="T1086" i="4"/>
  <c r="T1087" i="4"/>
  <c r="T1088" i="4"/>
  <c r="T1089" i="4"/>
  <c r="T1090" i="4"/>
  <c r="T1091" i="4"/>
  <c r="T1092" i="4"/>
  <c r="T1093" i="4"/>
  <c r="T1094" i="4"/>
  <c r="T1095" i="4"/>
  <c r="T1096" i="4"/>
  <c r="T1097" i="4"/>
  <c r="T1098" i="4"/>
  <c r="T1099" i="4"/>
  <c r="T1100" i="4"/>
  <c r="T1101" i="4"/>
  <c r="T1102" i="4"/>
  <c r="T1103" i="4"/>
  <c r="T1104" i="4"/>
  <c r="T1105" i="4"/>
  <c r="T1106" i="4"/>
  <c r="T1107" i="4"/>
  <c r="T1108" i="4"/>
  <c r="T1109" i="4"/>
  <c r="T1110" i="4"/>
  <c r="T1111" i="4"/>
  <c r="T1112" i="4"/>
  <c r="T1113" i="4"/>
  <c r="T1114" i="4"/>
  <c r="T1115" i="4"/>
  <c r="T1116" i="4"/>
  <c r="T1117" i="4"/>
  <c r="T1118" i="4"/>
  <c r="T1119" i="4"/>
  <c r="T1120" i="4"/>
  <c r="T1121" i="4"/>
  <c r="T1122" i="4"/>
  <c r="T1123" i="4"/>
  <c r="T1124" i="4"/>
  <c r="T1125" i="4"/>
  <c r="T1126" i="4"/>
  <c r="T1127" i="4"/>
  <c r="T1128" i="4"/>
  <c r="T1129" i="4"/>
  <c r="T1130" i="4"/>
  <c r="T1131" i="4"/>
  <c r="T1132" i="4"/>
  <c r="T1133" i="4"/>
  <c r="T1134" i="4"/>
  <c r="T1135" i="4"/>
  <c r="T1136" i="4"/>
  <c r="T1137" i="4"/>
  <c r="T1138" i="4"/>
  <c r="T1139" i="4"/>
  <c r="T1140" i="4"/>
  <c r="T1141" i="4"/>
  <c r="T1142" i="4"/>
  <c r="T1143" i="4"/>
  <c r="T1144" i="4"/>
  <c r="T1145" i="4"/>
  <c r="T1146" i="4"/>
  <c r="T1147" i="4"/>
  <c r="T1148" i="4"/>
  <c r="T1149" i="4"/>
  <c r="T1150" i="4"/>
  <c r="T1151" i="4"/>
  <c r="T1152" i="4"/>
  <c r="T1153" i="4"/>
  <c r="T1154" i="4"/>
  <c r="T1155" i="4"/>
  <c r="T1156" i="4"/>
  <c r="T1157" i="4"/>
  <c r="T1158" i="4"/>
  <c r="T1159" i="4"/>
  <c r="T1160" i="4"/>
  <c r="T1161" i="4"/>
  <c r="T1162" i="4"/>
  <c r="T1163" i="4"/>
  <c r="T1164" i="4"/>
  <c r="T1165" i="4"/>
  <c r="T1166" i="4"/>
  <c r="T1167" i="4"/>
  <c r="T1168" i="4"/>
  <c r="T1169" i="4"/>
  <c r="T1170" i="4"/>
  <c r="T1171" i="4"/>
  <c r="T1172" i="4"/>
  <c r="T1173" i="4"/>
  <c r="T1174" i="4"/>
  <c r="T1175" i="4"/>
  <c r="T1176" i="4"/>
  <c r="T1177" i="4"/>
  <c r="T1178" i="4"/>
  <c r="T1179" i="4"/>
  <c r="T1180" i="4"/>
  <c r="T1181" i="4"/>
  <c r="T1182" i="4"/>
  <c r="T1183" i="4"/>
  <c r="T1184" i="4"/>
  <c r="T1185" i="4"/>
  <c r="T1186" i="4"/>
  <c r="T1187" i="4"/>
  <c r="T1188" i="4"/>
  <c r="T1189" i="4"/>
  <c r="T1190" i="4"/>
  <c r="T1191" i="4"/>
  <c r="T1192" i="4"/>
  <c r="T1193" i="4"/>
  <c r="T1194" i="4"/>
  <c r="T1195" i="4"/>
  <c r="T1196" i="4"/>
  <c r="T1197" i="4"/>
  <c r="T1198" i="4"/>
  <c r="T1199" i="4"/>
  <c r="T1200" i="4"/>
  <c r="T1201" i="4"/>
  <c r="B5" i="7"/>
  <c r="B6" i="7"/>
  <c r="B7" i="7"/>
  <c r="B8" i="7"/>
  <c r="B9" i="7"/>
  <c r="G22" i="7"/>
  <c r="F22" i="7"/>
  <c r="E22" i="7"/>
  <c r="D22" i="7"/>
  <c r="C22" i="7"/>
  <c r="K22" i="7" a="1"/>
  <c r="K22" i="7" s="1"/>
  <c r="B22" i="7" s="1"/>
  <c r="B4" i="7"/>
  <c r="G28" i="7" l="1"/>
  <c r="B31" i="7"/>
  <c r="G36" i="7"/>
  <c r="B30" i="7"/>
  <c r="D30" i="7" s="1"/>
  <c r="B38" i="7"/>
  <c r="D38" i="7" s="1"/>
  <c r="C30" i="7"/>
  <c r="B37" i="7"/>
  <c r="C29" i="7"/>
  <c r="B36" i="7"/>
  <c r="D36" i="7" s="1"/>
  <c r="H36" i="7" s="1"/>
  <c r="C36" i="7"/>
  <c r="E29" i="7"/>
  <c r="F29" i="7" s="1"/>
  <c r="G31" i="7"/>
  <c r="B34" i="7"/>
  <c r="C35" i="7"/>
  <c r="E37" i="7"/>
  <c r="F37" i="7" s="1"/>
  <c r="B28" i="7"/>
  <c r="D28" i="7" s="1"/>
  <c r="H28" i="7" s="1"/>
  <c r="G33" i="7"/>
  <c r="C37" i="7"/>
  <c r="E30" i="7"/>
  <c r="F30" i="7" s="1"/>
  <c r="B35" i="7"/>
  <c r="D35" i="7" s="1"/>
  <c r="E38" i="7"/>
  <c r="F38" i="7" s="1"/>
  <c r="E28" i="7"/>
  <c r="F28" i="7" s="1"/>
  <c r="G30" i="7"/>
  <c r="B33" i="7"/>
  <c r="C34" i="7"/>
  <c r="E36" i="7"/>
  <c r="F36" i="7" s="1"/>
  <c r="G38" i="7"/>
  <c r="C32" i="7"/>
  <c r="E34" i="7"/>
  <c r="F34" i="7" s="1"/>
  <c r="C31" i="7"/>
  <c r="E33" i="7"/>
  <c r="G35" i="7"/>
  <c r="B29" i="7"/>
  <c r="D29" i="7" s="1"/>
  <c r="H29" i="7" s="1"/>
  <c r="E32" i="7"/>
  <c r="F32" i="7" s="1"/>
  <c r="G34" i="7"/>
  <c r="C38" i="7"/>
  <c r="A27" i="7"/>
  <c r="E31" i="7"/>
  <c r="F31" i="7" s="1"/>
  <c r="C28" i="7"/>
  <c r="G32" i="7"/>
  <c r="G29" i="7"/>
  <c r="B32" i="7"/>
  <c r="D32" i="7" s="1"/>
  <c r="H32" i="7" s="1"/>
  <c r="C33" i="7"/>
  <c r="E35" i="7"/>
  <c r="F35" i="7" s="1"/>
  <c r="D33" i="7" l="1"/>
  <c r="F33" i="7"/>
  <c r="D37" i="7"/>
  <c r="H37" i="7" s="1"/>
  <c r="D34" i="7"/>
  <c r="H34" i="7" s="1"/>
  <c r="H38" i="7"/>
  <c r="E27" i="7"/>
  <c r="F27" i="7" s="1"/>
  <c r="C27" i="7"/>
  <c r="B27" i="7"/>
  <c r="D27" i="7" s="1"/>
  <c r="H27" i="7" s="1"/>
  <c r="G27" i="7"/>
  <c r="H35" i="7"/>
  <c r="H30" i="7"/>
  <c r="D31" i="7"/>
  <c r="H31" i="7" s="1"/>
  <c r="H33" i="7"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81F426D-156F-C448-92B7-26D88B204D3B}" keepAlive="1" name="Query - Deals_Raw" description="Connection to the 'Deals_Raw' query in the workbook." type="5" refreshedVersion="8" background="1" saveData="1">
    <dbPr connection="Provider=Microsoft.Mashup.OleDb.1;Data Source=$Workbook$;Location=Deals_Raw;Extended Properties=&quot;&quot;" command="SELECT * FROM [Deals_Raw]"/>
  </connection>
  <connection id="2" xr16:uid="{08997845-CE4A-AC44-A6DD-08737FA26B62}" keepAlive="1" name="Query - Deals_Raw (2)" description="Connection to the 'Deals_Raw (2)' query in the workbook." type="5" refreshedVersion="0" background="1">
    <dbPr connection="Provider=Microsoft.Mashup.OleDb.1;Data Source=$Workbook$;Location=&quot;Deals_Raw (2)&quot;;Extended Properties=&quot;&quot;" command="SELECT * FROM [Deals_Raw (2)]"/>
  </connection>
  <connection id="3" xr16:uid="{F38D61DF-4873-8F4E-9611-C7AB5EAE63F8}" keepAlive="1" name="Query - Rep_Targets" description="Connection to the 'Rep_Targets' query in the workbook." type="5" refreshedVersion="8" background="1" saveData="1">
    <dbPr connection="Provider=Microsoft.Mashup.OleDb.1;Data Source=$Workbook$;Location=Rep_Targets;Extended Properties=&quot;&quot;" command="SELECT * FROM [Rep_Targets]"/>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<sst xmlns="http://schemas.openxmlformats.org/spreadsheetml/2006/main" count="27089" uniqueCount="2006">
  <si>
    <t>Opportunity_ID</t>
  </si>
  <si>
    <t>Created_Date</t>
  </si>
  <si>
    <t>Close_Date</t>
  </si>
  <si>
    <t>Account</t>
  </si>
  <si>
    <t>Industry</t>
  </si>
  <si>
    <t>Segment</t>
  </si>
  <si>
    <t>Region</t>
  </si>
  <si>
    <t>Sales_Rep</t>
  </si>
  <si>
    <t>Lead_Source</t>
  </si>
  <si>
    <t>Product</t>
  </si>
  <si>
    <t>Stage</t>
  </si>
  <si>
    <t>Opportunity_Type</t>
  </si>
  <si>
    <t>Amount</t>
  </si>
  <si>
    <t>Discount_Pct</t>
  </si>
  <si>
    <t>Probability_Pct</t>
  </si>
  <si>
    <t>Forecast_Category</t>
  </si>
  <si>
    <t>Lost_Reason</t>
  </si>
  <si>
    <t>Sales_Cycle_Days</t>
  </si>
  <si>
    <t>MRR</t>
  </si>
  <si>
    <t>OPP-00001</t>
  </si>
  <si>
    <t>Account 0341</t>
  </si>
  <si>
    <t>SaaS</t>
  </si>
  <si>
    <t>Mid-Market</t>
  </si>
  <si>
    <t>EMEA</t>
  </si>
  <si>
    <t>Vikram Singh</t>
  </si>
  <si>
    <t>Outbound</t>
  </si>
  <si>
    <t>Security Add-on</t>
  </si>
  <si>
    <t>Closed Lost</t>
  </si>
  <si>
    <t>Renewal</t>
  </si>
  <si>
    <t>Closed</t>
  </si>
  <si>
    <t>Poor Fit</t>
  </si>
  <si>
    <t>OPP-00002</t>
  </si>
  <si>
    <t>Account 0941</t>
  </si>
  <si>
    <t>Manufacturing</t>
  </si>
  <si>
    <t>North America</t>
  </si>
  <si>
    <t>Inbound</t>
  </si>
  <si>
    <t>Automation Suite</t>
  </si>
  <si>
    <t>Prospecting</t>
  </si>
  <si>
    <t>Pipeline</t>
  </si>
  <si>
    <t>OPP-00003</t>
  </si>
  <si>
    <t>Account 0544</t>
  </si>
  <si>
    <t>Ananya Rao</t>
  </si>
  <si>
    <t>Referral</t>
  </si>
  <si>
    <t>Enterprise Cloud</t>
  </si>
  <si>
    <t>Expansion</t>
  </si>
  <si>
    <t>No Decision</t>
  </si>
  <si>
    <t>OPP-00004</t>
  </si>
  <si>
    <t>Account 0896</t>
  </si>
  <si>
    <t>SMB</t>
  </si>
  <si>
    <t>Sara Khan</t>
  </si>
  <si>
    <t>Closed Won</t>
  </si>
  <si>
    <t>New Business</t>
  </si>
  <si>
    <t>OPP-00005</t>
  </si>
  <si>
    <t>Account 0307</t>
  </si>
  <si>
    <t>IT Services</t>
  </si>
  <si>
    <t>APAC</t>
  </si>
  <si>
    <t>Neel Kapoor</t>
  </si>
  <si>
    <t>Core Platform</t>
  </si>
  <si>
    <t>Negotiation</t>
  </si>
  <si>
    <t>Commit</t>
  </si>
  <si>
    <t>OPP-00006</t>
  </si>
  <si>
    <t>Account 0574</t>
  </si>
  <si>
    <t>Healthcare</t>
  </si>
  <si>
    <t>India</t>
  </si>
  <si>
    <t>Arjun Malhotra</t>
  </si>
  <si>
    <t>Product-Led</t>
  </si>
  <si>
    <t>OPP-00007</t>
  </si>
  <si>
    <t>Account 0773</t>
  </si>
  <si>
    <t>EdTech</t>
  </si>
  <si>
    <t>Meera Iyer</t>
  </si>
  <si>
    <t>OPP-00008</t>
  </si>
  <si>
    <t>Account 0277</t>
  </si>
  <si>
    <t>OPP-00009</t>
  </si>
  <si>
    <t>Account 0806</t>
  </si>
  <si>
    <t>Enterprise</t>
  </si>
  <si>
    <t>OPP-00010</t>
  </si>
  <si>
    <t>Account 0566</t>
  </si>
  <si>
    <t>Tara Bose</t>
  </si>
  <si>
    <t>Proposal</t>
  </si>
  <si>
    <t>Best Case</t>
  </si>
  <si>
    <t>OPP-00011</t>
  </si>
  <si>
    <t>Account 0467</t>
  </si>
  <si>
    <t>Logistics</t>
  </si>
  <si>
    <t>Ishita Menon</t>
  </si>
  <si>
    <t>Partner</t>
  </si>
  <si>
    <t>Analytics Pro</t>
  </si>
  <si>
    <t>OPP-00012</t>
  </si>
  <si>
    <t>Account 0752</t>
  </si>
  <si>
    <t>Demo</t>
  </si>
  <si>
    <t>OPP-00013</t>
  </si>
  <si>
    <t>Account 0026</t>
  </si>
  <si>
    <t>E-commerce</t>
  </si>
  <si>
    <t>LATAM</t>
  </si>
  <si>
    <t>OPP-00014</t>
  </si>
  <si>
    <t>Account 0377</t>
  </si>
  <si>
    <t>Diya Nair</t>
  </si>
  <si>
    <t>OPP-00015</t>
  </si>
  <si>
    <t>Account 0679</t>
  </si>
  <si>
    <t>Aarav Shah</t>
  </si>
  <si>
    <t>Webinar</t>
  </si>
  <si>
    <t>OPP-00016</t>
  </si>
  <si>
    <t>Account 0943</t>
  </si>
  <si>
    <t>OPP-00017</t>
  </si>
  <si>
    <t>Account 0299</t>
  </si>
  <si>
    <t>OPP-00018</t>
  </si>
  <si>
    <t>Account 0502</t>
  </si>
  <si>
    <t>Qualification</t>
  </si>
  <si>
    <t>OPP-00019</t>
  </si>
  <si>
    <t>Account 0410</t>
  </si>
  <si>
    <t>OPP-00020</t>
  </si>
  <si>
    <t>Account 0121</t>
  </si>
  <si>
    <t>FinTech</t>
  </si>
  <si>
    <t>OPP-00021</t>
  </si>
  <si>
    <t>Account 0450</t>
  </si>
  <si>
    <t>OPP-00022</t>
  </si>
  <si>
    <t>Account 0713</t>
  </si>
  <si>
    <t>OPP-00023</t>
  </si>
  <si>
    <t>Account 0771</t>
  </si>
  <si>
    <t>OPP-00024</t>
  </si>
  <si>
    <t>Account 0143</t>
  </si>
  <si>
    <t>Rohan Gupta</t>
  </si>
  <si>
    <t>OPP-00025</t>
  </si>
  <si>
    <t>Account 0437</t>
  </si>
  <si>
    <t>OPP-00026</t>
  </si>
  <si>
    <t>OPP-00027</t>
  </si>
  <si>
    <t>Account 0225</t>
  </si>
  <si>
    <t>Security Review</t>
  </si>
  <si>
    <t>OPP-00028</t>
  </si>
  <si>
    <t>Account 0691</t>
  </si>
  <si>
    <t>OPP-00029</t>
  </si>
  <si>
    <t>Account 0687</t>
  </si>
  <si>
    <t>OPP-00030</t>
  </si>
  <si>
    <t>Account 0612</t>
  </si>
  <si>
    <t>OPP-00031</t>
  </si>
  <si>
    <t>Account 0343</t>
  </si>
  <si>
    <t>OPP-00032</t>
  </si>
  <si>
    <t>Account 0337</t>
  </si>
  <si>
    <t>Kabir Mehta</t>
  </si>
  <si>
    <t>OPP-00033</t>
  </si>
  <si>
    <t>Account 0844</t>
  </si>
  <si>
    <t>OPP-00034</t>
  </si>
  <si>
    <t>Account 0602</t>
  </si>
  <si>
    <t>OPP-00035</t>
  </si>
  <si>
    <t>Account 0940</t>
  </si>
  <si>
    <t>OPP-00036</t>
  </si>
  <si>
    <t>Account 0620</t>
  </si>
  <si>
    <t>OPP-00037</t>
  </si>
  <si>
    <t>Account 0109</t>
  </si>
  <si>
    <t>OPP-00038</t>
  </si>
  <si>
    <t>Account 0402</t>
  </si>
  <si>
    <t>OPP-00039</t>
  </si>
  <si>
    <t>Account 0387</t>
  </si>
  <si>
    <t>Champion Left</t>
  </si>
  <si>
    <t>OPP-00040</t>
  </si>
  <si>
    <t>Account 0730</t>
  </si>
  <si>
    <t>OPP-00041</t>
  </si>
  <si>
    <t>OPP-00042</t>
  </si>
  <si>
    <t>Account 0150</t>
  </si>
  <si>
    <t>OPP-00043</t>
  </si>
  <si>
    <t>Account 0795</t>
  </si>
  <si>
    <t>OPP-00044</t>
  </si>
  <si>
    <t>Account 0415</t>
  </si>
  <si>
    <t>OPP-00045</t>
  </si>
  <si>
    <t>Account 0915</t>
  </si>
  <si>
    <t>OPP-00046</t>
  </si>
  <si>
    <t>Account 0902</t>
  </si>
  <si>
    <t>OPP-00047</t>
  </si>
  <si>
    <t>Account 0934</t>
  </si>
  <si>
    <t>OPP-00048</t>
  </si>
  <si>
    <t>Account 0524</t>
  </si>
  <si>
    <t>OPP-00049</t>
  </si>
  <si>
    <t>Account 0552</t>
  </si>
  <si>
    <t>OPP-00050</t>
  </si>
  <si>
    <t>Account 0241</t>
  </si>
  <si>
    <t>OPP-00051</t>
  </si>
  <si>
    <t>Account 0640</t>
  </si>
  <si>
    <t>OPP-00052</t>
  </si>
  <si>
    <t>Account 0446</t>
  </si>
  <si>
    <t>OPP-00053</t>
  </si>
  <si>
    <t>Account 0043</t>
  </si>
  <si>
    <t>OPP-00054</t>
  </si>
  <si>
    <t>Account 0433</t>
  </si>
  <si>
    <t>OPP-00055</t>
  </si>
  <si>
    <t>Account 0731</t>
  </si>
  <si>
    <t>OPP-00056</t>
  </si>
  <si>
    <t>Account 0656</t>
  </si>
  <si>
    <t>OPP-00057</t>
  </si>
  <si>
    <t>Account 0938</t>
  </si>
  <si>
    <t>Timing</t>
  </si>
  <si>
    <t>OPP-00058</t>
  </si>
  <si>
    <t>Account 0305</t>
  </si>
  <si>
    <t>OPP-00059</t>
  </si>
  <si>
    <t>Account 0175</t>
  </si>
  <si>
    <t>OPP-00060</t>
  </si>
  <si>
    <t>Account 0073</t>
  </si>
  <si>
    <t>OPP-00061</t>
  </si>
  <si>
    <t>Account 0013</t>
  </si>
  <si>
    <t>OPP-00062</t>
  </si>
  <si>
    <t>Account 0485</t>
  </si>
  <si>
    <t>OPP-00063</t>
  </si>
  <si>
    <t>Account 0575</t>
  </si>
  <si>
    <t>OPP-00064</t>
  </si>
  <si>
    <t>Account 0853</t>
  </si>
  <si>
    <t>OPP-00065</t>
  </si>
  <si>
    <t>Account 0317</t>
  </si>
  <si>
    <t>OPP-00066</t>
  </si>
  <si>
    <t>Account 0322</t>
  </si>
  <si>
    <t>OPP-00067</t>
  </si>
  <si>
    <t>Account 0576</t>
  </si>
  <si>
    <t>Budget</t>
  </si>
  <si>
    <t>OPP-00068</t>
  </si>
  <si>
    <t>Account 0822</t>
  </si>
  <si>
    <t>OPP-00069</t>
  </si>
  <si>
    <t>Account 0916</t>
  </si>
  <si>
    <t>OPP-00070</t>
  </si>
  <si>
    <t>Account 0285</t>
  </si>
  <si>
    <t>OPP-00071</t>
  </si>
  <si>
    <t>Account 0778</t>
  </si>
  <si>
    <t>OPP-00072</t>
  </si>
  <si>
    <t>Account 0741</t>
  </si>
  <si>
    <t>OPP-00073</t>
  </si>
  <si>
    <t>Account 0504</t>
  </si>
  <si>
    <t>Competitor</t>
  </si>
  <si>
    <t>OPP-00074</t>
  </si>
  <si>
    <t>Account 0303</t>
  </si>
  <si>
    <t>OPP-00075</t>
  </si>
  <si>
    <t>Account 0053</t>
  </si>
  <si>
    <t>OPP-00076</t>
  </si>
  <si>
    <t>Account 0083</t>
  </si>
  <si>
    <t>OPP-00077</t>
  </si>
  <si>
    <t>Account 0811</t>
  </si>
  <si>
    <t>OPP-00078</t>
  </si>
  <si>
    <t>Account 0102</t>
  </si>
  <si>
    <t>OPP-00079</t>
  </si>
  <si>
    <t>Account 0685</t>
  </si>
  <si>
    <t>OPP-00080</t>
  </si>
  <si>
    <t>Account 0233</t>
  </si>
  <si>
    <t>OPP-00081</t>
  </si>
  <si>
    <t>Account 0262</t>
  </si>
  <si>
    <t>OPP-00082</t>
  </si>
  <si>
    <t>OPP-00083</t>
  </si>
  <si>
    <t>Account 0470</t>
  </si>
  <si>
    <t>OPP-00084</t>
  </si>
  <si>
    <t>Account 0028</t>
  </si>
  <si>
    <t>OPP-00085</t>
  </si>
  <si>
    <t>Account 0051</t>
  </si>
  <si>
    <t>OPP-00086</t>
  </si>
  <si>
    <t>Account 0518</t>
  </si>
  <si>
    <t>OPP-00087</t>
  </si>
  <si>
    <t>OPP-00088</t>
  </si>
  <si>
    <t>Account 0211</t>
  </si>
  <si>
    <t>OPP-00089</t>
  </si>
  <si>
    <t>Account 0887</t>
  </si>
  <si>
    <t>OPP-00090</t>
  </si>
  <si>
    <t>Account 0599</t>
  </si>
  <si>
    <t>OPP-00091</t>
  </si>
  <si>
    <t>Account 0409</t>
  </si>
  <si>
    <t>OPP-00092</t>
  </si>
  <si>
    <t>OPP-00093</t>
  </si>
  <si>
    <t>Account 0001</t>
  </si>
  <si>
    <t>OPP-00094</t>
  </si>
  <si>
    <t>Account 0090</t>
  </si>
  <si>
    <t>OPP-00095</t>
  </si>
  <si>
    <t>Account 0463</t>
  </si>
  <si>
    <t>OPP-00096</t>
  </si>
  <si>
    <t>Account 0159</t>
  </si>
  <si>
    <t>OPP-00097</t>
  </si>
  <si>
    <t>Account 0060</t>
  </si>
  <si>
    <t>OPP-00098</t>
  </si>
  <si>
    <t>Account 0167</t>
  </si>
  <si>
    <t>OPP-00099</t>
  </si>
  <si>
    <t>Account 0385</t>
  </si>
  <si>
    <t>OPP-00100</t>
  </si>
  <si>
    <t>Account 0111</t>
  </si>
  <si>
    <t>OPP-00101</t>
  </si>
  <si>
    <t>Account 0447</t>
  </si>
  <si>
    <t>OPP-00102</t>
  </si>
  <si>
    <t>Account 0056</t>
  </si>
  <si>
    <t>OPP-00103</t>
  </si>
  <si>
    <t>Account 0216</t>
  </si>
  <si>
    <t>OPP-00104</t>
  </si>
  <si>
    <t>Account 0723</t>
  </si>
  <si>
    <t>OPP-00105</t>
  </si>
  <si>
    <t>Account 0531</t>
  </si>
  <si>
    <t>OPP-00106</t>
  </si>
  <si>
    <t>Account 0688</t>
  </si>
  <si>
    <t>OPP-00107</t>
  </si>
  <si>
    <t>Account 0027</t>
  </si>
  <si>
    <t>OPP-00108</t>
  </si>
  <si>
    <t>Account 0194</t>
  </si>
  <si>
    <t>OPP-00109</t>
  </si>
  <si>
    <t>Account 0019</t>
  </si>
  <si>
    <t>OPP-00110</t>
  </si>
  <si>
    <t>OPP-00111</t>
  </si>
  <si>
    <t>OPP-00112</t>
  </si>
  <si>
    <t>Account 0595</t>
  </si>
  <si>
    <t>OPP-00113</t>
  </si>
  <si>
    <t>OPP-00114</t>
  </si>
  <si>
    <t>Account 0546</t>
  </si>
  <si>
    <t>OPP-00115</t>
  </si>
  <si>
    <t>OPP-00116</t>
  </si>
  <si>
    <t>Account 0746</t>
  </si>
  <si>
    <t>OPP-00117</t>
  </si>
  <si>
    <t>Account 0618</t>
  </si>
  <si>
    <t>OPP-00118</t>
  </si>
  <si>
    <t>Account 0451</t>
  </si>
  <si>
    <t>OPP-00119</t>
  </si>
  <si>
    <t>Account 0899</t>
  </si>
  <si>
    <t>OPP-00120</t>
  </si>
  <si>
    <t>Account 0320</t>
  </si>
  <si>
    <t>OPP-00121</t>
  </si>
  <si>
    <t>OPP-00122</t>
  </si>
  <si>
    <t>Account 0334</t>
  </si>
  <si>
    <t>OPP-00123</t>
  </si>
  <si>
    <t>Account 0742</t>
  </si>
  <si>
    <t>OPP-00124</t>
  </si>
  <si>
    <t>Account 0144</t>
  </si>
  <si>
    <t>OPP-00125</t>
  </si>
  <si>
    <t>Account 0297</t>
  </si>
  <si>
    <t>OPP-00126</t>
  </si>
  <si>
    <t>OPP-00127</t>
  </si>
  <si>
    <t>Account 0193</t>
  </si>
  <si>
    <t>OPP-00128</t>
  </si>
  <si>
    <t>Account 0041</t>
  </si>
  <si>
    <t>OPP-00129</t>
  </si>
  <si>
    <t>Account 0764</t>
  </si>
  <si>
    <t>OPP-00130</t>
  </si>
  <si>
    <t>Account 0079</t>
  </si>
  <si>
    <t>OPP-00131</t>
  </si>
  <si>
    <t>OPP-00132</t>
  </si>
  <si>
    <t>Account 0565</t>
  </si>
  <si>
    <t>OPP-00133</t>
  </si>
  <si>
    <t>Account 0238</t>
  </si>
  <si>
    <t>OPP-00134</t>
  </si>
  <si>
    <t>OPP-00135</t>
  </si>
  <si>
    <t>Account 0536</t>
  </si>
  <si>
    <t>OPP-00136</t>
  </si>
  <si>
    <t>OPP-00137</t>
  </si>
  <si>
    <t>Account 0370</t>
  </si>
  <si>
    <t>OPP-00138</t>
  </si>
  <si>
    <t>OPP-00139</t>
  </si>
  <si>
    <t>OPP-00140</t>
  </si>
  <si>
    <t>Account 0744</t>
  </si>
  <si>
    <t>OPP-00141</t>
  </si>
  <si>
    <t>Account 0070</t>
  </si>
  <si>
    <t>OPP-00142</t>
  </si>
  <si>
    <t>OPP-00143</t>
  </si>
  <si>
    <t>OPP-00144</t>
  </si>
  <si>
    <t>Account 0519</t>
  </si>
  <si>
    <t>OPP-00145</t>
  </si>
  <si>
    <t>Account 0335</t>
  </si>
  <si>
    <t>OPP-00146</t>
  </si>
  <si>
    <t>Account 0195</t>
  </si>
  <si>
    <t>OPP-00147</t>
  </si>
  <si>
    <t>Account 0892</t>
  </si>
  <si>
    <t>OPP-00148</t>
  </si>
  <si>
    <t>Account 0140</t>
  </si>
  <si>
    <t>OPP-00149</t>
  </si>
  <si>
    <t>Account 0785</t>
  </si>
  <si>
    <t>OPP-00150</t>
  </si>
  <si>
    <t>Account 0392</t>
  </si>
  <si>
    <t>OPP-00151</t>
  </si>
  <si>
    <t>Account 0224</t>
  </si>
  <si>
    <t>OPP-00152</t>
  </si>
  <si>
    <t>Account 0390</t>
  </si>
  <si>
    <t>OPP-00153</t>
  </si>
  <si>
    <t>Account 0686</t>
  </si>
  <si>
    <t>OPP-00154</t>
  </si>
  <si>
    <t>Account 0362</t>
  </si>
  <si>
    <t>OPP-00155</t>
  </si>
  <si>
    <t>Account 0585</t>
  </si>
  <si>
    <t>OPP-00156</t>
  </si>
  <si>
    <t>Account 0197</t>
  </si>
  <si>
    <t>OPP-00157</t>
  </si>
  <si>
    <t>OPP-00158</t>
  </si>
  <si>
    <t>Account 0203</t>
  </si>
  <si>
    <t>OPP-00159</t>
  </si>
  <si>
    <t>Account 0937</t>
  </si>
  <si>
    <t>OPP-00160</t>
  </si>
  <si>
    <t>OPP-00161</t>
  </si>
  <si>
    <t>Account 0391</t>
  </si>
  <si>
    <t>OPP-00162</t>
  </si>
  <si>
    <t>Account 0616</t>
  </si>
  <si>
    <t>OPP-00163</t>
  </si>
  <si>
    <t>Account 0590</t>
  </si>
  <si>
    <t>OPP-00164</t>
  </si>
  <si>
    <t>Account 0089</t>
  </si>
  <si>
    <t>OPP-00165</t>
  </si>
  <si>
    <t>Account 0232</t>
  </si>
  <si>
    <t>OPP-00166</t>
  </si>
  <si>
    <t>Account 0259</t>
  </si>
  <si>
    <t>OPP-00167</t>
  </si>
  <si>
    <t>Account 0507</t>
  </si>
  <si>
    <t>OPP-00168</t>
  </si>
  <si>
    <t>Account 0652</t>
  </si>
  <si>
    <t>OPP-00169</t>
  </si>
  <si>
    <t>Account 0493</t>
  </si>
  <si>
    <t>OPP-00170</t>
  </si>
  <si>
    <t>OPP-00171</t>
  </si>
  <si>
    <t>Account 0296</t>
  </si>
  <si>
    <t>OPP-00172</t>
  </si>
  <si>
    <t>Account 0270</t>
  </si>
  <si>
    <t>OPP-00173</t>
  </si>
  <si>
    <t>OPP-00174</t>
  </si>
  <si>
    <t>Account 0424</t>
  </si>
  <si>
    <t>OPP-00175</t>
  </si>
  <si>
    <t>Account 0156</t>
  </si>
  <si>
    <t>OPP-00176</t>
  </si>
  <si>
    <t>Account 0182</t>
  </si>
  <si>
    <t>OPP-00177</t>
  </si>
  <si>
    <t>Account 0375</t>
  </si>
  <si>
    <t>OPP-00178</t>
  </si>
  <si>
    <t>Account 0003</t>
  </si>
  <si>
    <t>OPP-00179</t>
  </si>
  <si>
    <t>Account 0125</t>
  </si>
  <si>
    <t>OPP-00180</t>
  </si>
  <si>
    <t>Account 0810</t>
  </si>
  <si>
    <t>OPP-00181</t>
  </si>
  <si>
    <t>Account 0275</t>
  </si>
  <si>
    <t>OPP-00182</t>
  </si>
  <si>
    <t>Account 0098</t>
  </si>
  <si>
    <t>OPP-00183</t>
  </si>
  <si>
    <t>Account 0824</t>
  </si>
  <si>
    <t>OPP-00184</t>
  </si>
  <si>
    <t>OPP-00185</t>
  </si>
  <si>
    <t>Account 0804</t>
  </si>
  <si>
    <t>OPP-00186</t>
  </si>
  <si>
    <t>Account 0791</t>
  </si>
  <si>
    <t>OPP-00187</t>
  </si>
  <si>
    <t>Account 0500</t>
  </si>
  <si>
    <t>OPP-00188</t>
  </si>
  <si>
    <t>Account 0029</t>
  </si>
  <si>
    <t>OPP-00189</t>
  </si>
  <si>
    <t>Account 0330</t>
  </si>
  <si>
    <t>OPP-00190</t>
  </si>
  <si>
    <t>Account 0163</t>
  </si>
  <si>
    <t>OPP-00191</t>
  </si>
  <si>
    <t>OPP-00192</t>
  </si>
  <si>
    <t>Account 0170</t>
  </si>
  <si>
    <t>OPP-00193</t>
  </si>
  <si>
    <t>Account 0484</t>
  </si>
  <si>
    <t>OPP-00194</t>
  </si>
  <si>
    <t>OPP-00195</t>
  </si>
  <si>
    <t>Account 0942</t>
  </si>
  <si>
    <t>OPP-00196</t>
  </si>
  <si>
    <t>Account 0912</t>
  </si>
  <si>
    <t>OPP-00197</t>
  </si>
  <si>
    <t>Account 0039</t>
  </si>
  <si>
    <t>OPP-00198</t>
  </si>
  <si>
    <t>Account 0664</t>
  </si>
  <si>
    <t>OPP-00199</t>
  </si>
  <si>
    <t>OPP-00200</t>
  </si>
  <si>
    <t>Account 0705</t>
  </si>
  <si>
    <t>OPP-00201</t>
  </si>
  <si>
    <t>Account 0842</t>
  </si>
  <si>
    <t>OPP-00202</t>
  </si>
  <si>
    <t>OPP-00203</t>
  </si>
  <si>
    <t>Account 0365</t>
  </si>
  <si>
    <t>OPP-00204</t>
  </si>
  <si>
    <t>Account 0231</t>
  </si>
  <si>
    <t>OPP-00205</t>
  </si>
  <si>
    <t>Account 0476</t>
  </si>
  <si>
    <t>OPP-00206</t>
  </si>
  <si>
    <t>Account 0541</t>
  </si>
  <si>
    <t>OPP-00207</t>
  </si>
  <si>
    <t>Account 0891</t>
  </si>
  <si>
    <t>OPP-00208</t>
  </si>
  <si>
    <t>OPP-00209</t>
  </si>
  <si>
    <t>Account 0183</t>
  </si>
  <si>
    <t>OPP-00210</t>
  </si>
  <si>
    <t>Account 0030</t>
  </si>
  <si>
    <t>OPP-00211</t>
  </si>
  <si>
    <t>Account 0721</t>
  </si>
  <si>
    <t>OPP-00212</t>
  </si>
  <si>
    <t>Account 0331</t>
  </si>
  <si>
    <t>OPP-00213</t>
  </si>
  <si>
    <t>Account 0596</t>
  </si>
  <si>
    <t>OPP-00214</t>
  </si>
  <si>
    <t>OPP-00215</t>
  </si>
  <si>
    <t>OPP-00216</t>
  </si>
  <si>
    <t>Account 0078</t>
  </si>
  <si>
    <t>OPP-00217</t>
  </si>
  <si>
    <t>OPP-00218</t>
  </si>
  <si>
    <t>Account 0604</t>
  </si>
  <si>
    <t>OPP-00219</t>
  </si>
  <si>
    <t>OPP-00220</t>
  </si>
  <si>
    <t>OPP-00221</t>
  </si>
  <si>
    <t>Account 0693</t>
  </si>
  <si>
    <t>OPP-00222</t>
  </si>
  <si>
    <t>OPP-00223</t>
  </si>
  <si>
    <t>Account 0352</t>
  </si>
  <si>
    <t>OPP-00224</t>
  </si>
  <si>
    <t>Account 0495</t>
  </si>
  <si>
    <t>OPP-00225</t>
  </si>
  <si>
    <t>Account 0608</t>
  </si>
  <si>
    <t>OPP-00226</t>
  </si>
  <si>
    <t>Account 0462</t>
  </si>
  <si>
    <t>OPP-00227</t>
  </si>
  <si>
    <t>Account 0736</t>
  </si>
  <si>
    <t>OPP-00228</t>
  </si>
  <si>
    <t>Account 0489</t>
  </si>
  <si>
    <t>OPP-00229</t>
  </si>
  <si>
    <t>Account 0153</t>
  </si>
  <si>
    <t>OPP-00230</t>
  </si>
  <si>
    <t>OPP-00231</t>
  </si>
  <si>
    <t>Account 0048</t>
  </si>
  <si>
    <t>OPP-00232</t>
  </si>
  <si>
    <t>Account 0198</t>
  </si>
  <si>
    <t>OPP-00233</t>
  </si>
  <si>
    <t>Account 0118</t>
  </si>
  <si>
    <t>OPP-00234</t>
  </si>
  <si>
    <t>Account 0657</t>
  </si>
  <si>
    <t>OPP-00235</t>
  </si>
  <si>
    <t>Account 0913</t>
  </si>
  <si>
    <t>OPP-00236</t>
  </si>
  <si>
    <t>Account 0103</t>
  </si>
  <si>
    <t>OPP-00237</t>
  </si>
  <si>
    <t>Account 0355</t>
  </si>
  <si>
    <t>OPP-00238</t>
  </si>
  <si>
    <t>OPP-00239</t>
  </si>
  <si>
    <t>Account 0326</t>
  </si>
  <si>
    <t>OPP-00240</t>
  </si>
  <si>
    <t>OPP-00241</t>
  </si>
  <si>
    <t>Account 0621</t>
  </si>
  <si>
    <t>OPP-00242</t>
  </si>
  <si>
    <t>OPP-00243</t>
  </si>
  <si>
    <t>Account 0139</t>
  </si>
  <si>
    <t>OPP-00244</t>
  </si>
  <si>
    <t>Account 0289</t>
  </si>
  <si>
    <t>OPP-00245</t>
  </si>
  <si>
    <t>OPP-00246</t>
  </si>
  <si>
    <t>Account 0438</t>
  </si>
  <si>
    <t>OPP-00247</t>
  </si>
  <si>
    <t>Account 0573</t>
  </si>
  <si>
    <t>OPP-00248</t>
  </si>
  <si>
    <t>Account 0658</t>
  </si>
  <si>
    <t>OPP-00249</t>
  </si>
  <si>
    <t>Account 0759</t>
  </si>
  <si>
    <t>OPP-00250</t>
  </si>
  <si>
    <t>Account 0537</t>
  </si>
  <si>
    <t>OPP-00251</t>
  </si>
  <si>
    <t>OPP-00252</t>
  </si>
  <si>
    <t>Account 0126</t>
  </si>
  <si>
    <t>OPP-00253</t>
  </si>
  <si>
    <t>Account 0286</t>
  </si>
  <si>
    <t>OPP-00254</t>
  </si>
  <si>
    <t>Account 0750</t>
  </si>
  <si>
    <t>OPP-00255</t>
  </si>
  <si>
    <t>OPP-00256</t>
  </si>
  <si>
    <t>Account 0011</t>
  </si>
  <si>
    <t>OPP-00257</t>
  </si>
  <si>
    <t>Account 0052</t>
  </si>
  <si>
    <t>OPP-00258</t>
  </si>
  <si>
    <t>Account 0522</t>
  </si>
  <si>
    <t>OPP-00259</t>
  </si>
  <si>
    <t>OPP-00260</t>
  </si>
  <si>
    <t>OPP-00261</t>
  </si>
  <si>
    <t>Account 0549</t>
  </si>
  <si>
    <t>OPP-00262</t>
  </si>
  <si>
    <t>Account 0858</t>
  </si>
  <si>
    <t>OPP-00263</t>
  </si>
  <si>
    <t>OPP-00264</t>
  </si>
  <si>
    <t>Account 0653</t>
  </si>
  <si>
    <t>OPP-00265</t>
  </si>
  <si>
    <t>Account 0091</t>
  </si>
  <si>
    <t>OPP-00266</t>
  </si>
  <si>
    <t>Account 0283</t>
  </si>
  <si>
    <t>OPP-00267</t>
  </si>
  <si>
    <t>OPP-00268</t>
  </si>
  <si>
    <t>Account 0821</t>
  </si>
  <si>
    <t>OPP-00269</t>
  </si>
  <si>
    <t>Account 0161</t>
  </si>
  <si>
    <t>OPP-00270</t>
  </si>
  <si>
    <t>Account 0666</t>
  </si>
  <si>
    <t>OPP-00271</t>
  </si>
  <si>
    <t>Account 0323</t>
  </si>
  <si>
    <t>OPP-00272</t>
  </si>
  <si>
    <t>OPP-00273</t>
  </si>
  <si>
    <t>Account 0096</t>
  </si>
  <si>
    <t>OPP-00274</t>
  </si>
  <si>
    <t>OPP-00275</t>
  </si>
  <si>
    <t>Account 0815</t>
  </si>
  <si>
    <t>OPP-00276</t>
  </si>
  <si>
    <t>Account 0592</t>
  </si>
  <si>
    <t>OPP-00277</t>
  </si>
  <si>
    <t>Account 0559</t>
  </si>
  <si>
    <t>OPP-00278</t>
  </si>
  <si>
    <t>OPP-00279</t>
  </si>
  <si>
    <t>Account 0072</t>
  </si>
  <si>
    <t>OPP-00280</t>
  </si>
  <si>
    <t>OPP-00281</t>
  </si>
  <si>
    <t>OPP-00282</t>
  </si>
  <si>
    <t>Account 0114</t>
  </si>
  <si>
    <t>OPP-00283</t>
  </si>
  <si>
    <t>Account 0647</t>
  </si>
  <si>
    <t>OPP-00284</t>
  </si>
  <si>
    <t>Account 0743</t>
  </si>
  <si>
    <t>OPP-00285</t>
  </si>
  <si>
    <t>Account 0479</t>
  </si>
  <si>
    <t>OPP-00286</t>
  </si>
  <si>
    <t>Account 0422</t>
  </si>
  <si>
    <t>OPP-00287</t>
  </si>
  <si>
    <t>OPP-00288</t>
  </si>
  <si>
    <t>OPP-00289</t>
  </si>
  <si>
    <t>Account 0413</t>
  </si>
  <si>
    <t>OPP-00290</t>
  </si>
  <si>
    <t>Account 0154</t>
  </si>
  <si>
    <t>OPP-00291</t>
  </si>
  <si>
    <t>Account 0787</t>
  </si>
  <si>
    <t>OPP-00292</t>
  </si>
  <si>
    <t>Account 0660</t>
  </si>
  <si>
    <t>OPP-00293</t>
  </si>
  <si>
    <t>Account 0509</t>
  </si>
  <si>
    <t>OPP-00294</t>
  </si>
  <si>
    <t>Account 0351</t>
  </si>
  <si>
    <t>OPP-00295</t>
  </si>
  <si>
    <t>Account 0002</t>
  </si>
  <si>
    <t>OPP-00296</t>
  </si>
  <si>
    <t>OPP-00297</t>
  </si>
  <si>
    <t>OPP-00298</t>
  </si>
  <si>
    <t>OPP-00299</t>
  </si>
  <si>
    <t>Account 0897</t>
  </si>
  <si>
    <t>OPP-00300</t>
  </si>
  <si>
    <t>Account 0292</t>
  </si>
  <si>
    <t>OPP-00301</t>
  </si>
  <si>
    <t>Account 0589</t>
  </si>
  <si>
    <t>OPP-00302</t>
  </si>
  <si>
    <t>Account 0272</t>
  </si>
  <si>
    <t>OPP-00303</t>
  </si>
  <si>
    <t>Account 0014</t>
  </si>
  <si>
    <t>OPP-00304</t>
  </si>
  <si>
    <t>Account 0739</t>
  </si>
  <si>
    <t>OPP-00305</t>
  </si>
  <si>
    <t>Account 0532</t>
  </si>
  <si>
    <t>OPP-00306</t>
  </si>
  <si>
    <t>Account 0498</t>
  </si>
  <si>
    <t>OPP-00307</t>
  </si>
  <si>
    <t>Account 0394</t>
  </si>
  <si>
    <t>OPP-00308</t>
  </si>
  <si>
    <t>OPP-00309</t>
  </si>
  <si>
    <t>Account 0497</t>
  </si>
  <si>
    <t>OPP-00310</t>
  </si>
  <si>
    <t>Account 0718</t>
  </si>
  <si>
    <t>OPP-00311</t>
  </si>
  <si>
    <t>Account 0069</t>
  </si>
  <si>
    <t>OPP-00312</t>
  </si>
  <si>
    <t>Account 0611</t>
  </si>
  <si>
    <t>OPP-00313</t>
  </si>
  <si>
    <t>Account 0076</t>
  </si>
  <si>
    <t>OPP-00314</t>
  </si>
  <si>
    <t>Account 0867</t>
  </si>
  <si>
    <t>OPP-00315</t>
  </si>
  <si>
    <t>OPP-00316</t>
  </si>
  <si>
    <t>Account 0645</t>
  </si>
  <si>
    <t>OPP-00317</t>
  </si>
  <si>
    <t>Account 0496</t>
  </si>
  <si>
    <t>OPP-00318</t>
  </si>
  <si>
    <t>Account 0630</t>
  </si>
  <si>
    <t>OPP-00319</t>
  </si>
  <si>
    <t>Account 0268</t>
  </si>
  <si>
    <t>OPP-00320</t>
  </si>
  <si>
    <t>Account 0021</t>
  </si>
  <si>
    <t>OPP-00321</t>
  </si>
  <si>
    <t>Account 0464</t>
  </si>
  <si>
    <t>OPP-00322</t>
  </si>
  <si>
    <t>Account 0624</t>
  </si>
  <si>
    <t>OPP-00323</t>
  </si>
  <si>
    <t>Account 0949</t>
  </si>
  <si>
    <t>OPP-00324</t>
  </si>
  <si>
    <t>Account 0008</t>
  </si>
  <si>
    <t>OPP-00325</t>
  </si>
  <si>
    <t>Account 0770</t>
  </si>
  <si>
    <t>OPP-00326</t>
  </si>
  <si>
    <t>Account 0668</t>
  </si>
  <si>
    <t>OPP-00327</t>
  </si>
  <si>
    <t>OPP-00328</t>
  </si>
  <si>
    <t>Account 0774</t>
  </si>
  <si>
    <t>OPP-00329</t>
  </si>
  <si>
    <t>OPP-00330</t>
  </si>
  <si>
    <t>Account 0908</t>
  </si>
  <si>
    <t>OPP-00331</t>
  </si>
  <si>
    <t>Account 0792</t>
  </si>
  <si>
    <t>OPP-00332</t>
  </si>
  <si>
    <t>OPP-00333</t>
  </si>
  <si>
    <t>Account 0230</t>
  </si>
  <si>
    <t>OPP-00334</t>
  </si>
  <si>
    <t>Account 0049</t>
  </si>
  <si>
    <t>OPP-00335</t>
  </si>
  <si>
    <t>Account 0349</t>
  </si>
  <si>
    <t>OPP-00336</t>
  </si>
  <si>
    <t>OPP-00337</t>
  </si>
  <si>
    <t>Account 0914</t>
  </si>
  <si>
    <t>OPP-00338</t>
  </si>
  <si>
    <t>Account 0631</t>
  </si>
  <si>
    <t>OPP-00339</t>
  </si>
  <si>
    <t>OPP-00340</t>
  </si>
  <si>
    <t>OPP-00341</t>
  </si>
  <si>
    <t>OPP-00342</t>
  </si>
  <si>
    <t>Account 0879</t>
  </si>
  <si>
    <t>OPP-00343</t>
  </si>
  <si>
    <t>Account 0828</t>
  </si>
  <si>
    <t>OPP-00344</t>
  </si>
  <si>
    <t>Account 0396</t>
  </si>
  <si>
    <t>OPP-00345</t>
  </si>
  <si>
    <t>Account 0854</t>
  </si>
  <si>
    <t>OPP-00346</t>
  </si>
  <si>
    <t>Account 0558</t>
  </si>
  <si>
    <t>OPP-00347</t>
  </si>
  <si>
    <t>Account 0487</t>
  </si>
  <si>
    <t>OPP-00348</t>
  </si>
  <si>
    <t>Account 0882</t>
  </si>
  <si>
    <t>OPP-00349</t>
  </si>
  <si>
    <t>OPP-00350</t>
  </si>
  <si>
    <t>Account 0344</t>
  </si>
  <si>
    <t>OPP-00351</t>
  </si>
  <si>
    <t>Account 0695</t>
  </si>
  <si>
    <t>OPP-00352</t>
  </si>
  <si>
    <t>Account 0234</t>
  </si>
  <si>
    <t>OPP-00353</t>
  </si>
  <si>
    <t>OPP-00354</t>
  </si>
  <si>
    <t>OPP-00355</t>
  </si>
  <si>
    <t>Account 0294</t>
  </si>
  <si>
    <t>OPP-00356</t>
  </si>
  <si>
    <t>Account 0353</t>
  </si>
  <si>
    <t>OPP-00357</t>
  </si>
  <si>
    <t>Account 0408</t>
  </si>
  <si>
    <t>OPP-00358</t>
  </si>
  <si>
    <t>Account 0339</t>
  </si>
  <si>
    <t>OPP-00359</t>
  </si>
  <si>
    <t>Account 0920</t>
  </si>
  <si>
    <t>OPP-00360</t>
  </si>
  <si>
    <t>Account 0177</t>
  </si>
  <si>
    <t>OPP-00361</t>
  </si>
  <si>
    <t>Account 0875</t>
  </si>
  <si>
    <t>OPP-00362</t>
  </si>
  <si>
    <t>OPP-00363</t>
  </si>
  <si>
    <t>Account 0849</t>
  </si>
  <si>
    <t>OPP-00364</t>
  </si>
  <si>
    <t>Account 0827</t>
  </si>
  <si>
    <t>OPP-00365</t>
  </si>
  <si>
    <t>Account 0789</t>
  </si>
  <si>
    <t>OPP-00366</t>
  </si>
  <si>
    <t>OPP-00367</t>
  </si>
  <si>
    <t>OPP-00368</t>
  </si>
  <si>
    <t>Account 0093</t>
  </si>
  <si>
    <t>OPP-00369</t>
  </si>
  <si>
    <t>Account 0643</t>
  </si>
  <si>
    <t>OPP-00370</t>
  </si>
  <si>
    <t>Account 0074</t>
  </si>
  <si>
    <t>OPP-00371</t>
  </si>
  <si>
    <t>Account 0689</t>
  </si>
  <si>
    <t>OPP-00372</t>
  </si>
  <si>
    <t>Account 0859</t>
  </si>
  <si>
    <t>OPP-00373</t>
  </si>
  <si>
    <t>Account 0818</t>
  </si>
  <si>
    <t>OPP-00374</t>
  </si>
  <si>
    <t>OPP-00375</t>
  </si>
  <si>
    <t>Account 0227</t>
  </si>
  <si>
    <t>OPP-00376</t>
  </si>
  <si>
    <t>OPP-00377</t>
  </si>
  <si>
    <t>Account 0273</t>
  </si>
  <si>
    <t>OPP-00378</t>
  </si>
  <si>
    <t>Account 0166</t>
  </si>
  <si>
    <t>OPP-00379</t>
  </si>
  <si>
    <t>Account 0483</t>
  </si>
  <si>
    <t>OPP-00380</t>
  </si>
  <si>
    <t>Account 0419</t>
  </si>
  <si>
    <t>OPP-00381</t>
  </si>
  <si>
    <t>OPP-00382</t>
  </si>
  <si>
    <t>Account 0282</t>
  </si>
  <si>
    <t>OPP-00383</t>
  </si>
  <si>
    <t>Account 0776</t>
  </si>
  <si>
    <t>OPP-00384</t>
  </si>
  <si>
    <t>Account 0267</t>
  </si>
  <si>
    <t>OPP-00385</t>
  </si>
  <si>
    <t>Account 0065</t>
  </si>
  <si>
    <t>OPP-00386</t>
  </si>
  <si>
    <t>Account 0374</t>
  </si>
  <si>
    <t>OPP-00387</t>
  </si>
  <si>
    <t>OPP-00388</t>
  </si>
  <si>
    <t>Account 0095</t>
  </si>
  <si>
    <t>OPP-00389</t>
  </si>
  <si>
    <t>OPP-00390</t>
  </si>
  <si>
    <t>Account 0606</t>
  </si>
  <si>
    <t>OPP-00391</t>
  </si>
  <si>
    <t>OPP-00392</t>
  </si>
  <si>
    <t>OPP-00393</t>
  </si>
  <si>
    <t>OPP-00394</t>
  </si>
  <si>
    <t>Account 0024</t>
  </si>
  <si>
    <t>OPP-00395</t>
  </si>
  <si>
    <t>Account 0805</t>
  </si>
  <si>
    <t>OPP-00396</t>
  </si>
  <si>
    <t>OPP-00397</t>
  </si>
  <si>
    <t>Account 0646</t>
  </si>
  <si>
    <t>OPP-00398</t>
  </si>
  <si>
    <t>OPP-00399</t>
  </si>
  <si>
    <t>Account 0036</t>
  </si>
  <si>
    <t>OPP-00400</t>
  </si>
  <si>
    <t>Account 0832</t>
  </si>
  <si>
    <t>OPP-00401</t>
  </si>
  <si>
    <t>Account 0138</t>
  </si>
  <si>
    <t>OPP-00402</t>
  </si>
  <si>
    <t>OPP-00403</t>
  </si>
  <si>
    <t>Account 0148</t>
  </si>
  <si>
    <t>OPP-00404</t>
  </si>
  <si>
    <t>Account 0280</t>
  </si>
  <si>
    <t>OPP-00405</t>
  </si>
  <si>
    <t>OPP-00406</t>
  </si>
  <si>
    <t>OPP-00407</t>
  </si>
  <si>
    <t>Account 0928</t>
  </si>
  <si>
    <t>OPP-00408</t>
  </si>
  <si>
    <t>Account 0309</t>
  </si>
  <si>
    <t>OPP-00409</t>
  </si>
  <si>
    <t>OPP-00410</t>
  </si>
  <si>
    <t>OPP-00411</t>
  </si>
  <si>
    <t>OPP-00412</t>
  </si>
  <si>
    <t>Account 0614</t>
  </si>
  <si>
    <t>OPP-00413</t>
  </si>
  <si>
    <t>Account 0503</t>
  </si>
  <si>
    <t>OPP-00414</t>
  </si>
  <si>
    <t>OPP-00415</t>
  </si>
  <si>
    <t>Account 0580</t>
  </si>
  <si>
    <t>OPP-00416</t>
  </si>
  <si>
    <t>Account 0306</t>
  </si>
  <si>
    <t>OPP-00417</t>
  </si>
  <si>
    <t>Account 0288</t>
  </si>
  <si>
    <t>OPP-00418</t>
  </si>
  <si>
    <t>OPP-00419</t>
  </si>
  <si>
    <t>OPP-00420</t>
  </si>
  <si>
    <t>Account 0927</t>
  </si>
  <si>
    <t>OPP-00421</t>
  </si>
  <si>
    <t>Account 0877</t>
  </si>
  <si>
    <t>OPP-00422</t>
  </si>
  <si>
    <t>OPP-00423</t>
  </si>
  <si>
    <t>Account 0252</t>
  </si>
  <si>
    <t>OPP-00424</t>
  </si>
  <si>
    <t>Account 0794</t>
  </si>
  <si>
    <t>OPP-00425</t>
  </si>
  <si>
    <t>OPP-00426</t>
  </si>
  <si>
    <t>Account 0817</t>
  </si>
  <si>
    <t>OPP-00427</t>
  </si>
  <si>
    <t>Account 0190</t>
  </si>
  <si>
    <t>OPP-00428</t>
  </si>
  <si>
    <t>OPP-00429</t>
  </si>
  <si>
    <t>OPP-00430</t>
  </si>
  <si>
    <t>OPP-00431</t>
  </si>
  <si>
    <t>Account 0173</t>
  </si>
  <si>
    <t>OPP-00432</t>
  </si>
  <si>
    <t>Account 0777</t>
  </si>
  <si>
    <t>OPP-00433</t>
  </si>
  <si>
    <t>Account 0329</t>
  </si>
  <si>
    <t>OPP-00434</t>
  </si>
  <si>
    <t>Account 0123</t>
  </si>
  <si>
    <t>OPP-00435</t>
  </si>
  <si>
    <t>Account 0064</t>
  </si>
  <si>
    <t>OPP-00436</t>
  </si>
  <si>
    <t>OPP-00437</t>
  </si>
  <si>
    <t>Account 0936</t>
  </si>
  <si>
    <t>OPP-00438</t>
  </si>
  <si>
    <t>OPP-00439</t>
  </si>
  <si>
    <t>Account 0638</t>
  </si>
  <si>
    <t>OPP-00440</t>
  </si>
  <si>
    <t>Account 0702</t>
  </si>
  <si>
    <t>OPP-00441</t>
  </si>
  <si>
    <t>Account 0747</t>
  </si>
  <si>
    <t>OPP-00442</t>
  </si>
  <si>
    <t>Account 0160</t>
  </si>
  <si>
    <t>OPP-00443</t>
  </si>
  <si>
    <t>Account 0737</t>
  </si>
  <si>
    <t>OPP-00444</t>
  </si>
  <si>
    <t>Account 0570</t>
  </si>
  <si>
    <t>OPP-00445</t>
  </si>
  <si>
    <t>OPP-00446</t>
  </si>
  <si>
    <t>OPP-00447</t>
  </si>
  <si>
    <t>Account 0780</t>
  </si>
  <si>
    <t>OPP-00448</t>
  </si>
  <si>
    <t>Account 0851</t>
  </si>
  <si>
    <t>OPP-00449</t>
  </si>
  <si>
    <t>OPP-00450</t>
  </si>
  <si>
    <t>Account 0223</t>
  </si>
  <si>
    <t>OPP-00451</t>
  </si>
  <si>
    <t>OPP-00452</t>
  </si>
  <si>
    <t>Account 0598</t>
  </si>
  <si>
    <t>OPP-00453</t>
  </si>
  <si>
    <t>OPP-00454</t>
  </si>
  <si>
    <t>OPP-00455</t>
  </si>
  <si>
    <t>Account 0551</t>
  </si>
  <si>
    <t>OPP-00456</t>
  </si>
  <si>
    <t>Account 0134</t>
  </si>
  <si>
    <t>OPP-00457</t>
  </si>
  <si>
    <t>Account 0119</t>
  </si>
  <si>
    <t>OPP-00458</t>
  </si>
  <si>
    <t>Account 0700</t>
  </si>
  <si>
    <t>OPP-00459</t>
  </si>
  <si>
    <t>Account 0135</t>
  </si>
  <si>
    <t>OPP-00460</t>
  </si>
  <si>
    <t>OPP-00461</t>
  </si>
  <si>
    <t>OPP-00462</t>
  </si>
  <si>
    <t>Account 0441</t>
  </si>
  <si>
    <t>OPP-00463</t>
  </si>
  <si>
    <t>Account 0092</t>
  </si>
  <si>
    <t>OPP-00464</t>
  </si>
  <si>
    <t>Account 0055</t>
  </si>
  <si>
    <t>OPP-00465</t>
  </si>
  <si>
    <t>OPP-00466</t>
  </si>
  <si>
    <t>OPP-00467</t>
  </si>
  <si>
    <t>Account 0825</t>
  </si>
  <si>
    <t>OPP-00468</t>
  </si>
  <si>
    <t>Account 0217</t>
  </si>
  <si>
    <t>OPP-00469</t>
  </si>
  <si>
    <t>OPP-00470</t>
  </si>
  <si>
    <t>Account 0440</t>
  </si>
  <si>
    <t>OPP-00471</t>
  </si>
  <si>
    <t>Account 0178</t>
  </si>
  <si>
    <t>OPP-00472</t>
  </si>
  <si>
    <t>Account 0293</t>
  </si>
  <si>
    <t>OPP-00473</t>
  </si>
  <si>
    <t>Account 0884</t>
  </si>
  <si>
    <t>OPP-00474</t>
  </si>
  <si>
    <t>OPP-00475</t>
  </si>
  <si>
    <t>OPP-00476</t>
  </si>
  <si>
    <t>Account 0790</t>
  </si>
  <si>
    <t>OPP-00477</t>
  </si>
  <si>
    <t>Account 0142</t>
  </si>
  <si>
    <t>OPP-00478</t>
  </si>
  <si>
    <t>Account 0901</t>
  </si>
  <si>
    <t>OPP-00479</t>
  </si>
  <si>
    <t>OPP-00480</t>
  </si>
  <si>
    <t>OPP-00481</t>
  </si>
  <si>
    <t>OPP-00482</t>
  </si>
  <si>
    <t>OPP-00483</t>
  </si>
  <si>
    <t>Account 0492</t>
  </si>
  <si>
    <t>OPP-00484</t>
  </si>
  <si>
    <t>OPP-00485</t>
  </si>
  <si>
    <t>OPP-00486</t>
  </si>
  <si>
    <t>OPP-00487</t>
  </si>
  <si>
    <t>Account 0885</t>
  </si>
  <si>
    <t>OPP-00488</t>
  </si>
  <si>
    <t>OPP-00489</t>
  </si>
  <si>
    <t>OPP-00490</t>
  </si>
  <si>
    <t>Account 0186</t>
  </si>
  <si>
    <t>OPP-00491</t>
  </si>
  <si>
    <t>Account 0535</t>
  </si>
  <si>
    <t>OPP-00492</t>
  </si>
  <si>
    <t>OPP-00493</t>
  </si>
  <si>
    <t>OPP-00494</t>
  </si>
  <si>
    <t>OPP-00495</t>
  </si>
  <si>
    <t>Account 0921</t>
  </si>
  <si>
    <t>OPP-00496</t>
  </si>
  <si>
    <t>Account 0452</t>
  </si>
  <si>
    <t>OPP-00497</t>
  </si>
  <si>
    <t>OPP-00498</t>
  </si>
  <si>
    <t>OPP-00499</t>
  </si>
  <si>
    <t>Account 0543</t>
  </si>
  <si>
    <t>OPP-00500</t>
  </si>
  <si>
    <t>Account 0219</t>
  </si>
  <si>
    <t>OPP-00501</t>
  </si>
  <si>
    <t>Account 0332</t>
  </si>
  <si>
    <t>OPP-00502</t>
  </si>
  <si>
    <t>Account 0852</t>
  </si>
  <si>
    <t>OPP-00503</t>
  </si>
  <si>
    <t>Account 0625</t>
  </si>
  <si>
    <t>OPP-00504</t>
  </si>
  <si>
    <t>Account 0586</t>
  </si>
  <si>
    <t>OPP-00505</t>
  </si>
  <si>
    <t>Account 0031</t>
  </si>
  <si>
    <t>OPP-00506</t>
  </si>
  <si>
    <t>OPP-00507</t>
  </si>
  <si>
    <t>Account 0950</t>
  </si>
  <si>
    <t>OPP-00508</t>
  </si>
  <si>
    <t>Account 0180</t>
  </si>
  <si>
    <t>OPP-00509</t>
  </si>
  <si>
    <t>Account 0158</t>
  </si>
  <si>
    <t>OPP-00510</t>
  </si>
  <si>
    <t>Account 0366</t>
  </si>
  <si>
    <t>OPP-00511</t>
  </si>
  <si>
    <t>OPP-00512</t>
  </si>
  <si>
    <t>Account 0465</t>
  </si>
  <si>
    <t>OPP-00513</t>
  </si>
  <si>
    <t>Account 0890</t>
  </si>
  <si>
    <t>OPP-00514</t>
  </si>
  <si>
    <t>OPP-00515</t>
  </si>
  <si>
    <t>Account 0622</t>
  </si>
  <si>
    <t>OPP-00516</t>
  </si>
  <si>
    <t>OPP-00517</t>
  </si>
  <si>
    <t>OPP-00518</t>
  </si>
  <si>
    <t>Account 0753</t>
  </si>
  <si>
    <t>OPP-00519</t>
  </si>
  <si>
    <t>Account 0444</t>
  </si>
  <si>
    <t>OPP-00520</t>
  </si>
  <si>
    <t>OPP-00521</t>
  </si>
  <si>
    <t>Account 0808</t>
  </si>
  <si>
    <t>OPP-00522</t>
  </si>
  <si>
    <t>Account 0683</t>
  </si>
  <si>
    <t>OPP-00523</t>
  </si>
  <si>
    <t>Account 0358</t>
  </si>
  <si>
    <t>OPP-00524</t>
  </si>
  <si>
    <t>Account 0855</t>
  </si>
  <si>
    <t>OPP-00525</t>
  </si>
  <si>
    <t>Account 0671</t>
  </si>
  <si>
    <t>OPP-00526</t>
  </si>
  <si>
    <t>Account 0346</t>
  </si>
  <si>
    <t>OPP-00527</t>
  </si>
  <si>
    <t>Account 0360</t>
  </si>
  <si>
    <t>OPP-00528</t>
  </si>
  <si>
    <t>OPP-00529</t>
  </si>
  <si>
    <t>Account 0147</t>
  </si>
  <si>
    <t>OPP-00530</t>
  </si>
  <si>
    <t>OPP-00531</t>
  </si>
  <si>
    <t>Account 0540</t>
  </si>
  <si>
    <t>OPP-00532</t>
  </si>
  <si>
    <t>Account 0480</t>
  </si>
  <si>
    <t>OPP-00533</t>
  </si>
  <si>
    <t>Account 0719</t>
  </si>
  <si>
    <t>OPP-00534</t>
  </si>
  <si>
    <t>OPP-00535</t>
  </si>
  <si>
    <t>OPP-00536</t>
  </si>
  <si>
    <t>Account 0801</t>
  </si>
  <si>
    <t>OPP-00537</t>
  </si>
  <si>
    <t>Account 0449</t>
  </si>
  <si>
    <t>OPP-00538</t>
  </si>
  <si>
    <t>Account 0511</t>
  </si>
  <si>
    <t>OPP-00539</t>
  </si>
  <si>
    <t>Account 0893</t>
  </si>
  <si>
    <t>OPP-00540</t>
  </si>
  <si>
    <t>Account 0378</t>
  </si>
  <si>
    <t>OPP-00541</t>
  </si>
  <si>
    <t>Account 0603</t>
  </si>
  <si>
    <t>OPP-00542</t>
  </si>
  <si>
    <t>OPP-00543</t>
  </si>
  <si>
    <t>OPP-00544</t>
  </si>
  <si>
    <t>OPP-00545</t>
  </si>
  <si>
    <t>OPP-00546</t>
  </si>
  <si>
    <t>Account 0481</t>
  </si>
  <si>
    <t>OPP-00547</t>
  </si>
  <si>
    <t>OPP-00548</t>
  </si>
  <si>
    <t>OPP-00549</t>
  </si>
  <si>
    <t>Account 0788</t>
  </si>
  <si>
    <t>OPP-00550</t>
  </si>
  <si>
    <t>Account 0097</t>
  </si>
  <si>
    <t>OPP-00551</t>
  </si>
  <si>
    <t>Account 0684</t>
  </si>
  <si>
    <t>OPP-00552</t>
  </si>
  <si>
    <t>OPP-00553</t>
  </si>
  <si>
    <t>OPP-00554</t>
  </si>
  <si>
    <t>Account 0429</t>
  </si>
  <si>
    <t>OPP-00555</t>
  </si>
  <si>
    <t>OPP-00556</t>
  </si>
  <si>
    <t>OPP-00557</t>
  </si>
  <si>
    <t>Account 0754</t>
  </si>
  <si>
    <t>OPP-00558</t>
  </si>
  <si>
    <t>Account 0431</t>
  </si>
  <si>
    <t>OPP-00559</t>
  </si>
  <si>
    <t>Account 0919</t>
  </si>
  <si>
    <t>OPP-00560</t>
  </si>
  <si>
    <t>OPP-00561</t>
  </si>
  <si>
    <t>Account 0379</t>
  </si>
  <si>
    <t>OPP-00562</t>
  </si>
  <si>
    <t>Account 0873</t>
  </si>
  <si>
    <t>OPP-00563</t>
  </si>
  <si>
    <t>OPP-00564</t>
  </si>
  <si>
    <t>OPP-00565</t>
  </si>
  <si>
    <t>OPP-00566</t>
  </si>
  <si>
    <t>Account 0834</t>
  </si>
  <si>
    <t>OPP-00567</t>
  </si>
  <si>
    <t>OPP-00568</t>
  </si>
  <si>
    <t>OPP-00569</t>
  </si>
  <si>
    <t>Account 0162</t>
  </si>
  <si>
    <t>OPP-00570</t>
  </si>
  <si>
    <t>Account 0545</t>
  </si>
  <si>
    <t>OPP-00571</t>
  </si>
  <si>
    <t>Account 0062</t>
  </si>
  <si>
    <t>OPP-00572</t>
  </si>
  <si>
    <t>OPP-00573</t>
  </si>
  <si>
    <t>OPP-00574</t>
  </si>
  <si>
    <t>OPP-00575</t>
  </si>
  <si>
    <t>OPP-00576</t>
  </si>
  <si>
    <t>OPP-00577</t>
  </si>
  <si>
    <t>Account 0929</t>
  </si>
  <si>
    <t>OPP-00578</t>
  </si>
  <si>
    <t>OPP-00579</t>
  </si>
  <si>
    <t>Account 0005</t>
  </si>
  <si>
    <t>OPP-00580</t>
  </si>
  <si>
    <t>OPP-00581</t>
  </si>
  <si>
    <t>Account 0204</t>
  </si>
  <si>
    <t>OPP-00582</t>
  </si>
  <si>
    <t>OPP-00583</t>
  </si>
  <si>
    <t>OPP-00584</t>
  </si>
  <si>
    <t>Account 0246</t>
  </si>
  <si>
    <t>OPP-00585</t>
  </si>
  <si>
    <t>Account 0274</t>
  </si>
  <si>
    <t>OPP-00586</t>
  </si>
  <si>
    <t>Account 0426</t>
  </si>
  <si>
    <t>OPP-00587</t>
  </si>
  <si>
    <t>Account 0404</t>
  </si>
  <si>
    <t>OPP-00588</t>
  </si>
  <si>
    <t>Account 0432</t>
  </si>
  <si>
    <t>OPP-00589</t>
  </si>
  <si>
    <t>Account 0278</t>
  </si>
  <si>
    <t>OPP-00590</t>
  </si>
  <si>
    <t>OPP-00591</t>
  </si>
  <si>
    <t>OPP-00592</t>
  </si>
  <si>
    <t>Account 0319</t>
  </si>
  <si>
    <t>OPP-00593</t>
  </si>
  <si>
    <t>OPP-00594</t>
  </si>
  <si>
    <t>Account 0468</t>
  </si>
  <si>
    <t>OPP-00595</t>
  </si>
  <si>
    <t>OPP-00596</t>
  </si>
  <si>
    <t>OPP-00597</t>
  </si>
  <si>
    <t>Account 0864</t>
  </si>
  <si>
    <t>OPP-00598</t>
  </si>
  <si>
    <t>OPP-00599</t>
  </si>
  <si>
    <t>Account 0397</t>
  </si>
  <si>
    <t>OPP-00600</t>
  </si>
  <si>
    <t>OPP-00601</t>
  </si>
  <si>
    <t>OPP-00602</t>
  </si>
  <si>
    <t>Account 0363</t>
  </si>
  <si>
    <t>OPP-00603</t>
  </si>
  <si>
    <t>Account 0494</t>
  </si>
  <si>
    <t>OPP-00604</t>
  </si>
  <si>
    <t>Account 0235</t>
  </si>
  <si>
    <t>OPP-00605</t>
  </si>
  <si>
    <t>OPP-00606</t>
  </si>
  <si>
    <t>Account 0841</t>
  </si>
  <si>
    <t>OPP-00607</t>
  </si>
  <si>
    <t>OPP-00608</t>
  </si>
  <si>
    <t>Account 0087</t>
  </si>
  <si>
    <t>OPP-00609</t>
  </si>
  <si>
    <t>Account 0517</t>
  </si>
  <si>
    <t>OPP-00610</t>
  </si>
  <si>
    <t>Account 0342</t>
  </si>
  <si>
    <t>OPP-00611</t>
  </si>
  <si>
    <t>OPP-00612</t>
  </si>
  <si>
    <t>OPP-00613</t>
  </si>
  <si>
    <t>Account 0769</t>
  </si>
  <si>
    <t>OPP-00614</t>
  </si>
  <si>
    <t>Account 0947</t>
  </si>
  <si>
    <t>OPP-00615</t>
  </si>
  <si>
    <t>OPP-00616</t>
  </si>
  <si>
    <t>Account 0711</t>
  </si>
  <si>
    <t>OPP-00617</t>
  </si>
  <si>
    <t>Account 0562</t>
  </si>
  <si>
    <t>OPP-00618</t>
  </si>
  <si>
    <t>Account 0898</t>
  </si>
  <si>
    <t>OPP-00619</t>
  </si>
  <si>
    <t>OPP-00620</t>
  </si>
  <si>
    <t>OPP-00621</t>
  </si>
  <si>
    <t>OPP-00622</t>
  </si>
  <si>
    <t>OPP-00623</t>
  </si>
  <si>
    <t>Account 0697</t>
  </si>
  <si>
    <t>OPP-00624</t>
  </si>
  <si>
    <t>OPP-00625</t>
  </si>
  <si>
    <t>Account 0301</t>
  </si>
  <si>
    <t>OPP-00626</t>
  </si>
  <si>
    <t>Account 0399</t>
  </si>
  <si>
    <t>OPP-00627</t>
  </si>
  <si>
    <t>Account 0521</t>
  </si>
  <si>
    <t>OPP-00628</t>
  </si>
  <si>
    <t>OPP-00629</t>
  </si>
  <si>
    <t>OPP-00630</t>
  </si>
  <si>
    <t>OPP-00631</t>
  </si>
  <si>
    <t>Account 0786</t>
  </si>
  <si>
    <t>OPP-00632</t>
  </si>
  <si>
    <t>Account 0514</t>
  </si>
  <si>
    <t>OPP-00633</t>
  </si>
  <si>
    <t>OPP-00634</t>
  </si>
  <si>
    <t>Account 0276</t>
  </si>
  <si>
    <t>OPP-00635</t>
  </si>
  <si>
    <t>Account 0681</t>
  </si>
  <si>
    <t>OPP-00636</t>
  </si>
  <si>
    <t>Account 0520</t>
  </si>
  <si>
    <t>OPP-00637</t>
  </si>
  <si>
    <t>Account 0189</t>
  </si>
  <si>
    <t>OPP-00638</t>
  </si>
  <si>
    <t>Account 0295</t>
  </si>
  <si>
    <t>OPP-00639</t>
  </si>
  <si>
    <t>OPP-00640</t>
  </si>
  <si>
    <t>Account 0310</t>
  </si>
  <si>
    <t>OPP-00641</t>
  </si>
  <si>
    <t>Account 0243</t>
  </si>
  <si>
    <t>OPP-00642</t>
  </si>
  <si>
    <t>OPP-00643</t>
  </si>
  <si>
    <t>OPP-00644</t>
  </si>
  <si>
    <t>Account 0469</t>
  </si>
  <si>
    <t>OPP-00645</t>
  </si>
  <si>
    <t>Account 0324</t>
  </si>
  <si>
    <t>OPP-00646</t>
  </si>
  <si>
    <t>OPP-00647</t>
  </si>
  <si>
    <t>OPP-00648</t>
  </si>
  <si>
    <t>Account 0058</t>
  </si>
  <si>
    <t>OPP-00649</t>
  </si>
  <si>
    <t>Account 0740</t>
  </si>
  <si>
    <t>OPP-00650</t>
  </si>
  <si>
    <t>OPP-00651</t>
  </si>
  <si>
    <t>OPP-00652</t>
  </si>
  <si>
    <t>Account 0905</t>
  </si>
  <si>
    <t>OPP-00653</t>
  </si>
  <si>
    <t>OPP-00654</t>
  </si>
  <si>
    <t>Account 0525</t>
  </si>
  <si>
    <t>OPP-00655</t>
  </si>
  <si>
    <t>Account 0673</t>
  </si>
  <si>
    <t>OPP-00656</t>
  </si>
  <si>
    <t>Account 0165</t>
  </si>
  <si>
    <t>OPP-00657</t>
  </si>
  <si>
    <t>Account 0401</t>
  </si>
  <si>
    <t>OPP-00658</t>
  </si>
  <si>
    <t>OPP-00659</t>
  </si>
  <si>
    <t>Account 0247</t>
  </si>
  <si>
    <t>OPP-00660</t>
  </si>
  <si>
    <t>Account 0698</t>
  </si>
  <si>
    <t>OPP-00661</t>
  </si>
  <si>
    <t>Account 0772</t>
  </si>
  <si>
    <t>OPP-00662</t>
  </si>
  <si>
    <t>Account 0568</t>
  </si>
  <si>
    <t>OPP-00663</t>
  </si>
  <si>
    <t>Account 0304</t>
  </si>
  <si>
    <t>OPP-00664</t>
  </si>
  <si>
    <t>Account 0515</t>
  </si>
  <si>
    <t>OPP-00665</t>
  </si>
  <si>
    <t>OPP-00666</t>
  </si>
  <si>
    <t>Account 0533</t>
  </si>
  <si>
    <t>OPP-00667</t>
  </si>
  <si>
    <t>OPP-00668</t>
  </si>
  <si>
    <t>OPP-00669</t>
  </si>
  <si>
    <t>Account 0732</t>
  </si>
  <si>
    <t>OPP-00670</t>
  </si>
  <si>
    <t>OPP-00671</t>
  </si>
  <si>
    <t>OPP-00672</t>
  </si>
  <si>
    <t>Account 0250</t>
  </si>
  <si>
    <t>OPP-00673</t>
  </si>
  <si>
    <t>Account 0034</t>
  </si>
  <si>
    <t>OPP-00674</t>
  </si>
  <si>
    <t>OPP-00675</t>
  </si>
  <si>
    <t>Account 0761</t>
  </si>
  <si>
    <t>OPP-00676</t>
  </si>
  <si>
    <t>Account 0145</t>
  </si>
  <si>
    <t>OPP-00677</t>
  </si>
  <si>
    <t>Account 0895</t>
  </si>
  <si>
    <t>OPP-00678</t>
  </si>
  <si>
    <t>Account 0579</t>
  </si>
  <si>
    <t>OPP-00679</t>
  </si>
  <si>
    <t>Account 0714</t>
  </si>
  <si>
    <t>OPP-00680</t>
  </si>
  <si>
    <t>OPP-00681</t>
  </si>
  <si>
    <t>Account 0417</t>
  </si>
  <si>
    <t>OPP-00682</t>
  </si>
  <si>
    <t>Account 0924</t>
  </si>
  <si>
    <t>OPP-00683</t>
  </si>
  <si>
    <t>OPP-00684</t>
  </si>
  <si>
    <t>Account 0581</t>
  </si>
  <si>
    <t>OPP-00685</t>
  </si>
  <si>
    <t>Account 0601</t>
  </si>
  <si>
    <t>OPP-00686</t>
  </si>
  <si>
    <t>OPP-00687</t>
  </si>
  <si>
    <t>OPP-00688</t>
  </si>
  <si>
    <t>OPP-00689</t>
  </si>
  <si>
    <t>OPP-00690</t>
  </si>
  <si>
    <t>Account 0260</t>
  </si>
  <si>
    <t>OPP-00691</t>
  </si>
  <si>
    <t>OPP-00692</t>
  </si>
  <si>
    <t>Account 0472</t>
  </si>
  <si>
    <t>OPP-00693</t>
  </si>
  <si>
    <t>OPP-00694</t>
  </si>
  <si>
    <t>Account 0188</t>
  </si>
  <si>
    <t>OPP-00695</t>
  </si>
  <si>
    <t>OPP-00696</t>
  </si>
  <si>
    <t>Account 0800</t>
  </si>
  <si>
    <t>OPP-00697</t>
  </si>
  <si>
    <t>Account 0564</t>
  </si>
  <si>
    <t>OPP-00698</t>
  </si>
  <si>
    <t>Account 0471</t>
  </si>
  <si>
    <t>OPP-00699</t>
  </si>
  <si>
    <t>OPP-00700</t>
  </si>
  <si>
    <t>OPP-00701</t>
  </si>
  <si>
    <t>OPP-00702</t>
  </si>
  <si>
    <t>Account 0615</t>
  </si>
  <si>
    <t>OPP-00703</t>
  </si>
  <si>
    <t>Account 0129</t>
  </si>
  <si>
    <t>OPP-00704</t>
  </si>
  <si>
    <t>Account 0662</t>
  </si>
  <si>
    <t>OPP-00705</t>
  </si>
  <si>
    <t>Account 0168</t>
  </si>
  <si>
    <t>OPP-00706</t>
  </si>
  <si>
    <t>OPP-00707</t>
  </si>
  <si>
    <t>OPP-00708</t>
  </si>
  <si>
    <t>Account 0279</t>
  </si>
  <si>
    <t>OPP-00709</t>
  </si>
  <si>
    <t>Account 0206</t>
  </si>
  <si>
    <t>OPP-00710</t>
  </si>
  <si>
    <t>Account 0141</t>
  </si>
  <si>
    <t>OPP-00711</t>
  </si>
  <si>
    <t>OPP-00712</t>
  </si>
  <si>
    <t>Account 0837</t>
  </si>
  <si>
    <t>OPP-00713</t>
  </si>
  <si>
    <t>Account 0491</t>
  </si>
  <si>
    <t>OPP-00714</t>
  </si>
  <si>
    <t>OPP-00715</t>
  </si>
  <si>
    <t>Account 0369</t>
  </si>
  <si>
    <t>OPP-00716</t>
  </si>
  <si>
    <t>OPP-00717</t>
  </si>
  <si>
    <t>OPP-00718</t>
  </si>
  <si>
    <t>OPP-00719</t>
  </si>
  <si>
    <t>OPP-00720</t>
  </si>
  <si>
    <t>Account 0797</t>
  </si>
  <si>
    <t>OPP-00721</t>
  </si>
  <si>
    <t>Account 0290</t>
  </si>
  <si>
    <t>OPP-00722</t>
  </si>
  <si>
    <t>OPP-00723</t>
  </si>
  <si>
    <t>Account 0040</t>
  </si>
  <si>
    <t>OPP-00724</t>
  </si>
  <si>
    <t>OPP-00725</t>
  </si>
  <si>
    <t>OPP-00726</t>
  </si>
  <si>
    <t>OPP-00727</t>
  </si>
  <si>
    <t>Account 0812</t>
  </si>
  <si>
    <t>OPP-00728</t>
  </si>
  <si>
    <t>Account 0692</t>
  </si>
  <si>
    <t>OPP-00729</t>
  </si>
  <si>
    <t>Account 0271</t>
  </si>
  <si>
    <t>OPP-00730</t>
  </si>
  <si>
    <t>Account 0066</t>
  </si>
  <si>
    <t>OPP-00731</t>
  </si>
  <si>
    <t>OPP-00732</t>
  </si>
  <si>
    <t>Account 0600</t>
  </si>
  <si>
    <t>OPP-00733</t>
  </si>
  <si>
    <t>Account 0067</t>
  </si>
  <si>
    <t>OPP-00734</t>
  </si>
  <si>
    <t>Account 0266</t>
  </si>
  <si>
    <t>OPP-00735</t>
  </si>
  <si>
    <t>Account 0733</t>
  </si>
  <si>
    <t>OPP-00736</t>
  </si>
  <si>
    <t>Account 0042</t>
  </si>
  <si>
    <t>OPP-00737</t>
  </si>
  <si>
    <t>Account 0457</t>
  </si>
  <si>
    <t>OPP-00738</t>
  </si>
  <si>
    <t>Account 0889</t>
  </si>
  <si>
    <t>OPP-00739</t>
  </si>
  <si>
    <t>Account 0389</t>
  </si>
  <si>
    <t>OPP-00740</t>
  </si>
  <si>
    <t>Account 0199</t>
  </si>
  <si>
    <t>OPP-00741</t>
  </si>
  <si>
    <t>OPP-00742</t>
  </si>
  <si>
    <t>Account 0448</t>
  </si>
  <si>
    <t>OPP-00743</t>
  </si>
  <si>
    <t>Account 0710</t>
  </si>
  <si>
    <t>OPP-00744</t>
  </si>
  <si>
    <t>Account 0900</t>
  </si>
  <si>
    <t>OPP-00745</t>
  </si>
  <si>
    <t>Account 0257</t>
  </si>
  <si>
    <t>OPP-00746</t>
  </si>
  <si>
    <t>Account 0802</t>
  </si>
  <si>
    <t>OPP-00747</t>
  </si>
  <si>
    <t>OPP-00748</t>
  </si>
  <si>
    <t>Account 0240</t>
  </si>
  <si>
    <t>OPP-00749</t>
  </si>
  <si>
    <t>OPP-00750</t>
  </si>
  <si>
    <t>OPP-00751</t>
  </si>
  <si>
    <t>OPP-00752</t>
  </si>
  <si>
    <t>Account 0020</t>
  </si>
  <si>
    <t>OPP-00753</t>
  </si>
  <si>
    <t>OPP-00754</t>
  </si>
  <si>
    <t>OPP-00755</t>
  </si>
  <si>
    <t>OPP-00756</t>
  </si>
  <si>
    <t>OPP-00757</t>
  </si>
  <si>
    <t>OPP-00758</t>
  </si>
  <si>
    <t>Account 0725</t>
  </si>
  <si>
    <t>OPP-00759</t>
  </si>
  <si>
    <t>Account 0482</t>
  </si>
  <si>
    <t>OPP-00760</t>
  </si>
  <si>
    <t>Account 0086</t>
  </si>
  <si>
    <t>OPP-00761</t>
  </si>
  <si>
    <t>Account 0597</t>
  </si>
  <si>
    <t>OPP-00762</t>
  </si>
  <si>
    <t>Account 0110</t>
  </si>
  <si>
    <t>OPP-00763</t>
  </si>
  <si>
    <t>OPP-00764</t>
  </si>
  <si>
    <t>Account 0104</t>
  </si>
  <si>
    <t>OPP-00765</t>
  </si>
  <si>
    <t>OPP-00766</t>
  </si>
  <si>
    <t>OPP-00767</t>
  </si>
  <si>
    <t>OPP-00768</t>
  </si>
  <si>
    <t>OPP-00769</t>
  </si>
  <si>
    <t>Account 0132</t>
  </si>
  <si>
    <t>OPP-00770</t>
  </si>
  <si>
    <t>Account 0300</t>
  </si>
  <si>
    <t>OPP-00771</t>
  </si>
  <si>
    <t>Account 0088</t>
  </si>
  <si>
    <t>OPP-00772</t>
  </si>
  <si>
    <t>OPP-00773</t>
  </si>
  <si>
    <t>Account 0313</t>
  </si>
  <si>
    <t>OPP-00774</t>
  </si>
  <si>
    <t>OPP-00775</t>
  </si>
  <si>
    <t>OPP-00776</t>
  </si>
  <si>
    <t>OPP-00777</t>
  </si>
  <si>
    <t>Account 0880</t>
  </si>
  <si>
    <t>OPP-00778</t>
  </si>
  <si>
    <t>OPP-00779</t>
  </si>
  <si>
    <t>OPP-00780</t>
  </si>
  <si>
    <t>OPP-00781</t>
  </si>
  <si>
    <t>OPP-00782</t>
  </si>
  <si>
    <t>OPP-00783</t>
  </si>
  <si>
    <t>OPP-00784</t>
  </si>
  <si>
    <t>OPP-00785</t>
  </si>
  <si>
    <t>OPP-00786</t>
  </si>
  <si>
    <t>Account 0945</t>
  </si>
  <si>
    <t>OPP-00787</t>
  </si>
  <si>
    <t>Account 0826</t>
  </si>
  <si>
    <t>OPP-00788</t>
  </si>
  <si>
    <t>OPP-00789</t>
  </si>
  <si>
    <t>OPP-00790</t>
  </si>
  <si>
    <t>OPP-00791</t>
  </si>
  <si>
    <t>OPP-00792</t>
  </si>
  <si>
    <t>OPP-00793</t>
  </si>
  <si>
    <t>OPP-00794</t>
  </si>
  <si>
    <t>OPP-00795</t>
  </si>
  <si>
    <t>OPP-00796</t>
  </si>
  <si>
    <t>OPP-00797</t>
  </si>
  <si>
    <t>Account 0629</t>
  </si>
  <si>
    <t>OPP-00798</t>
  </si>
  <si>
    <t>Account 0376</t>
  </si>
  <si>
    <t>OPP-00799</t>
  </si>
  <si>
    <t>OPP-00800</t>
  </si>
  <si>
    <t>OPP-00801</t>
  </si>
  <si>
    <t>Account 0364</t>
  </si>
  <si>
    <t>OPP-00802</t>
  </si>
  <si>
    <t>OPP-00803</t>
  </si>
  <si>
    <t>Account 0068</t>
  </si>
  <si>
    <t>OPP-00804</t>
  </si>
  <si>
    <t>OPP-00805</t>
  </si>
  <si>
    <t>Account 0100</t>
  </si>
  <si>
    <t>OPP-00806</t>
  </si>
  <si>
    <t>OPP-00807</t>
  </si>
  <si>
    <t>Account 0047</t>
  </si>
  <si>
    <t>OPP-00808</t>
  </si>
  <si>
    <t>OPP-00809</t>
  </si>
  <si>
    <t>OPP-00810</t>
  </si>
  <si>
    <t>OPP-00811</t>
  </si>
  <si>
    <t>Account 0179</t>
  </si>
  <si>
    <t>OPP-00812</t>
  </si>
  <si>
    <t>OPP-00813</t>
  </si>
  <si>
    <t>OPP-00814</t>
  </si>
  <si>
    <t>OPP-00815</t>
  </si>
  <si>
    <t>OPP-00816</t>
  </si>
  <si>
    <t>OPP-00817</t>
  </si>
  <si>
    <t>Account 0010</t>
  </si>
  <si>
    <t>OPP-00818</t>
  </si>
  <si>
    <t>Account 0116</t>
  </si>
  <si>
    <t>OPP-00819</t>
  </si>
  <si>
    <t>OPP-00820</t>
  </si>
  <si>
    <t>OPP-00821</t>
  </si>
  <si>
    <t>OPP-00822</t>
  </si>
  <si>
    <t>Account 0214</t>
  </si>
  <si>
    <t>OPP-00823</t>
  </si>
  <si>
    <t>OPP-00824</t>
  </si>
  <si>
    <t>OPP-00825</t>
  </si>
  <si>
    <t>OPP-00826</t>
  </si>
  <si>
    <t>Account 0423</t>
  </si>
  <si>
    <t>OPP-00827</t>
  </si>
  <si>
    <t>Account 0829</t>
  </si>
  <si>
    <t>OPP-00828</t>
  </si>
  <si>
    <t>OPP-00829</t>
  </si>
  <si>
    <t>OPP-00830</t>
  </si>
  <si>
    <t>OPP-00831</t>
  </si>
  <si>
    <t>OPP-00832</t>
  </si>
  <si>
    <t>OPP-00833</t>
  </si>
  <si>
    <t>OPP-00834</t>
  </si>
  <si>
    <t>Account 0202</t>
  </si>
  <si>
    <t>OPP-00835</t>
  </si>
  <si>
    <t>Account 0639</t>
  </si>
  <si>
    <t>OPP-00836</t>
  </si>
  <si>
    <t>Account 0486</t>
  </si>
  <si>
    <t>OPP-00837</t>
  </si>
  <si>
    <t>OPP-00838</t>
  </si>
  <si>
    <t>OPP-00839</t>
  </si>
  <si>
    <t>Account 0871</t>
  </si>
  <si>
    <t>OPP-00840</t>
  </si>
  <si>
    <t>OPP-00841</t>
  </si>
  <si>
    <t>Account 0333</t>
  </si>
  <si>
    <t>OPP-00842</t>
  </si>
  <si>
    <t>OPP-00843</t>
  </si>
  <si>
    <t>OPP-00844</t>
  </si>
  <si>
    <t>OPP-00845</t>
  </si>
  <si>
    <t>OPP-00846</t>
  </si>
  <si>
    <t>OPP-00847</t>
  </si>
  <si>
    <t>Account 0674</t>
  </si>
  <si>
    <t>OPP-00848</t>
  </si>
  <si>
    <t>Account 0722</t>
  </si>
  <si>
    <t>OPP-00849</t>
  </si>
  <si>
    <t>Account 0571</t>
  </si>
  <si>
    <t>OPP-00850</t>
  </si>
  <si>
    <t>OPP-00851</t>
  </si>
  <si>
    <t>Account 0745</t>
  </si>
  <si>
    <t>OPP-00852</t>
  </si>
  <si>
    <t>OPP-00853</t>
  </si>
  <si>
    <t>OPP-00854</t>
  </si>
  <si>
    <t>Account 0200</t>
  </si>
  <si>
    <t>OPP-00855</t>
  </si>
  <si>
    <t>Account 0430</t>
  </si>
  <si>
    <t>OPP-00856</t>
  </si>
  <si>
    <t>OPP-00857</t>
  </si>
  <si>
    <t>Account 0523</t>
  </si>
  <si>
    <t>OPP-00858</t>
  </si>
  <si>
    <t>OPP-00859</t>
  </si>
  <si>
    <t>Account 0037</t>
  </si>
  <si>
    <t>OPP-00860</t>
  </si>
  <si>
    <t>Account 0017</t>
  </si>
  <si>
    <t>OPP-00861</t>
  </si>
  <si>
    <t>Account 0588</t>
  </si>
  <si>
    <t>OPP-00862</t>
  </si>
  <si>
    <t>Account 0593</t>
  </si>
  <si>
    <t>OPP-00863</t>
  </si>
  <si>
    <t>Account 0101</t>
  </si>
  <si>
    <t>OPP-00864</t>
  </si>
  <si>
    <t>Account 0205</t>
  </si>
  <si>
    <t>OPP-00865</t>
  </si>
  <si>
    <t>Account 0263</t>
  </si>
  <si>
    <t>OPP-00866</t>
  </si>
  <si>
    <t>OPP-00867</t>
  </si>
  <si>
    <t>OPP-00868</t>
  </si>
  <si>
    <t>OPP-00869</t>
  </si>
  <si>
    <t>Account 0237</t>
  </si>
  <si>
    <t>OPP-00870</t>
  </si>
  <si>
    <t>OPP-00871</t>
  </si>
  <si>
    <t>OPP-00872</t>
  </si>
  <si>
    <t>OPP-00873</t>
  </si>
  <si>
    <t>OPP-00874</t>
  </si>
  <si>
    <t>Account 0528</t>
  </si>
  <si>
    <t>OPP-00875</t>
  </si>
  <si>
    <t>OPP-00876</t>
  </si>
  <si>
    <t>Account 0512</t>
  </si>
  <si>
    <t>OPP-00877</t>
  </si>
  <si>
    <t>OPP-00878</t>
  </si>
  <si>
    <t>OPP-00879</t>
  </si>
  <si>
    <t>Account 0783</t>
  </si>
  <si>
    <t>OPP-00880</t>
  </si>
  <si>
    <t>Account 0428</t>
  </si>
  <si>
    <t>OPP-00881</t>
  </si>
  <si>
    <t>OPP-00882</t>
  </si>
  <si>
    <t>OPP-00883</t>
  </si>
  <si>
    <t>Account 0269</t>
  </si>
  <si>
    <t>OPP-00884</t>
  </si>
  <si>
    <t>OPP-00885</t>
  </si>
  <si>
    <t>OPP-00886</t>
  </si>
  <si>
    <t>OPP-00887</t>
  </si>
  <si>
    <t>Account 0716</t>
  </si>
  <si>
    <t>OPP-00888</t>
  </si>
  <si>
    <t>OPP-00889</t>
  </si>
  <si>
    <t>OPP-00890</t>
  </si>
  <si>
    <t>Account 0176</t>
  </si>
  <si>
    <t>OPP-00891</t>
  </si>
  <si>
    <t>Account 0548</t>
  </si>
  <si>
    <t>OPP-00892</t>
  </si>
  <si>
    <t>Account 0623</t>
  </si>
  <si>
    <t>OPP-00893</t>
  </si>
  <si>
    <t>Account 0461</t>
  </si>
  <si>
    <t>OPP-00894</t>
  </si>
  <si>
    <t>OPP-00895</t>
  </si>
  <si>
    <t>Account 0758</t>
  </si>
  <si>
    <t>OPP-00896</t>
  </si>
  <si>
    <t>OPP-00897</t>
  </si>
  <si>
    <t>OPP-00898</t>
  </si>
  <si>
    <t>OPP-00899</t>
  </si>
  <si>
    <t>OPP-00900</t>
  </si>
  <si>
    <t>Account 0799</t>
  </si>
  <si>
    <t>OPP-00901</t>
  </si>
  <si>
    <t>OPP-00902</t>
  </si>
  <si>
    <t>OPP-00903</t>
  </si>
  <si>
    <t>OPP-00904</t>
  </si>
  <si>
    <t>Account 0050</t>
  </si>
  <si>
    <t>OPP-00905</t>
  </si>
  <si>
    <t>OPP-00906</t>
  </si>
  <si>
    <t>OPP-00907</t>
  </si>
  <si>
    <t>OPP-00908</t>
  </si>
  <si>
    <t>OPP-00909</t>
  </si>
  <si>
    <t>OPP-00910</t>
  </si>
  <si>
    <t>OPP-00911</t>
  </si>
  <si>
    <t>OPP-00912</t>
  </si>
  <si>
    <t>OPP-00913</t>
  </si>
  <si>
    <t>Account 0906</t>
  </si>
  <si>
    <t>OPP-00914</t>
  </si>
  <si>
    <t>Account 0641</t>
  </si>
  <si>
    <t>OPP-00915</t>
  </si>
  <si>
    <t>Account 0861</t>
  </si>
  <si>
    <t>OPP-00916</t>
  </si>
  <si>
    <t>Account 0350</t>
  </si>
  <si>
    <t>OPP-00917</t>
  </si>
  <si>
    <t>Account 0607</t>
  </si>
  <si>
    <t>OPP-00918</t>
  </si>
  <si>
    <t>OPP-00919</t>
  </si>
  <si>
    <t>OPP-00920</t>
  </si>
  <si>
    <t>OPP-00921</t>
  </si>
  <si>
    <t>Account 0632</t>
  </si>
  <si>
    <t>OPP-00922</t>
  </si>
  <si>
    <t>Account 0557</t>
  </si>
  <si>
    <t>OPP-00923</t>
  </si>
  <si>
    <t>OPP-00924</t>
  </si>
  <si>
    <t>OPP-00925</t>
  </si>
  <si>
    <t>OPP-00926</t>
  </si>
  <si>
    <t>OPP-00927</t>
  </si>
  <si>
    <t>OPP-00928</t>
  </si>
  <si>
    <t>Account 0321</t>
  </si>
  <si>
    <t>OPP-00929</t>
  </si>
  <si>
    <t>Account 0080</t>
  </si>
  <si>
    <t>OPP-00930</t>
  </si>
  <si>
    <t>OPP-00931</t>
  </si>
  <si>
    <t>OPP-00932</t>
  </si>
  <si>
    <t>OPP-00933</t>
  </si>
  <si>
    <t>OPP-00934</t>
  </si>
  <si>
    <t>OPP-00935</t>
  </si>
  <si>
    <t>OPP-00936</t>
  </si>
  <si>
    <t>OPP-00937</t>
  </si>
  <si>
    <t>OPP-00938</t>
  </si>
  <si>
    <t>Account 0459</t>
  </si>
  <si>
    <t>OPP-00939</t>
  </si>
  <si>
    <t>OPP-00940</t>
  </si>
  <si>
    <t>OPP-00941</t>
  </si>
  <si>
    <t>Account 0845</t>
  </si>
  <si>
    <t>OPP-00942</t>
  </si>
  <si>
    <t>Account 0164</t>
  </si>
  <si>
    <t>OPP-00943</t>
  </si>
  <si>
    <t>Account 0863</t>
  </si>
  <si>
    <t>OPP-00944</t>
  </si>
  <si>
    <t>OPP-00945</t>
  </si>
  <si>
    <t>Account 0414</t>
  </si>
  <si>
    <t>OPP-00946</t>
  </si>
  <si>
    <t>OPP-00947</t>
  </si>
  <si>
    <t>OPP-00948</t>
  </si>
  <si>
    <t>OPP-00949</t>
  </si>
  <si>
    <t>OPP-00950</t>
  </si>
  <si>
    <t>OPP-00951</t>
  </si>
  <si>
    <t>Account 0221</t>
  </si>
  <si>
    <t>OPP-00952</t>
  </si>
  <si>
    <t>OPP-00953</t>
  </si>
  <si>
    <t>OPP-00954</t>
  </si>
  <si>
    <t>Account 0291</t>
  </si>
  <si>
    <t>OPP-00955</t>
  </si>
  <si>
    <t>OPP-00956</t>
  </si>
  <si>
    <t>OPP-00957</t>
  </si>
  <si>
    <t>OPP-00958</t>
  </si>
  <si>
    <t>OPP-00959</t>
  </si>
  <si>
    <t>OPP-00960</t>
  </si>
  <si>
    <t>OPP-00961</t>
  </si>
  <si>
    <t>OPP-00962</t>
  </si>
  <si>
    <t>OPP-00963</t>
  </si>
  <si>
    <t>OPP-00964</t>
  </si>
  <si>
    <t>OPP-00965</t>
  </si>
  <si>
    <t>OPP-00966</t>
  </si>
  <si>
    <t>Account 0016</t>
  </si>
  <si>
    <t>OPP-00967</t>
  </si>
  <si>
    <t>OPP-00968</t>
  </si>
  <si>
    <t>Account 0038</t>
  </si>
  <si>
    <t>OPP-00969</t>
  </si>
  <si>
    <t>OPP-00970</t>
  </si>
  <si>
    <t>OPP-00971</t>
  </si>
  <si>
    <t>OPP-00972</t>
  </si>
  <si>
    <t>OPP-00973</t>
  </si>
  <si>
    <t>OPP-00974</t>
  </si>
  <si>
    <t>Account 0127</t>
  </si>
  <si>
    <t>OPP-00975</t>
  </si>
  <si>
    <t>Account 0850</t>
  </si>
  <si>
    <t>OPP-00976</t>
  </si>
  <si>
    <t>OPP-00977</t>
  </si>
  <si>
    <t>OPP-00978</t>
  </si>
  <si>
    <t>OPP-00979</t>
  </si>
  <si>
    <t>OPP-00980</t>
  </si>
  <si>
    <t>OPP-00981</t>
  </si>
  <si>
    <t>OPP-00982</t>
  </si>
  <si>
    <t>Account 0538</t>
  </si>
  <si>
    <t>OPP-00983</t>
  </si>
  <si>
    <t>Account 0663</t>
  </si>
  <si>
    <t>OPP-00984</t>
  </si>
  <si>
    <t>OPP-00985</t>
  </si>
  <si>
    <t>OPP-00986</t>
  </si>
  <si>
    <t>OPP-00987</t>
  </si>
  <si>
    <t>OPP-00988</t>
  </si>
  <si>
    <t>Account 0665</t>
  </si>
  <si>
    <t>OPP-00989</t>
  </si>
  <si>
    <t>OPP-00990</t>
  </si>
  <si>
    <t>Account 0106</t>
  </si>
  <si>
    <t>OPP-00991</t>
  </si>
  <si>
    <t>OPP-00992</t>
  </si>
  <si>
    <t>OPP-00993</t>
  </si>
  <si>
    <t>Account 0932</t>
  </si>
  <si>
    <t>OPP-00994</t>
  </si>
  <si>
    <t>OPP-00995</t>
  </si>
  <si>
    <t>OPP-00996</t>
  </si>
  <si>
    <t>OPP-00997</t>
  </si>
  <si>
    <t>Account 0420</t>
  </si>
  <si>
    <t>OPP-00998</t>
  </si>
  <si>
    <t>Account 0823</t>
  </si>
  <si>
    <t>OPP-00999</t>
  </si>
  <si>
    <t>Account 0325</t>
  </si>
  <si>
    <t>OPP-01000</t>
  </si>
  <si>
    <t>Account 0637</t>
  </si>
  <si>
    <t>OPP-01001</t>
  </si>
  <si>
    <t>OPP-01002</t>
  </si>
  <si>
    <t>OPP-01003</t>
  </si>
  <si>
    <t>Account 0228</t>
  </si>
  <si>
    <t>OPP-01004</t>
  </si>
  <si>
    <t>OPP-01005</t>
  </si>
  <si>
    <t>OPP-01006</t>
  </si>
  <si>
    <t>Account 0767</t>
  </si>
  <si>
    <t>OPP-01007</t>
  </si>
  <si>
    <t>OPP-01008</t>
  </si>
  <si>
    <t>Account 0242</t>
  </si>
  <si>
    <t>OPP-01009</t>
  </si>
  <si>
    <t>OPP-01010</t>
  </si>
  <si>
    <t>OPP-01011</t>
  </si>
  <si>
    <t>OPP-01012</t>
  </si>
  <si>
    <t>OPP-01013</t>
  </si>
  <si>
    <t>Account 0669</t>
  </si>
  <si>
    <t>OPP-01014</t>
  </si>
  <si>
    <t>OPP-01015</t>
  </si>
  <si>
    <t>Account 0830</t>
  </si>
  <si>
    <t>OPP-01016</t>
  </si>
  <si>
    <t>Account 0762</t>
  </si>
  <si>
    <t>OPP-01017</t>
  </si>
  <si>
    <t>OPP-01018</t>
  </si>
  <si>
    <t>OPP-01019</t>
  </si>
  <si>
    <t>OPP-01020</t>
  </si>
  <si>
    <t>OPP-01021</t>
  </si>
  <si>
    <t>OPP-01022</t>
  </si>
  <si>
    <t>OPP-01023</t>
  </si>
  <si>
    <t>OPP-01024</t>
  </si>
  <si>
    <t>OPP-01025</t>
  </si>
  <si>
    <t>Account 0081</t>
  </si>
  <si>
    <t>OPP-01026</t>
  </si>
  <si>
    <t>OPP-01027</t>
  </si>
  <si>
    <t>OPP-01028</t>
  </si>
  <si>
    <t>Account 0308</t>
  </si>
  <si>
    <t>OPP-01029</t>
  </si>
  <si>
    <t>OPP-01030</t>
  </si>
  <si>
    <t>Account 0421</t>
  </si>
  <si>
    <t>OPP-01031</t>
  </si>
  <si>
    <t>Account 0258</t>
  </si>
  <si>
    <t>OPP-01032</t>
  </si>
  <si>
    <t>OPP-01033</t>
  </si>
  <si>
    <t>OPP-01034</t>
  </si>
  <si>
    <t>OPP-01035</t>
  </si>
  <si>
    <t>OPP-01036</t>
  </si>
  <si>
    <t>OPP-01037</t>
  </si>
  <si>
    <t>Account 0133</t>
  </si>
  <si>
    <t>OPP-01038</t>
  </si>
  <si>
    <t>OPP-01039</t>
  </si>
  <si>
    <t>OPP-01040</t>
  </si>
  <si>
    <t>OPP-01041</t>
  </si>
  <si>
    <t>OPP-01042</t>
  </si>
  <si>
    <t>OPP-01043</t>
  </si>
  <si>
    <t>OPP-01044</t>
  </si>
  <si>
    <t>OPP-01045</t>
  </si>
  <si>
    <t>OPP-01046</t>
  </si>
  <si>
    <t>Account 0174</t>
  </si>
  <si>
    <t>OPP-01047</t>
  </si>
  <si>
    <t>OPP-01048</t>
  </si>
  <si>
    <t>OPP-01049</t>
  </si>
  <si>
    <t>Account 0208</t>
  </si>
  <si>
    <t>OPP-01050</t>
  </si>
  <si>
    <t>OPP-01051</t>
  </si>
  <si>
    <t>OPP-01052</t>
  </si>
  <si>
    <t>OPP-01053</t>
  </si>
  <si>
    <t>OPP-01054</t>
  </si>
  <si>
    <t>OPP-01055</t>
  </si>
  <si>
    <t>OPP-01056</t>
  </si>
  <si>
    <t>OPP-01057</t>
  </si>
  <si>
    <t>Account 0510</t>
  </si>
  <si>
    <t>OPP-01058</t>
  </si>
  <si>
    <t>OPP-01059</t>
  </si>
  <si>
    <t>OPP-01060</t>
  </si>
  <si>
    <t>Account 0583</t>
  </si>
  <si>
    <t>OPP-01061</t>
  </si>
  <si>
    <t>Account 0371</t>
  </si>
  <si>
    <t>OPP-01062</t>
  </si>
  <si>
    <t>OPP-01063</t>
  </si>
  <si>
    <t>OPP-01064</t>
  </si>
  <si>
    <t>Account 0726</t>
  </si>
  <si>
    <t>OPP-01065</t>
  </si>
  <si>
    <t>Account 0944</t>
  </si>
  <si>
    <t>OPP-01066</t>
  </si>
  <si>
    <t>OPP-01067</t>
  </si>
  <si>
    <t>Account 0555</t>
  </si>
  <si>
    <t>OPP-01068</t>
  </si>
  <si>
    <t>OPP-01069</t>
  </si>
  <si>
    <t>OPP-01070</t>
  </si>
  <si>
    <t>Account 0751</t>
  </si>
  <si>
    <t>OPP-01071</t>
  </si>
  <si>
    <t>Account 0846</t>
  </si>
  <si>
    <t>OPP-01072</t>
  </si>
  <si>
    <t>OPP-01073</t>
  </si>
  <si>
    <t>OPP-01074</t>
  </si>
  <si>
    <t>Account 0567</t>
  </si>
  <si>
    <t>OPP-01075</t>
  </si>
  <si>
    <t>Account 0264</t>
  </si>
  <si>
    <t>OPP-01076</t>
  </si>
  <si>
    <t>Account 0738</t>
  </si>
  <si>
    <t>OPP-01077</t>
  </si>
  <si>
    <t>OPP-01078</t>
  </si>
  <si>
    <t>OPP-01079</t>
  </si>
  <si>
    <t>OPP-01080</t>
  </si>
  <si>
    <t>Account 0872</t>
  </si>
  <si>
    <t>OPP-01081</t>
  </si>
  <si>
    <t>OPP-01082</t>
  </si>
  <si>
    <t>Account 0136</t>
  </si>
  <si>
    <t>OPP-01083</t>
  </si>
  <si>
    <t>Account 0336</t>
  </si>
  <si>
    <t>OPP-01084</t>
  </si>
  <si>
    <t>Account 0045</t>
  </si>
  <si>
    <t>OPP-01085</t>
  </si>
  <si>
    <t>OPP-01086</t>
  </si>
  <si>
    <t>Account 0215</t>
  </si>
  <si>
    <t>OPP-01087</t>
  </si>
  <si>
    <t>OPP-01088</t>
  </si>
  <si>
    <t>OPP-01089</t>
  </si>
  <si>
    <t>Account 0894</t>
  </si>
  <si>
    <t>OPP-01090</t>
  </si>
  <si>
    <t>Account 0018</t>
  </si>
  <si>
    <t>OPP-01091</t>
  </si>
  <si>
    <t>OPP-01092</t>
  </si>
  <si>
    <t>OPP-01093</t>
  </si>
  <si>
    <t>OPP-01094</t>
  </si>
  <si>
    <t>OPP-01095</t>
  </si>
  <si>
    <t>Account 0501</t>
  </si>
  <si>
    <t>OPP-01096</t>
  </si>
  <si>
    <t>OPP-01097</t>
  </si>
  <si>
    <t>Account 0112</t>
  </si>
  <si>
    <t>OPP-01098</t>
  </si>
  <si>
    <t>Account 0881</t>
  </si>
  <si>
    <t>OPP-01099</t>
  </si>
  <si>
    <t>Account 0760</t>
  </si>
  <si>
    <t>OPP-01100</t>
  </si>
  <si>
    <t>OPP-01101</t>
  </si>
  <si>
    <t>OPP-01102</t>
  </si>
  <si>
    <t>OPP-01103</t>
  </si>
  <si>
    <t>Account 0372</t>
  </si>
  <si>
    <t>OPP-01104</t>
  </si>
  <si>
    <t>Account 0032</t>
  </si>
  <si>
    <t>OPP-01105</t>
  </si>
  <si>
    <t>Account 0634</t>
  </si>
  <si>
    <t>OPP-01106</t>
  </si>
  <si>
    <t>OPP-01107</t>
  </si>
  <si>
    <t>OPP-01108</t>
  </si>
  <si>
    <t>OPP-01109</t>
  </si>
  <si>
    <t>OPP-01110</t>
  </si>
  <si>
    <t>OPP-01111</t>
  </si>
  <si>
    <t>OPP-01112</t>
  </si>
  <si>
    <t>OPP-01113</t>
  </si>
  <si>
    <t>OPP-01114</t>
  </si>
  <si>
    <t>OPP-01115</t>
  </si>
  <si>
    <t>Account 0367</t>
  </si>
  <si>
    <t>OPP-01116</t>
  </si>
  <si>
    <t>OPP-01117</t>
  </si>
  <si>
    <t>OPP-01118</t>
  </si>
  <si>
    <t>OPP-01119</t>
  </si>
  <si>
    <t>OPP-01120</t>
  </si>
  <si>
    <t>Account 0704</t>
  </si>
  <si>
    <t>OPP-01121</t>
  </si>
  <si>
    <t>OPP-01122</t>
  </si>
  <si>
    <t>Account 0466</t>
  </si>
  <si>
    <t>OPP-01123</t>
  </si>
  <si>
    <t>OPP-01124</t>
  </si>
  <si>
    <t>OPP-01125</t>
  </si>
  <si>
    <t>OPP-01126</t>
  </si>
  <si>
    <t>OPP-01127</t>
  </si>
  <si>
    <t>OPP-01128</t>
  </si>
  <si>
    <t>Account 0734</t>
  </si>
  <si>
    <t>OPP-01129</t>
  </si>
  <si>
    <t>Account 0729</t>
  </si>
  <si>
    <t>OPP-01130</t>
  </si>
  <si>
    <t>Account 0191</t>
  </si>
  <si>
    <t>OPP-01131</t>
  </si>
  <si>
    <t>OPP-01132</t>
  </si>
  <si>
    <t>OPP-01133</t>
  </si>
  <si>
    <t>OPP-01134</t>
  </si>
  <si>
    <t>OPP-01135</t>
  </si>
  <si>
    <t>OPP-01136</t>
  </si>
  <si>
    <t>OPP-01137</t>
  </si>
  <si>
    <t>OPP-01138</t>
  </si>
  <si>
    <t>OPP-01139</t>
  </si>
  <si>
    <t>OPP-01140</t>
  </si>
  <si>
    <t>OPP-01141</t>
  </si>
  <si>
    <t>OPP-01142</t>
  </si>
  <si>
    <t>OPP-01143</t>
  </si>
  <si>
    <t>OPP-01144</t>
  </si>
  <si>
    <t>Account 0513</t>
  </si>
  <si>
    <t>OPP-01145</t>
  </si>
  <si>
    <t>Account 0388</t>
  </si>
  <si>
    <t>OPP-01146</t>
  </si>
  <si>
    <t>OPP-01147</t>
  </si>
  <si>
    <t>OPP-01148</t>
  </si>
  <si>
    <t>OPP-01149</t>
  </si>
  <si>
    <t>OPP-01150</t>
  </si>
  <si>
    <t>OPP-01151</t>
  </si>
  <si>
    <t>OPP-01152</t>
  </si>
  <si>
    <t>OPP-01153</t>
  </si>
  <si>
    <t>Account 0063</t>
  </si>
  <si>
    <t>OPP-01154</t>
  </si>
  <si>
    <t>OPP-01155</t>
  </si>
  <si>
    <t>OPP-01156</t>
  </si>
  <si>
    <t>Account 0670</t>
  </si>
  <si>
    <t>OPP-01157</t>
  </si>
  <si>
    <t>OPP-01158</t>
  </si>
  <si>
    <t>OPP-01159</t>
  </si>
  <si>
    <t>Account 0836</t>
  </si>
  <si>
    <t>OPP-01160</t>
  </si>
  <si>
    <t>Account 0529</t>
  </si>
  <si>
    <t>OPP-01161</t>
  </si>
  <si>
    <t>OPP-01162</t>
  </si>
  <si>
    <t>OPP-01163</t>
  </si>
  <si>
    <t>OPP-01164</t>
  </si>
  <si>
    <t>OPP-01165</t>
  </si>
  <si>
    <t>OPP-01166</t>
  </si>
  <si>
    <t>Account 0004</t>
  </si>
  <si>
    <t>OPP-01167</t>
  </si>
  <si>
    <t>OPP-01168</t>
  </si>
  <si>
    <t>OPP-01169</t>
  </si>
  <si>
    <t>OPP-01170</t>
  </si>
  <si>
    <t>Account 0866</t>
  </si>
  <si>
    <t>OPP-01171</t>
  </si>
  <si>
    <t>OPP-01172</t>
  </si>
  <si>
    <t>Account 0210</t>
  </si>
  <si>
    <t>OPP-01173</t>
  </si>
  <si>
    <t>OPP-01174</t>
  </si>
  <si>
    <t>Account 0046</t>
  </si>
  <si>
    <t>OPP-01175</t>
  </si>
  <si>
    <t>Account 0556</t>
  </si>
  <si>
    <t>OPP-01176</t>
  </si>
  <si>
    <t>Account 0411</t>
  </si>
  <si>
    <t>OPP-01177</t>
  </si>
  <si>
    <t>OPP-01178</t>
  </si>
  <si>
    <t>Account 0361</t>
  </si>
  <si>
    <t>OPP-01179</t>
  </si>
  <si>
    <t>OPP-01180</t>
  </si>
  <si>
    <t>Account 0922</t>
  </si>
  <si>
    <t>OPP-01181</t>
  </si>
  <si>
    <t>OPP-01182</t>
  </si>
  <si>
    <t>OPP-01183</t>
  </si>
  <si>
    <t>OPP-01184</t>
  </si>
  <si>
    <t>OPP-01185</t>
  </si>
  <si>
    <t>OPP-01186</t>
  </si>
  <si>
    <t>OPP-01187</t>
  </si>
  <si>
    <t>OPP-01188</t>
  </si>
  <si>
    <t>OPP-01189</t>
  </si>
  <si>
    <t>OPP-01190</t>
  </si>
  <si>
    <t>OPP-01191</t>
  </si>
  <si>
    <t>OPP-01192</t>
  </si>
  <si>
    <t>OPP-01193</t>
  </si>
  <si>
    <t>OPP-01194</t>
  </si>
  <si>
    <t>Account 0563</t>
  </si>
  <si>
    <t>OPP-01195</t>
  </si>
  <si>
    <t>OPP-01196</t>
  </si>
  <si>
    <t>OPP-01197</t>
  </si>
  <si>
    <t>Account 0380</t>
  </si>
  <si>
    <t>OPP-01198</t>
  </si>
  <si>
    <t>Account 0661</t>
  </si>
  <si>
    <t>OPP-01199</t>
  </si>
  <si>
    <t>OPP-01200</t>
  </si>
  <si>
    <t>Month</t>
  </si>
  <si>
    <t>Revenue_Target</t>
  </si>
  <si>
    <t>Executive KPIs</t>
  </si>
  <si>
    <t>Closed Won Revenue</t>
  </si>
  <si>
    <t>Closed Lost Revenue</t>
  </si>
  <si>
    <t>Win Rate</t>
  </si>
  <si>
    <t>Average Won Deal Size</t>
  </si>
  <si>
    <t>Weighted Pipeline</t>
  </si>
  <si>
    <t>Rep Performance</t>
  </si>
  <si>
    <t>Sales Rep</t>
  </si>
  <si>
    <t>Won Revenue</t>
  </si>
  <si>
    <t>Revenue Target</t>
  </si>
  <si>
    <t>Quota Attainment</t>
  </si>
  <si>
    <t>Open Pipeline</t>
  </si>
  <si>
    <t>Pipeline Coverage</t>
  </si>
  <si>
    <t>Coverage Status</t>
  </si>
  <si>
    <t>Average Discount  Won</t>
  </si>
  <si>
    <t>Total Open Pipeline</t>
  </si>
  <si>
    <t>Product Performance</t>
  </si>
  <si>
    <t>Product Code</t>
  </si>
  <si>
    <t>Total Revenue</t>
  </si>
  <si>
    <t>Lost Revenue</t>
  </si>
  <si>
    <t>Avg Deal Size</t>
  </si>
  <si>
    <t>CP</t>
  </si>
  <si>
    <t>Product Reference Table</t>
  </si>
  <si>
    <t>SA</t>
  </si>
  <si>
    <t>AS</t>
  </si>
  <si>
    <t>EC</t>
  </si>
  <si>
    <t>AP</t>
  </si>
  <si>
    <t>Row Labels</t>
  </si>
  <si>
    <t>Grand Total</t>
  </si>
  <si>
    <t>Sum of Amount</t>
  </si>
  <si>
    <t>(All)</t>
  </si>
  <si>
    <t>Nov</t>
  </si>
  <si>
    <t>Dec</t>
  </si>
  <si>
    <t>Oct</t>
  </si>
  <si>
    <t>Jan</t>
  </si>
  <si>
    <t>Feb</t>
  </si>
  <si>
    <t>Mar</t>
  </si>
  <si>
    <t>Apr</t>
  </si>
  <si>
    <t>May</t>
  </si>
  <si>
    <t>Jun</t>
  </si>
  <si>
    <t>Jul</t>
  </si>
  <si>
    <t>Aug</t>
  </si>
  <si>
    <t>Sep</t>
  </si>
  <si>
    <t>Column Labels</t>
  </si>
  <si>
    <t>Weighted Amount</t>
  </si>
  <si>
    <t>Revenue By Product</t>
  </si>
  <si>
    <t>Monthly Revenue Trend</t>
  </si>
  <si>
    <t>Revenue By Stage</t>
  </si>
  <si>
    <t xml:space="preserve">Revenue by Region	</t>
  </si>
  <si>
    <t>Revenue By Sales Rep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</si>
</sst>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dd\-mmm\-yyyy"/>
    <numFmt numFmtId="165" formatCode="0.0%"/>
    <numFmt numFmtId="166" formatCode="mmm\-yyyy"/>
    <numFmt numFmtId="167" formatCode="_ [$₹-4009]\ * #,##0_ ;_ [$₹-4009]\ * \-#,##0_ ;_ [$₹-4009]\ * &quot;-&quot;??_ ;_ @_ "/>
    <numFmt numFmtId="168" formatCode="0.000"/>
    <numFmt numFmtId="169" formatCode="#,##0.0,,&quot;M&quot;"/>
    <numFmt numFmtId="170" formatCode="#,##0.00,,\ &quot;M&quot;"/>
    <numFmt numFmtId="171" formatCode="#,##0.00,\ &quot;K&quot;\ "/>
    <numFmt numFmtId="172" formatCode="#,##0.00,,&quot;M&quot;"/>
  </numFmts>
  <fonts count="12" x14ac:knownFonts="1">
    <font>
      <sz val="11"/>
      <color theme="1"/>
      <name val="Calibri"/>
      <family val="2"/>
      <scheme val="minor"/>
    </font>
    <font>
      <b/>
      <sz val="11"/>
      <color rgb="FFFFFFFF"/>
      <name val="Calibri"/>
      <family val="2"/>
    </font>
    <font>
      <b/>
      <sz val="16"/>
      <name val="Calibri"/>
      <family val="2"/>
    </font>
    <font>
      <b/>
      <sz val="13"/>
      <name val="Calibri"/>
      <family val="2"/>
    </font>
    <font>
      <b/>
      <sz val="16"/>
      <color theme="1"/>
      <name val="Calibri"/>
      <family val="2"/>
    </font>
    <font>
      <sz val="12"/>
      <color theme="1"/>
      <name val="Calibri"/>
      <family val="2"/>
      <scheme val="minor"/>
    </font>
    <font>
      <b/>
      <sz val="11"/>
      <color theme="1"/>
      <name val="Calibri"/>
      <family val="2"/>
    </font>
    <font>
      <b/>
      <sz val="11"/>
      <color theme="1"/>
      <name val="Calibri"/>
      <family val="2"/>
      <scheme val="minor"/>
    </font>
    <font>
      <b/>
      <sz val="14"/>
      <color theme="1"/>
      <name val="Calibri"/>
      <family val="2"/>
      <scheme val="minor"/>
    </font>
    <font>
      <b/>
      <sz val="14"/>
      <name val="Calibri"/>
      <family val="2"/>
    </font>
    <font>
      <b/>
      <sz val="20"/>
      <color theme="0"/>
      <name val="Calibri"/>
      <family val="2"/>
      <scheme val="minor"/>
    </font>
    <font>
      <i/>
      <sz val="14"/>
      <color theme="0"/>
      <name val="Calibri"/>
      <family val="2"/>
      <scheme val="minor"/>
    </font>
  </fonts>
  <fills count="8">
    <fill>
      <patternFill patternType="none"/>
    </fill>
    <fill>
      <patternFill patternType="gray125"/>
    </fill>
    <fill>
      <patternFill patternType="solid">
        <fgColor rgb="FF1F4E78"/>
      </patternFill>
    </fill>
    <fill>
      <patternFill patternType="solid">
        <fgColor theme="7" tint="0.39997558519241921"/>
        <bgColor indexed="64"/>
      </patternFill>
    </fill>
    <fill>
      <patternFill patternType="solid">
        <fgColor theme="0"/>
        <bgColor indexed="64"/>
      </patternFill>
    </fill>
    <fill>
      <patternFill patternType="solid">
        <fgColor theme="0"/>
        <bgColor theme="7" tint="0.79998168889431442"/>
      </patternFill>
    </fill>
    <fill>
      <patternFill patternType="solid">
        <fgColor theme="7" tint="0.79998168889431442"/>
        <bgColor indexed="64"/>
      </patternFill>
    </fill>
    <fill>
      <patternFill patternType="solid">
        <fgColor theme="0" tint="-0.34998626667073579"/>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54">
    <xf numFmtId="0" fontId="0" fillId="0" borderId="0" xfId="0"/>
    <xf numFmtId="0" fontId="1" fillId="2" borderId="0" xfId="0" applyFont="1" applyFill="1"/>
    <xf numFmtId="164" fontId="0" fillId="0" borderId="0" xfId="0" applyNumberFormat="1"/>
    <xf numFmtId="4" fontId="0" fillId="0" borderId="0" xfId="0" applyNumberFormat="1"/>
    <xf numFmtId="165" fontId="0" fillId="0" borderId="0" xfId="0" applyNumberFormat="1"/>
    <xf numFmtId="166" fontId="0" fillId="0" borderId="0" xfId="0" applyNumberFormat="1"/>
    <xf numFmtId="3" fontId="0" fillId="0" borderId="0" xfId="0" applyNumberFormat="1"/>
    <xf numFmtId="14" fontId="0" fillId="0" borderId="0" xfId="0" applyNumberFormat="1"/>
    <xf numFmtId="0" fontId="4" fillId="4" borderId="0" xfId="0" applyFont="1" applyFill="1"/>
    <xf numFmtId="0" fontId="5" fillId="0" borderId="1" xfId="0" applyFont="1" applyBorder="1"/>
    <xf numFmtId="0" fontId="0" fillId="0" borderId="1" xfId="0" applyBorder="1"/>
    <xf numFmtId="168" fontId="0" fillId="0" borderId="1" xfId="0" applyNumberFormat="1" applyBorder="1"/>
    <xf numFmtId="0" fontId="6" fillId="3" borderId="1" xfId="0" applyFont="1" applyFill="1" applyBorder="1"/>
    <xf numFmtId="168" fontId="0" fillId="0" borderId="0" xfId="0" applyNumberFormat="1"/>
    <xf numFmtId="0" fontId="0" fillId="0" borderId="0" xfId="0" applyAlignment="1">
      <alignment horizontal="center"/>
    </xf>
    <xf numFmtId="2" fontId="0" fillId="0" borderId="1" xfId="0" applyNumberFormat="1" applyBorder="1" applyAlignment="1">
      <alignment horizontal="center"/>
    </xf>
    <xf numFmtId="0" fontId="0" fillId="0" borderId="1" xfId="0" applyBorder="1" applyAlignment="1">
      <alignment horizontal="center"/>
    </xf>
    <xf numFmtId="0" fontId="7" fillId="0" borderId="1" xfId="0" applyFont="1" applyBorder="1"/>
    <xf numFmtId="0" fontId="7" fillId="0" borderId="1" xfId="0" applyFont="1" applyBorder="1" applyAlignment="1">
      <alignment horizontal="center"/>
    </xf>
    <xf numFmtId="0" fontId="0" fillId="4" borderId="0" xfId="0" applyFill="1"/>
    <xf numFmtId="0" fontId="0" fillId="4" borderId="0" xfId="0" applyFill="1" applyAlignment="1">
      <alignment horizontal="center"/>
    </xf>
    <xf numFmtId="168" fontId="0" fillId="4" borderId="0" xfId="0" applyNumberFormat="1" applyFill="1"/>
    <xf numFmtId="0" fontId="7" fillId="0" borderId="0" xfId="0" applyFont="1"/>
    <xf numFmtId="0" fontId="8" fillId="0" borderId="0" xfId="0" applyFont="1"/>
    <xf numFmtId="0" fontId="0" fillId="0" borderId="0" xfId="0" pivotButton="1"/>
    <xf numFmtId="0" fontId="0" fillId="0" borderId="0" xfId="0" applyAlignment="1">
      <alignment horizontal="left"/>
    </xf>
    <xf numFmtId="167" fontId="0" fillId="0" borderId="0" xfId="0" applyNumberFormat="1"/>
    <xf numFmtId="0" fontId="9" fillId="3" borderId="4" xfId="0" applyFont="1" applyFill="1" applyBorder="1"/>
    <xf numFmtId="0" fontId="0" fillId="7" borderId="0" xfId="0" applyFill="1"/>
    <xf numFmtId="0" fontId="0" fillId="7" borderId="0" xfId="0" quotePrefix="1" applyFill="1"/>
    <xf numFmtId="10" fontId="0" fillId="0" borderId="0" xfId="0" applyNumberFormat="1"/>
    <xf numFmtId="0" fontId="0" fillId="4" borderId="0" xfId="0" applyFill="1" applyAlignment="1">
      <alignment horizontal="left"/>
    </xf>
    <xf numFmtId="0" fontId="0" fillId="5" borderId="0" xfId="0" applyFill="1" applyAlignment="1">
      <alignment horizontal="left"/>
    </xf>
    <xf numFmtId="10" fontId="0" fillId="5" borderId="0" xfId="0" applyNumberFormat="1" applyFill="1"/>
    <xf numFmtId="169" fontId="0" fillId="0" borderId="1" xfId="0" applyNumberFormat="1" applyBorder="1" applyAlignment="1">
      <alignment horizontal="center"/>
    </xf>
    <xf numFmtId="170" fontId="0" fillId="0" borderId="1" xfId="0" applyNumberFormat="1" applyBorder="1" applyAlignment="1">
      <alignment horizontal="center"/>
    </xf>
    <xf numFmtId="171" fontId="0" fillId="0" borderId="1" xfId="0" applyNumberFormat="1" applyBorder="1" applyAlignment="1">
      <alignment horizontal="center"/>
    </xf>
    <xf numFmtId="172" fontId="0" fillId="0" borderId="1" xfId="0" applyNumberFormat="1" applyBorder="1" applyAlignment="1">
      <alignment horizontal="center"/>
    </xf>
    <xf numFmtId="0" fontId="10" fillId="7" borderId="0" xfId="0" applyFont="1" applyFill="1" applyAlignment="1">
      <alignment horizontal="left"/>
    </xf>
    <xf numFmtId="0" fontId="11" fillId="7" borderId="0" xfId="0" applyFont="1" applyFill="1" applyAlignment="1">
      <alignment horizontal="left" vertical="center"/>
    </xf>
    <xf numFmtId="0" fontId="2" fillId="4" borderId="0" xfId="0" applyFont="1" applyFill="1" applyAlignment="1">
      <alignment horizontal="center"/>
    </xf>
    <xf numFmtId="0" fontId="3" fillId="3" borderId="2" xfId="0" applyFont="1" applyFill="1" applyBorder="1" applyAlignment="1">
      <alignment horizontal="center"/>
    </xf>
    <xf numFmtId="0" fontId="3" fillId="3" borderId="3" xfId="0" applyFont="1" applyFill="1" applyBorder="1" applyAlignment="1">
      <alignment horizontal="center"/>
    </xf>
    <xf numFmtId="0" fontId="8" fillId="3" borderId="2" xfId="0" applyFont="1" applyFill="1" applyBorder="1" applyAlignment="1">
      <alignment horizontal="center"/>
    </xf>
    <xf numFmtId="0" fontId="8" fillId="3" borderId="3" xfId="0" applyFont="1" applyFill="1" applyBorder="1" applyAlignment="1">
      <alignment horizontal="center"/>
    </xf>
    <xf numFmtId="0" fontId="9" fillId="6" borderId="1" xfId="0" applyFont="1" applyFill="1" applyBorder="1" applyAlignment="1">
      <alignment horizontal="center"/>
    </xf>
    <xf numFmtId="1" fontId="0" fillId="0" borderId="0" xfId="0" applyNumberFormat="1"/>
    <xf numFmtId="0" fontId="7" fillId="3" borderId="1" xfId="0" applyFont="1" applyFill="1" applyBorder="1" applyAlignment="1">
      <alignment horizontal="center"/>
    </xf>
    <xf numFmtId="0" fontId="7" fillId="3" borderId="0" xfId="0" applyFont="1" applyFill="1" applyAlignment="1">
      <alignment horizontal="center"/>
    </xf>
    <xf numFmtId="0" fontId="9" fillId="4" borderId="0" xfId="0" applyFont="1" applyFill="1" applyBorder="1" applyAlignment="1">
      <alignment horizontal="center"/>
    </xf>
    <xf numFmtId="0" fontId="6" fillId="4" borderId="0" xfId="0" applyFont="1" applyFill="1" applyBorder="1"/>
    <xf numFmtId="0" fontId="0" fillId="4" borderId="0" xfId="0" applyFill="1" applyBorder="1"/>
    <xf numFmtId="168" fontId="0" fillId="4" borderId="0" xfId="0" applyNumberFormat="1" applyFill="1" applyBorder="1"/>
    <xf numFmtId="0" fontId="7" fillId="4" borderId="0" xfId="0" applyFont="1" applyFill="1" applyAlignment="1">
      <alignment horizontal="center"/>
    </xf>
  </cellXfs>
  <cellStyles count="1">
    <cellStyle name="Normal" xfId="0" builtinId="0"/>
  </cellStyles>
  <dxfs count="56">
    <dxf>
      <numFmt numFmtId="172" formatCode="#,##0.00,,&quot;M&quot;"/>
    </dxf>
    <dxf>
      <numFmt numFmtId="172" formatCode="#,##0.00,,&quot;M&quot;"/>
    </dxf>
    <dxf>
      <numFmt numFmtId="173" formatCode="#,##0.00,&quot;k&quot;"/>
    </dxf>
    <dxf>
      <numFmt numFmtId="172" formatCode="#,##0.00,,&quot;M&quot;"/>
    </dxf>
    <dxf>
      <numFmt numFmtId="172" formatCode="#,##0.00,,&quot;M&quot;"/>
    </dxf>
    <dxf>
      <numFmt numFmtId="167" formatCode="_ [$₹-4009]\ * #,##0_ ;_ [$₹-4009]\ * \-#,##0_ ;_ [$₹-4009]\ * &quot;-&quot;??_ ;_ @_ "/>
    </dxf>
    <dxf>
      <numFmt numFmtId="167" formatCode="_ [$₹-4009]\ * #,##0_ ;_ [$₹-4009]\ * \-#,##0_ ;_ [$₹-4009]\ * &quot;-&quot;??_ ;_ @_ "/>
    </dxf>
    <dxf>
      <numFmt numFmtId="167" formatCode="_ [$₹-4009]\ * #,##0_ ;_ [$₹-4009]\ * \-#,##0_ ;_ [$₹-4009]\ * &quot;-&quot;??_ ;_ @_ "/>
    </dxf>
    <dxf>
      <numFmt numFmtId="167" formatCode="_ [$₹-4009]\ * #,##0_ ;_ [$₹-4009]\ * \-#,##0_ ;_ [$₹-4009]\ * &quot;-&quot;??_ ;_ @_ "/>
    </dxf>
    <dxf>
      <numFmt numFmtId="167" formatCode="_ [$₹-4009]\ * #,##0_ ;_ [$₹-4009]\ * \-#,##0_ ;_ [$₹-4009]\ * &quot;-&quot;??_ ;_ @_ "/>
    </dxf>
    <dxf>
      <numFmt numFmtId="14" formatCode="0.00%"/>
    </dxf>
    <dxf>
      <numFmt numFmtId="167" formatCode="_ [$₹-4009]\ * #,##0_ ;_ [$₹-4009]\ * \-#,##0_ ;_ [$₹-4009]\ * &quot;-&quot;??_ ;_ @_ "/>
    </dxf>
    <dxf>
      <numFmt numFmtId="172" formatCode="#,##0.00,,&quot;M&quot;"/>
    </dxf>
    <dxf>
      <numFmt numFmtId="172" formatCode="#,##0.00,,&quot;M&quot;"/>
    </dxf>
    <dxf>
      <numFmt numFmtId="173" formatCode="#,##0.00,&quot;k&quot;"/>
    </dxf>
    <dxf>
      <numFmt numFmtId="172" formatCode="#,##0.00,,&quot;M&quot;"/>
    </dxf>
    <dxf>
      <numFmt numFmtId="172" formatCode="#,##0.00,,&quot;M&quot;"/>
    </dxf>
    <dxf>
      <numFmt numFmtId="167" formatCode="_ [$₹-4009]\ * #,##0_ ;_ [$₹-4009]\ * \-#,##0_ ;_ [$₹-4009]\ * &quot;-&quot;??_ ;_ @_ "/>
    </dxf>
    <dxf>
      <numFmt numFmtId="167" formatCode="_ [$₹-4009]\ * #,##0_ ;_ [$₹-4009]\ * \-#,##0_ ;_ [$₹-4009]\ * &quot;-&quot;??_ ;_ @_ "/>
    </dxf>
    <dxf>
      <numFmt numFmtId="167" formatCode="_ [$₹-4009]\ * #,##0_ ;_ [$₹-4009]\ * \-#,##0_ ;_ [$₹-4009]\ * &quot;-&quot;??_ ;_ @_ "/>
    </dxf>
    <dxf>
      <numFmt numFmtId="167" formatCode="_ [$₹-4009]\ * #,##0_ ;_ [$₹-4009]\ * \-#,##0_ ;_ [$₹-4009]\ * &quot;-&quot;??_ ;_ @_ "/>
    </dxf>
    <dxf>
      <numFmt numFmtId="167" formatCode="_ [$₹-4009]\ * #,##0_ ;_ [$₹-4009]\ * \-#,##0_ ;_ [$₹-4009]\ * &quot;-&quot;??_ ;_ @_ "/>
    </dxf>
    <dxf>
      <numFmt numFmtId="14" formatCode="0.00%"/>
    </dxf>
    <dxf>
      <numFmt numFmtId="167" formatCode="_ [$₹-4009]\ * #,##0_ ;_ [$₹-4009]\ * \-#,##0_ ;_ [$₹-4009]\ * &quot;-&quot;??_ ;_ @_ "/>
    </dxf>
    <dxf>
      <fill>
        <patternFill patternType="solid">
          <fgColor rgb="FFFCE4D6"/>
        </patternFill>
      </fill>
    </dxf>
    <dxf>
      <numFmt numFmtId="172" formatCode="#,##0.00,,&quot;M&quot;"/>
    </dxf>
    <dxf>
      <numFmt numFmtId="172" formatCode="#,##0.00,,&quot;M&quot;"/>
    </dxf>
    <dxf>
      <numFmt numFmtId="173" formatCode="#,##0.00,&quot;k&quot;"/>
    </dxf>
    <dxf>
      <numFmt numFmtId="172" formatCode="#,##0.00,,&quot;M&quot;"/>
    </dxf>
    <dxf>
      <numFmt numFmtId="172" formatCode="#,##0.00,,&quot;M&quot;"/>
    </dxf>
    <dxf>
      <numFmt numFmtId="167" formatCode="_ [$₹-4009]\ * #,##0_ ;_ [$₹-4009]\ * \-#,##0_ ;_ [$₹-4009]\ * &quot;-&quot;??_ ;_ @_ "/>
    </dxf>
    <dxf>
      <numFmt numFmtId="167" formatCode="_ [$₹-4009]\ * #,##0_ ;_ [$₹-4009]\ * \-#,##0_ ;_ [$₹-4009]\ * &quot;-&quot;??_ ;_ @_ "/>
    </dxf>
    <dxf>
      <numFmt numFmtId="167" formatCode="_ [$₹-4009]\ * #,##0_ ;_ [$₹-4009]\ * \-#,##0_ ;_ [$₹-4009]\ * &quot;-&quot;??_ ;_ @_ "/>
    </dxf>
    <dxf>
      <numFmt numFmtId="167" formatCode="_ [$₹-4009]\ * #,##0_ ;_ [$₹-4009]\ * \-#,##0_ ;_ [$₹-4009]\ * &quot;-&quot;??_ ;_ @_ "/>
    </dxf>
    <dxf>
      <numFmt numFmtId="167" formatCode="_ [$₹-4009]\ * #,##0_ ;_ [$₹-4009]\ * \-#,##0_ ;_ [$₹-4009]\ * &quot;-&quot;??_ ;_ @_ "/>
    </dxf>
    <dxf>
      <numFmt numFmtId="167" formatCode="_ [$₹-4009]\ * #,##0_ ;_ [$₹-4009]\ * \-#,##0_ ;_ [$₹-4009]\ * &quot;-&quot;??_ ;_ @_ "/>
    </dxf>
    <dxf>
      <numFmt numFmtId="14" formatCode="0.00%"/>
    </dxf>
    <dxf>
      <numFmt numFmtId="167" formatCode="_ [$₹-4009]\ * #,##0_ ;_ [$₹-4009]\ * \-#,##0_ ;_ [$₹-4009]\ * &quot;-&quot;??_ ;_ @_ "/>
    </dxf>
    <dxf>
      <numFmt numFmtId="1" formatCode="0"/>
    </dxf>
    <dxf>
      <numFmt numFmtId="0" formatCode="General"/>
    </dxf>
    <dxf>
      <numFmt numFmtId="0" formatCode="General"/>
    </dxf>
    <dxf>
      <numFmt numFmtId="19" formatCode="dd/mm/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
    </dxf>
    <dxf>
      <numFmt numFmtId="19" formatCode="dd/mm/yy"/>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19" Type="http://schemas.openxmlformats.org/officeDocument/2006/relationships/customXml" Target="../customXml/item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[North.Star B2B_SaaS_RevOps_Excel_Project.xlsx]Reports!PivotTable1</c:name>
    <c:fmtId val="23"/>
  </c:pivotSource>
  <c:chart>
    <c:title>
      <c:tx>
        <c:rich>
          <a:bodyPr rot="0" spcFirstLastPara="1" vertOverflow="ellipsis" vert="horz" wrap="square" anchor="ctr" anchorCtr="1"/>
          <a:lstStyle/>
          <a:p>
            <a:pPr>
              <a:defRPr sz="1400" b="1" i="0" u="none" strike="noStrike" kern="1200" spc="0" baseline="0">
                <a:solidFill>
                  <a:schemeClr val="accent4">
                    <a:lumMod val="50000"/>
                  </a:schemeClr>
                </a:solidFill>
                <a:latin typeface="+mn-lt"/>
                <a:ea typeface="+mn-ea"/>
                <a:cs typeface="+mn-cs"/>
              </a:defRPr>
            </a:pPr>
            <a:r>
              <a:rPr lang="en-GB" b="1">
                <a:solidFill>
                  <a:schemeClr val="accent4">
                    <a:lumMod val="50000"/>
                  </a:schemeClr>
                </a:solidFill>
              </a:rPr>
              <a:t>Product Revenue</a:t>
            </a:r>
            <a:r>
              <a:rPr lang="en-GB" b="1" baseline="0">
                <a:solidFill>
                  <a:schemeClr val="accent4">
                    <a:lumMod val="50000"/>
                  </a:schemeClr>
                </a:solidFill>
              </a:rPr>
              <a:t> By Region</a:t>
            </a:r>
            <a:endParaRPr lang="en-GB" b="1">
              <a:solidFill>
                <a:schemeClr val="accent4">
                  <a:lumMod val="50000"/>
                </a:schemeClr>
              </a:solidFill>
            </a:endParaRPr>
          </a:p>
        </c:rich>
      </c:tx>
      <c:layout>
        <c:manualLayout>
          <c:xMode val="edge"/>
          <c:yMode val="edge"/>
          <c:x val="2.2781885766817226E-2"/>
          <c:y val="2.096302776967694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4">
                  <a:lumMod val="50000"/>
                </a:schemeClr>
              </a:solidFill>
              <a:latin typeface="+mn-lt"/>
              <a:ea typeface="+mn-ea"/>
              <a:cs typeface="+mn-cs"/>
            </a:defRPr>
          </a:pPr>
          <a:endParaRPr lang="en-GB"/>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dLbl>
          <c:idx val="0"/>
          <c:layout>
            <c:manualLayout>
              <c:x val="-3.9768159539151387E-17"/>
              <c:y val="-7.91666666666666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dLbl>
          <c:idx val="0"/>
          <c:layout>
            <c:manualLayout>
              <c:x val="-3.9768159539151387E-17"/>
              <c:y val="-7.91666666666666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lumMod val="60000"/>
            </a:schemeClr>
          </a:solidFill>
          <a:ln>
            <a:noFill/>
          </a:ln>
          <a:effectLst/>
        </c:spPr>
        <c:dLbl>
          <c:idx val="0"/>
          <c:layout>
            <c:manualLayout>
              <c:x val="-3.9768159539151387E-17"/>
              <c:y val="-7.91666666666666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c:spPr>
      </c:pivotFmt>
      <c:pivotFmt>
        <c:idx val="20"/>
        <c:spPr>
          <a:solidFill>
            <a:schemeClr val="accent4"/>
          </a:solidFill>
          <a:ln>
            <a:noFill/>
          </a:ln>
          <a:effectLst/>
        </c:spPr>
      </c:pivotFmt>
      <c:pivotFmt>
        <c:idx val="21"/>
        <c:spPr>
          <a:solidFill>
            <a:schemeClr val="accent6"/>
          </a:solidFill>
          <a:ln>
            <a:noFill/>
          </a:ln>
          <a:effectLst/>
        </c:spPr>
      </c:pivotFmt>
      <c:pivotFmt>
        <c:idx val="22"/>
        <c:spPr>
          <a:solidFill>
            <a:schemeClr val="accent2">
              <a:lumMod val="60000"/>
            </a:schemeClr>
          </a:solidFill>
          <a:ln>
            <a:noFill/>
          </a:ln>
          <a:effectLst/>
        </c:spPr>
      </c:pivotFmt>
      <c:pivotFmt>
        <c:idx val="23"/>
        <c:spPr>
          <a:solidFill>
            <a:schemeClr val="accent4">
              <a:lumMod val="60000"/>
            </a:schemeClr>
          </a:solidFill>
          <a:ln>
            <a:noFill/>
          </a:ln>
          <a:effectLst/>
        </c:spPr>
      </c:pivotFmt>
    </c:pivotFmts>
    <c:plotArea>
      <c:layout>
        <c:manualLayout>
          <c:layoutTarget val="inner"/>
          <c:xMode val="edge"/>
          <c:yMode val="edge"/>
          <c:x val="9.1628606077168773E-2"/>
          <c:y val="0.16683497375328085"/>
          <c:w val="0.84913295735058292"/>
          <c:h val="0.70965984251968506"/>
        </c:manualLayout>
      </c:layout>
      <c:barChart>
        <c:barDir val="col"/>
        <c:grouping val="stacked"/>
        <c:varyColors val="0"/>
        <c:ser>
          <c:idx val="0"/>
          <c:order val="0"/>
          <c:tx>
            <c:strRef>
              <c:f>Reports!$B$3:$B$4</c:f>
              <c:strCache>
                <c:ptCount val="1"/>
                <c:pt idx="0">
                  <c:v>APAC</c:v>
                </c:pt>
              </c:strCache>
            </c:strRef>
          </c:tx>
          <c:spPr>
            <a:solidFill>
              <a:schemeClr val="accent2"/>
            </a:solidFill>
            <a:ln>
              <a:noFill/>
            </a:ln>
            <a:effectLst/>
          </c:spPr>
          <c:invertIfNegative val="0"/>
          <c:cat>
            <c:strRef>
              <c:f>Reports!$A$5:$A$10</c:f>
              <c:strCache>
                <c:ptCount val="5"/>
                <c:pt idx="0">
                  <c:v>Security Add-on</c:v>
                </c:pt>
                <c:pt idx="1">
                  <c:v>Enterprise Cloud</c:v>
                </c:pt>
                <c:pt idx="2">
                  <c:v>Core Platform</c:v>
                </c:pt>
                <c:pt idx="3">
                  <c:v>Analytics Pro</c:v>
                </c:pt>
                <c:pt idx="4">
                  <c:v>Automation Suite</c:v>
                </c:pt>
              </c:strCache>
            </c:strRef>
          </c:cat>
          <c:val>
            <c:numRef>
              <c:f>Reports!$B$5:$B$10</c:f>
              <c:numCache>
                <c:formatCode>_ [$₹-4009]\ * #,##0_ ;_ [$₹-4009]\ * \-#,##0_ ;_ [$₹-4009]\ * "-"??_ ;_ @_ </c:formatCode>
                <c:ptCount val="5"/>
                <c:pt idx="0">
                  <c:v>4249500</c:v>
                </c:pt>
                <c:pt idx="1">
                  <c:v>2827200</c:v>
                </c:pt>
                <c:pt idx="2">
                  <c:v>4116400</c:v>
                </c:pt>
                <c:pt idx="3">
                  <c:v>3025700</c:v>
                </c:pt>
                <c:pt idx="4">
                  <c:v>2803300</c:v>
                </c:pt>
              </c:numCache>
            </c:numRef>
          </c:val>
          <c:extLst>
            <c:ext xmlns:c16="http://schemas.microsoft.com/office/drawing/2014/chart" uri="{C3380CC4-5D6E-409C-BE32-E72D297353CC}">
              <c16:uniqueId val="{00000001-55DE-864F-BAEA-69A874FC6026}"/>
            </c:ext>
          </c:extLst>
        </c:ser>
        <c:ser>
          <c:idx val="1"/>
          <c:order val="1"/>
          <c:tx>
            <c:strRef>
              <c:f>Reports!$C$3:$C$4</c:f>
              <c:strCache>
                <c:ptCount val="1"/>
                <c:pt idx="0">
                  <c:v>EMEA</c:v>
                </c:pt>
              </c:strCache>
            </c:strRef>
          </c:tx>
          <c:spPr>
            <a:solidFill>
              <a:schemeClr val="accent4"/>
            </a:solidFill>
            <a:ln>
              <a:noFill/>
            </a:ln>
            <a:effectLst/>
          </c:spPr>
          <c:invertIfNegative val="0"/>
          <c:cat>
            <c:strRef>
              <c:f>Reports!$A$5:$A$10</c:f>
              <c:strCache>
                <c:ptCount val="5"/>
                <c:pt idx="0">
                  <c:v>Security Add-on</c:v>
                </c:pt>
                <c:pt idx="1">
                  <c:v>Enterprise Cloud</c:v>
                </c:pt>
                <c:pt idx="2">
                  <c:v>Core Platform</c:v>
                </c:pt>
                <c:pt idx="3">
                  <c:v>Analytics Pro</c:v>
                </c:pt>
                <c:pt idx="4">
                  <c:v>Automation Suite</c:v>
                </c:pt>
              </c:strCache>
            </c:strRef>
          </c:cat>
          <c:val>
            <c:numRef>
              <c:f>Reports!$C$5:$C$10</c:f>
              <c:numCache>
                <c:formatCode>_ [$₹-4009]\ * #,##0_ ;_ [$₹-4009]\ * \-#,##0_ ;_ [$₹-4009]\ * "-"??_ ;_ @_ </c:formatCode>
                <c:ptCount val="5"/>
                <c:pt idx="0">
                  <c:v>4536300</c:v>
                </c:pt>
                <c:pt idx="1">
                  <c:v>4424500</c:v>
                </c:pt>
                <c:pt idx="2">
                  <c:v>1987800</c:v>
                </c:pt>
                <c:pt idx="3">
                  <c:v>2537200</c:v>
                </c:pt>
                <c:pt idx="4">
                  <c:v>2210300</c:v>
                </c:pt>
              </c:numCache>
            </c:numRef>
          </c:val>
          <c:extLst>
            <c:ext xmlns:c16="http://schemas.microsoft.com/office/drawing/2014/chart" uri="{C3380CC4-5D6E-409C-BE32-E72D297353CC}">
              <c16:uniqueId val="{00000011-C0AF-7A49-98CE-AD73E969A5D4}"/>
            </c:ext>
          </c:extLst>
        </c:ser>
        <c:ser>
          <c:idx val="2"/>
          <c:order val="2"/>
          <c:tx>
            <c:strRef>
              <c:f>Reports!$D$3:$D$4</c:f>
              <c:strCache>
                <c:ptCount val="1"/>
                <c:pt idx="0">
                  <c:v>India</c:v>
                </c:pt>
              </c:strCache>
            </c:strRef>
          </c:tx>
          <c:spPr>
            <a:solidFill>
              <a:schemeClr val="accent6"/>
            </a:solidFill>
            <a:ln>
              <a:noFill/>
            </a:ln>
            <a:effectLst/>
          </c:spPr>
          <c:invertIfNegative val="0"/>
          <c:cat>
            <c:strRef>
              <c:f>Reports!$A$5:$A$10</c:f>
              <c:strCache>
                <c:ptCount val="5"/>
                <c:pt idx="0">
                  <c:v>Security Add-on</c:v>
                </c:pt>
                <c:pt idx="1">
                  <c:v>Enterprise Cloud</c:v>
                </c:pt>
                <c:pt idx="2">
                  <c:v>Core Platform</c:v>
                </c:pt>
                <c:pt idx="3">
                  <c:v>Analytics Pro</c:v>
                </c:pt>
                <c:pt idx="4">
                  <c:v>Automation Suite</c:v>
                </c:pt>
              </c:strCache>
            </c:strRef>
          </c:cat>
          <c:val>
            <c:numRef>
              <c:f>Reports!$D$5:$D$10</c:f>
              <c:numCache>
                <c:formatCode>_ [$₹-4009]\ * #,##0_ ;_ [$₹-4009]\ * \-#,##0_ ;_ [$₹-4009]\ * "-"??_ ;_ @_ </c:formatCode>
                <c:ptCount val="5"/>
                <c:pt idx="0">
                  <c:v>5098600</c:v>
                </c:pt>
                <c:pt idx="1">
                  <c:v>4205700</c:v>
                </c:pt>
                <c:pt idx="2">
                  <c:v>3529700</c:v>
                </c:pt>
                <c:pt idx="3">
                  <c:v>3065300</c:v>
                </c:pt>
                <c:pt idx="4">
                  <c:v>2786200</c:v>
                </c:pt>
              </c:numCache>
            </c:numRef>
          </c:val>
          <c:extLst>
            <c:ext xmlns:c16="http://schemas.microsoft.com/office/drawing/2014/chart" uri="{C3380CC4-5D6E-409C-BE32-E72D297353CC}">
              <c16:uniqueId val="{00000012-C0AF-7A49-98CE-AD73E969A5D4}"/>
            </c:ext>
          </c:extLst>
        </c:ser>
        <c:ser>
          <c:idx val="3"/>
          <c:order val="3"/>
          <c:tx>
            <c:strRef>
              <c:f>Reports!$E$3:$E$4</c:f>
              <c:strCache>
                <c:ptCount val="1"/>
                <c:pt idx="0">
                  <c:v>LATAM</c:v>
                </c:pt>
              </c:strCache>
            </c:strRef>
          </c:tx>
          <c:spPr>
            <a:solidFill>
              <a:schemeClr val="accent2">
                <a:lumMod val="60000"/>
              </a:schemeClr>
            </a:solidFill>
            <a:ln>
              <a:noFill/>
            </a:ln>
            <a:effectLst/>
          </c:spPr>
          <c:invertIfNegative val="0"/>
          <c:cat>
            <c:strRef>
              <c:f>Reports!$A$5:$A$10</c:f>
              <c:strCache>
                <c:ptCount val="5"/>
                <c:pt idx="0">
                  <c:v>Security Add-on</c:v>
                </c:pt>
                <c:pt idx="1">
                  <c:v>Enterprise Cloud</c:v>
                </c:pt>
                <c:pt idx="2">
                  <c:v>Core Platform</c:v>
                </c:pt>
                <c:pt idx="3">
                  <c:v>Analytics Pro</c:v>
                </c:pt>
                <c:pt idx="4">
                  <c:v>Automation Suite</c:v>
                </c:pt>
              </c:strCache>
            </c:strRef>
          </c:cat>
          <c:val>
            <c:numRef>
              <c:f>Reports!$E$5:$E$10</c:f>
              <c:numCache>
                <c:formatCode>_ [$₹-4009]\ * #,##0_ ;_ [$₹-4009]\ * \-#,##0_ ;_ [$₹-4009]\ * "-"??_ ;_ @_ </c:formatCode>
                <c:ptCount val="5"/>
                <c:pt idx="0">
                  <c:v>3337700</c:v>
                </c:pt>
                <c:pt idx="1">
                  <c:v>3573200</c:v>
                </c:pt>
                <c:pt idx="2">
                  <c:v>3473000</c:v>
                </c:pt>
                <c:pt idx="3">
                  <c:v>2795200</c:v>
                </c:pt>
                <c:pt idx="4">
                  <c:v>3585400</c:v>
                </c:pt>
              </c:numCache>
            </c:numRef>
          </c:val>
          <c:extLst>
            <c:ext xmlns:c16="http://schemas.microsoft.com/office/drawing/2014/chart" uri="{C3380CC4-5D6E-409C-BE32-E72D297353CC}">
              <c16:uniqueId val="{00000013-C0AF-7A49-98CE-AD73E969A5D4}"/>
            </c:ext>
          </c:extLst>
        </c:ser>
        <c:ser>
          <c:idx val="4"/>
          <c:order val="4"/>
          <c:tx>
            <c:strRef>
              <c:f>Reports!$F$3:$F$4</c:f>
              <c:strCache>
                <c:ptCount val="1"/>
                <c:pt idx="0">
                  <c:v>North America</c:v>
                </c:pt>
              </c:strCache>
            </c:strRef>
          </c:tx>
          <c:spPr>
            <a:solidFill>
              <a:schemeClr val="accent4">
                <a:lumMod val="60000"/>
              </a:schemeClr>
            </a:solidFill>
            <a:ln>
              <a:noFill/>
            </a:ln>
            <a:effectLst/>
          </c:spPr>
          <c:invertIfNegative val="0"/>
          <c:cat>
            <c:strRef>
              <c:f>Reports!$A$5:$A$10</c:f>
              <c:strCache>
                <c:ptCount val="5"/>
                <c:pt idx="0">
                  <c:v>Security Add-on</c:v>
                </c:pt>
                <c:pt idx="1">
                  <c:v>Enterprise Cloud</c:v>
                </c:pt>
                <c:pt idx="2">
                  <c:v>Core Platform</c:v>
                </c:pt>
                <c:pt idx="3">
                  <c:v>Analytics Pro</c:v>
                </c:pt>
                <c:pt idx="4">
                  <c:v>Automation Suite</c:v>
                </c:pt>
              </c:strCache>
            </c:strRef>
          </c:cat>
          <c:val>
            <c:numRef>
              <c:f>Reports!$F$5:$F$10</c:f>
              <c:numCache>
                <c:formatCode>_ [$₹-4009]\ * #,##0_ ;_ [$₹-4009]\ * \-#,##0_ ;_ [$₹-4009]\ * "-"??_ ;_ @_ </c:formatCode>
                <c:ptCount val="5"/>
                <c:pt idx="0">
                  <c:v>2529300</c:v>
                </c:pt>
                <c:pt idx="1">
                  <c:v>2532200</c:v>
                </c:pt>
                <c:pt idx="2">
                  <c:v>4323500</c:v>
                </c:pt>
                <c:pt idx="3">
                  <c:v>3265400</c:v>
                </c:pt>
                <c:pt idx="4">
                  <c:v>2769800</c:v>
                </c:pt>
              </c:numCache>
            </c:numRef>
          </c:val>
          <c:extLst>
            <c:ext xmlns:c16="http://schemas.microsoft.com/office/drawing/2014/chart" uri="{C3380CC4-5D6E-409C-BE32-E72D297353CC}">
              <c16:uniqueId val="{00000014-C0AF-7A49-98CE-AD73E969A5D4}"/>
            </c:ext>
          </c:extLst>
        </c:ser>
        <c:dLbls>
          <c:showLegendKey val="0"/>
          <c:showVal val="0"/>
          <c:showCatName val="0"/>
          <c:showSerName val="0"/>
          <c:showPercent val="0"/>
          <c:showBubbleSize val="0"/>
        </c:dLbls>
        <c:gapWidth val="182"/>
        <c:overlap val="100"/>
        <c:axId val="954457983"/>
        <c:axId val="751470335"/>
      </c:barChart>
      <c:catAx>
        <c:axId val="954457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1470335"/>
        <c:crosses val="autoZero"/>
        <c:auto val="1"/>
        <c:lblAlgn val="ctr"/>
        <c:lblOffset val="100"/>
        <c:noMultiLvlLbl val="0"/>
      </c:catAx>
      <c:valAx>
        <c:axId val="751470335"/>
        <c:scaling>
          <c:orientation val="minMax"/>
          <c:max val="20000000"/>
        </c:scaling>
        <c:delete val="0"/>
        <c:axPos val="l"/>
        <c:numFmt formatCode="0,,\ &quot;M&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54457983"/>
        <c:crosses val="autoZero"/>
        <c:crossBetween val="between"/>
      </c:valAx>
      <c:spPr>
        <a:noFill/>
        <a:ln>
          <a:noFill/>
        </a:ln>
        <a:effectLst/>
      </c:spPr>
    </c:plotArea>
    <c:legend>
      <c:legendPos val="t"/>
      <c:layout>
        <c:manualLayout>
          <c:xMode val="edge"/>
          <c:yMode val="edge"/>
          <c:x val="0.47100403693193171"/>
          <c:y val="3.3271766955056542E-2"/>
          <c:w val="0.52899587371290124"/>
          <c:h val="5.722440944881890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[North.Star B2B_SaaS_RevOps_Excel_Project.xlsx]Reports!PivotTable7</c:name>
    <c:fmtId val="2"/>
  </c:pivotSource>
  <c:chart>
    <c:title>
      <c:tx>
        <c:rich>
          <a:bodyPr rot="0" spcFirstLastPara="1" vertOverflow="ellipsis" vert="horz" wrap="square" anchor="ctr" anchorCtr="1"/>
          <a:lstStyle/>
          <a:p>
            <a:pPr>
              <a:defRPr sz="1400" b="1" i="0" u="none" strike="noStrike" kern="1200" spc="0" baseline="0">
                <a:solidFill>
                  <a:schemeClr val="accent4">
                    <a:lumMod val="50000"/>
                  </a:schemeClr>
                </a:solidFill>
                <a:latin typeface="+mn-lt"/>
                <a:ea typeface="+mn-ea"/>
                <a:cs typeface="+mn-cs"/>
              </a:defRPr>
            </a:pPr>
            <a:r>
              <a:rPr lang="en-US" b="1">
                <a:solidFill>
                  <a:schemeClr val="accent4">
                    <a:lumMod val="50000"/>
                  </a:schemeClr>
                </a:solidFill>
              </a:rPr>
              <a:t>Revenue</a:t>
            </a:r>
            <a:r>
              <a:rPr lang="en-US" b="1" baseline="0">
                <a:solidFill>
                  <a:schemeClr val="accent4">
                    <a:lumMod val="50000"/>
                  </a:schemeClr>
                </a:solidFill>
              </a:rPr>
              <a:t>  By Sales Stages</a:t>
            </a:r>
            <a:endParaRPr lang="en-US" b="1">
              <a:solidFill>
                <a:schemeClr val="accent4">
                  <a:lumMod val="50000"/>
                </a:schemeClr>
              </a:solidFill>
            </a:endParaRPr>
          </a:p>
        </c:rich>
      </c:tx>
      <c:overlay val="0"/>
      <c:spPr>
        <a:solidFill>
          <a:schemeClr val="bg1"/>
        </a:solidFill>
        <a:ln>
          <a:noFill/>
        </a:ln>
        <a:effectLst/>
      </c:spPr>
      <c:txPr>
        <a:bodyPr rot="0" spcFirstLastPara="1" vertOverflow="ellipsis" vert="horz" wrap="square" anchor="ctr" anchorCtr="1"/>
        <a:lstStyle/>
        <a:p>
          <a:pPr>
            <a:defRPr sz="1400" b="1" i="0" u="none" strike="noStrike" kern="1200" spc="0" baseline="0">
              <a:solidFill>
                <a:schemeClr val="accent4">
                  <a:lumMod val="50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pivotFmt>
      <c:pivotFmt>
        <c:idx val="9"/>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w="19050">
            <a:solidFill>
              <a:schemeClr val="lt1"/>
            </a:solidFill>
          </a:ln>
          <a:effectLst/>
        </c:spPr>
      </c:pivotFmt>
      <c:pivotFmt>
        <c:idx val="11"/>
        <c:spPr>
          <a:solidFill>
            <a:schemeClr val="accent2"/>
          </a:solidFill>
          <a:ln w="19050">
            <a:solidFill>
              <a:schemeClr val="lt1"/>
            </a:solidFill>
          </a:ln>
          <a:effectLst/>
        </c:spPr>
      </c:pivotFmt>
      <c:pivotFmt>
        <c:idx val="12"/>
        <c:spPr>
          <a:solidFill>
            <a:schemeClr val="accent2"/>
          </a:solidFill>
          <a:ln w="19050">
            <a:solidFill>
              <a:schemeClr val="lt1"/>
            </a:solidFill>
          </a:ln>
          <a:effectLst/>
        </c:spPr>
      </c:pivotFmt>
      <c:pivotFmt>
        <c:idx val="13"/>
        <c:spPr>
          <a:solidFill>
            <a:schemeClr val="accent2"/>
          </a:solidFill>
          <a:ln w="19050">
            <a:solidFill>
              <a:schemeClr val="lt1"/>
            </a:solidFill>
          </a:ln>
          <a:effectLst/>
        </c:spPr>
      </c:pivotFmt>
      <c:pivotFmt>
        <c:idx val="14"/>
        <c:spPr>
          <a:solidFill>
            <a:schemeClr val="accent2"/>
          </a:solidFill>
          <a:ln w="19050">
            <a:solidFill>
              <a:schemeClr val="lt1"/>
            </a:solidFill>
          </a:ln>
          <a:effectLst/>
        </c:spPr>
      </c:pivotFmt>
      <c:pivotFmt>
        <c:idx val="15"/>
        <c:spPr>
          <a:solidFill>
            <a:schemeClr val="accent2"/>
          </a:solidFill>
          <a:ln w="19050">
            <a:solidFill>
              <a:schemeClr val="lt1"/>
            </a:solidFill>
          </a:ln>
          <a:effectLst/>
        </c:spPr>
      </c:pivotFmt>
      <c:pivotFmt>
        <c:idx val="16"/>
        <c:spPr>
          <a:solidFill>
            <a:schemeClr val="accent2"/>
          </a:solidFill>
          <a:ln w="19050">
            <a:solidFill>
              <a:schemeClr val="lt1"/>
            </a:solidFill>
          </a:ln>
          <a:effectLst/>
        </c:spPr>
      </c:pivotFmt>
    </c:pivotFmts>
    <c:plotArea>
      <c:layout/>
      <c:pieChart>
        <c:varyColors val="1"/>
        <c:ser>
          <c:idx val="0"/>
          <c:order val="0"/>
          <c:tx>
            <c:strRef>
              <c:f>Reports!$B$14</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6A21-754D-B838-AFF2A01BDB6B}"/>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6A21-754D-B838-AFF2A01BDB6B}"/>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6A21-754D-B838-AFF2A01BDB6B}"/>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7-6A21-754D-B838-AFF2A01BDB6B}"/>
              </c:ext>
            </c:extLst>
          </c:dPt>
          <c:dPt>
            <c:idx val="4"/>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9-6A21-754D-B838-AFF2A01BDB6B}"/>
              </c:ext>
            </c:extLst>
          </c:dPt>
          <c:dPt>
            <c:idx val="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B-6A21-754D-B838-AFF2A01BDB6B}"/>
              </c:ext>
            </c:extLst>
          </c:dPt>
          <c:dPt>
            <c:idx val="6"/>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0D-6A21-754D-B838-AFF2A01BDB6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Reports!$A$15:$A$22</c:f>
              <c:strCache>
                <c:ptCount val="7"/>
                <c:pt idx="0">
                  <c:v>Prospecting</c:v>
                </c:pt>
                <c:pt idx="1">
                  <c:v>Closed Won</c:v>
                </c:pt>
                <c:pt idx="2">
                  <c:v>Demo</c:v>
                </c:pt>
                <c:pt idx="3">
                  <c:v>Proposal</c:v>
                </c:pt>
                <c:pt idx="4">
                  <c:v>Qualification</c:v>
                </c:pt>
                <c:pt idx="5">
                  <c:v>Negotiation</c:v>
                </c:pt>
                <c:pt idx="6">
                  <c:v>Closed Lost</c:v>
                </c:pt>
              </c:strCache>
            </c:strRef>
          </c:cat>
          <c:val>
            <c:numRef>
              <c:f>Reports!$B$15:$B$22</c:f>
              <c:numCache>
                <c:formatCode>0.00%</c:formatCode>
                <c:ptCount val="7"/>
                <c:pt idx="0">
                  <c:v>0.18017452182360233</c:v>
                </c:pt>
                <c:pt idx="1">
                  <c:v>0.17078924826889855</c:v>
                </c:pt>
                <c:pt idx="2">
                  <c:v>0.14772025783481918</c:v>
                </c:pt>
                <c:pt idx="3">
                  <c:v>0.14761617640725269</c:v>
                </c:pt>
                <c:pt idx="4">
                  <c:v>0.13294428413511922</c:v>
                </c:pt>
                <c:pt idx="5">
                  <c:v>0.11640490785802815</c:v>
                </c:pt>
                <c:pt idx="6">
                  <c:v>0.10435060367227988</c:v>
                </c:pt>
              </c:numCache>
            </c:numRef>
          </c:val>
          <c:extLst>
            <c:ext xmlns:c16="http://schemas.microsoft.com/office/drawing/2014/chart" uri="{C3380CC4-5D6E-409C-BE32-E72D297353CC}">
              <c16:uniqueId val="{0000000E-6A21-754D-B838-AFF2A01BDB6B}"/>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81842642079066541"/>
          <c:y val="0.17357356372120153"/>
          <c:w val="0.16602953775855739"/>
          <c:h val="0.6625054680664916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accent4">
                    <a:lumMod val="50000"/>
                  </a:schemeClr>
                </a:solidFill>
                <a:latin typeface="+mn-lt"/>
                <a:ea typeface="+mn-ea"/>
                <a:cs typeface="+mn-cs"/>
              </a:defRPr>
            </a:pPr>
            <a:r>
              <a:rPr lang="en-US" b="1">
                <a:solidFill>
                  <a:schemeClr val="accent4">
                    <a:lumMod val="50000"/>
                  </a:schemeClr>
                </a:solidFill>
              </a:rPr>
              <a:t>Revenue</a:t>
            </a:r>
            <a:r>
              <a:rPr lang="en-US" b="1" baseline="0">
                <a:solidFill>
                  <a:schemeClr val="accent4">
                    <a:lumMod val="50000"/>
                  </a:schemeClr>
                </a:solidFill>
              </a:rPr>
              <a:t> By Region</a:t>
            </a:r>
            <a:endParaRPr lang="en-US" b="1">
              <a:solidFill>
                <a:schemeClr val="accent4">
                  <a:lumMod val="50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4">
                  <a:lumMod val="50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pivotFmt>
      <c:pivotFmt>
        <c:idx val="3"/>
        <c:spPr>
          <a:solidFill>
            <a:schemeClr val="accent2"/>
          </a:solidFill>
          <a:ln>
            <a:noFill/>
          </a:ln>
          <a:effectLst/>
        </c:spPr>
      </c:pivotFmt>
      <c:pivotFmt>
        <c:idx val="4"/>
        <c:spPr>
          <a:solidFill>
            <a:schemeClr val="accent2"/>
          </a:solidFill>
          <a:ln>
            <a:noFill/>
          </a:ln>
          <a:effectLst/>
        </c:spPr>
      </c:pivotFmt>
      <c:pivotFmt>
        <c:idx val="5"/>
        <c:spPr>
          <a:solidFill>
            <a:schemeClr val="accent2"/>
          </a:solidFill>
          <a:ln>
            <a:noFill/>
          </a:ln>
          <a:effectLst/>
        </c:spPr>
      </c:pivotFmt>
      <c:pivotFmt>
        <c:idx val="6"/>
        <c:spPr>
          <a:solidFill>
            <a:schemeClr val="accent2"/>
          </a:solidFill>
          <a:ln>
            <a:noFill/>
          </a:ln>
          <a:effectLst/>
        </c:spPr>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pivotFmt>
      <c:pivotFmt>
        <c:idx val="9"/>
        <c:spPr>
          <a:solidFill>
            <a:schemeClr val="accent2"/>
          </a:solidFill>
          <a:ln>
            <a:noFill/>
          </a:ln>
          <a:effectLst/>
        </c:spPr>
      </c:pivotFmt>
      <c:pivotFmt>
        <c:idx val="10"/>
        <c:spPr>
          <a:solidFill>
            <a:schemeClr val="accent2"/>
          </a:solidFill>
          <a:ln>
            <a:noFill/>
          </a:ln>
          <a:effectLst/>
        </c:spPr>
      </c:pivotFmt>
      <c:pivotFmt>
        <c:idx val="11"/>
        <c:spPr>
          <a:solidFill>
            <a:schemeClr val="accent2"/>
          </a:solidFill>
          <a:ln>
            <a:noFill/>
          </a:ln>
          <a:effectLst/>
        </c:spPr>
      </c:pivotFmt>
      <c:pivotFmt>
        <c:idx val="12"/>
        <c:spPr>
          <a:solidFill>
            <a:schemeClr val="accent2"/>
          </a:solidFill>
          <a:ln>
            <a:noFill/>
          </a:ln>
          <a:effectLst/>
        </c:spPr>
      </c:pivotFmt>
    </c:pivotFmts>
    <c:plotArea>
      <c:layout/>
      <c:barChart>
        <c:barDir val="col"/>
        <c:grouping val="clustered"/>
        <c:varyColors val="1"/>
        <c:ser>
          <c:idx val="0"/>
          <c:order val="0"/>
          <c:tx>
            <c:v>Total</c:v>
          </c:tx>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1-FFB8-F249-AE67-A1F257979E82}"/>
              </c:ext>
            </c:extLst>
          </c:dPt>
          <c:dPt>
            <c:idx val="1"/>
            <c:invertIfNegative val="0"/>
            <c:bubble3D val="0"/>
            <c:spPr>
              <a:solidFill>
                <a:schemeClr val="accent4"/>
              </a:solidFill>
              <a:ln>
                <a:noFill/>
              </a:ln>
              <a:effectLst/>
            </c:spPr>
            <c:extLst>
              <c:ext xmlns:c16="http://schemas.microsoft.com/office/drawing/2014/chart" uri="{C3380CC4-5D6E-409C-BE32-E72D297353CC}">
                <c16:uniqueId val="{00000003-FFB8-F249-AE67-A1F257979E82}"/>
              </c:ext>
            </c:extLst>
          </c:dPt>
          <c:dPt>
            <c:idx val="2"/>
            <c:invertIfNegative val="0"/>
            <c:bubble3D val="0"/>
            <c:spPr>
              <a:solidFill>
                <a:schemeClr val="accent6"/>
              </a:solidFill>
              <a:ln>
                <a:noFill/>
              </a:ln>
              <a:effectLst/>
            </c:spPr>
            <c:extLst>
              <c:ext xmlns:c16="http://schemas.microsoft.com/office/drawing/2014/chart" uri="{C3380CC4-5D6E-409C-BE32-E72D297353CC}">
                <c16:uniqueId val="{00000005-FFB8-F249-AE67-A1F257979E82}"/>
              </c:ext>
            </c:extLst>
          </c:dPt>
          <c:dPt>
            <c:idx val="3"/>
            <c:invertIfNegative val="0"/>
            <c:bubble3D val="0"/>
            <c:spPr>
              <a:solidFill>
                <a:schemeClr val="accent2">
                  <a:lumMod val="60000"/>
                </a:schemeClr>
              </a:solidFill>
              <a:ln>
                <a:noFill/>
              </a:ln>
              <a:effectLst/>
            </c:spPr>
            <c:extLst>
              <c:ext xmlns:c16="http://schemas.microsoft.com/office/drawing/2014/chart" uri="{C3380CC4-5D6E-409C-BE32-E72D297353CC}">
                <c16:uniqueId val="{00000007-FFB8-F249-AE67-A1F257979E82}"/>
              </c:ext>
            </c:extLst>
          </c:dPt>
          <c:dPt>
            <c:idx val="4"/>
            <c:invertIfNegative val="0"/>
            <c:bubble3D val="0"/>
            <c:spPr>
              <a:solidFill>
                <a:schemeClr val="accent4">
                  <a:lumMod val="60000"/>
                </a:schemeClr>
              </a:solidFill>
              <a:ln>
                <a:noFill/>
              </a:ln>
              <a:effectLst/>
            </c:spPr>
            <c:extLst>
              <c:ext xmlns:c16="http://schemas.microsoft.com/office/drawing/2014/chart" uri="{C3380CC4-5D6E-409C-BE32-E72D297353CC}">
                <c16:uniqueId val="{00000009-FFB8-F249-AE67-A1F257979E82}"/>
              </c:ext>
            </c:extLst>
          </c:dPt>
          <c:cat>
            <c:strLit>
              <c:ptCount val="5"/>
              <c:pt idx="0">
                <c:v>APAC</c:v>
              </c:pt>
              <c:pt idx="1">
                <c:v>EMEA</c:v>
              </c:pt>
              <c:pt idx="2">
                <c:v>India</c:v>
              </c:pt>
              <c:pt idx="3">
                <c:v>LATAM</c:v>
              </c:pt>
              <c:pt idx="4">
                <c:v>North America</c:v>
              </c:pt>
            </c:strLit>
          </c:cat>
          <c:val>
            <c:numLit>
              <c:formatCode>General</c:formatCode>
              <c:ptCount val="5"/>
              <c:pt idx="0">
                <c:v>17022100</c:v>
              </c:pt>
              <c:pt idx="1">
                <c:v>15696100</c:v>
              </c:pt>
              <c:pt idx="2">
                <c:v>18685500</c:v>
              </c:pt>
              <c:pt idx="3">
                <c:v>16764500</c:v>
              </c:pt>
              <c:pt idx="4">
                <c:v>15420200</c:v>
              </c:pt>
            </c:numLit>
          </c:val>
          <c:extLst>
            <c:ext xmlns:c16="http://schemas.microsoft.com/office/drawing/2014/chart" uri="{C3380CC4-5D6E-409C-BE32-E72D297353CC}">
              <c16:uniqueId val="{0000000A-FFB8-F249-AE67-A1F257979E82}"/>
            </c:ext>
          </c:extLst>
        </c:ser>
        <c:dLbls>
          <c:showLegendKey val="0"/>
          <c:showVal val="0"/>
          <c:showCatName val="0"/>
          <c:showSerName val="0"/>
          <c:showPercent val="0"/>
          <c:showBubbleSize val="0"/>
        </c:dLbls>
        <c:gapWidth val="219"/>
        <c:overlap val="-27"/>
        <c:axId val="434466175"/>
        <c:axId val="105363455"/>
      </c:barChart>
      <c:catAx>
        <c:axId val="434466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63455"/>
        <c:crosses val="autoZero"/>
        <c:auto val="1"/>
        <c:lblAlgn val="ctr"/>
        <c:lblOffset val="100"/>
        <c:noMultiLvlLbl val="0"/>
      </c:catAx>
      <c:valAx>
        <c:axId val="105363455"/>
        <c:scaling>
          <c:orientation val="minMax"/>
        </c:scaling>
        <c:delete val="0"/>
        <c:axPos val="l"/>
        <c:numFmt formatCode="0,,\ &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466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[North.Star B2B_SaaS_RevOps_Excel_Project.xlsx]Reports!PivotTable14</c:name>
    <c:fmtId val="12"/>
  </c:pivotSource>
  <c:chart>
    <c:title>
      <c:tx>
        <c:rich>
          <a:bodyPr rot="0" spcFirstLastPara="1" vertOverflow="ellipsis" vert="horz" wrap="square" anchor="ctr" anchorCtr="1"/>
          <a:lstStyle/>
          <a:p>
            <a:pPr>
              <a:defRPr sz="1400" b="1" i="0" u="none" strike="noStrike" kern="1200" spc="0" baseline="0">
                <a:solidFill>
                  <a:schemeClr val="accent4">
                    <a:lumMod val="50000"/>
                  </a:schemeClr>
                </a:solidFill>
                <a:latin typeface="+mn-lt"/>
                <a:ea typeface="+mn-ea"/>
                <a:cs typeface="+mn-cs"/>
              </a:defRPr>
            </a:pPr>
            <a:r>
              <a:rPr lang="en-US" b="1">
                <a:solidFill>
                  <a:schemeClr val="accent4">
                    <a:lumMod val="50000"/>
                  </a:schemeClr>
                </a:solidFill>
              </a:rPr>
              <a:t>Monthly</a:t>
            </a:r>
            <a:r>
              <a:rPr lang="en-US" b="1" baseline="0">
                <a:solidFill>
                  <a:schemeClr val="accent4">
                    <a:lumMod val="50000"/>
                  </a:schemeClr>
                </a:solidFill>
              </a:rPr>
              <a:t> Revenue Trend</a:t>
            </a:r>
            <a:endParaRPr lang="en-US" b="1">
              <a:solidFill>
                <a:schemeClr val="accent4">
                  <a:lumMod val="50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4">
                  <a:lumMod val="50000"/>
                </a:schemeClr>
              </a:solidFill>
              <a:latin typeface="+mn-lt"/>
              <a:ea typeface="+mn-ea"/>
              <a:cs typeface="+mn-cs"/>
            </a:defRPr>
          </a:pPr>
          <a:endParaRPr lang="en-US"/>
        </a:p>
      </c:txPr>
    </c:title>
    <c:autoTitleDeleted val="0"/>
    <c:pivotFmts>
      <c:pivotFmt>
        <c:idx val="0"/>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Reports!$J$5</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Reports!$I$6:$I$18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Reports!$J$6:$J$18</c:f>
              <c:numCache>
                <c:formatCode>_ [$₹-4009]\ * #,##0_ ;_ [$₹-4009]\ * \-#,##0_ ;_ [$₹-4009]\ * "-"??_ ;_ @_ </c:formatCode>
                <c:ptCount val="12"/>
                <c:pt idx="0">
                  <c:v>4068500</c:v>
                </c:pt>
                <c:pt idx="1">
                  <c:v>5817800</c:v>
                </c:pt>
                <c:pt idx="2">
                  <c:v>7924900</c:v>
                </c:pt>
                <c:pt idx="3">
                  <c:v>7889300</c:v>
                </c:pt>
                <c:pt idx="4">
                  <c:v>7112100</c:v>
                </c:pt>
                <c:pt idx="5">
                  <c:v>5819500</c:v>
                </c:pt>
                <c:pt idx="6">
                  <c:v>8418500</c:v>
                </c:pt>
                <c:pt idx="7">
                  <c:v>7933000</c:v>
                </c:pt>
                <c:pt idx="8">
                  <c:v>12702400</c:v>
                </c:pt>
                <c:pt idx="9">
                  <c:v>8566100</c:v>
                </c:pt>
                <c:pt idx="10">
                  <c:v>3792100</c:v>
                </c:pt>
                <c:pt idx="11">
                  <c:v>3544200</c:v>
                </c:pt>
              </c:numCache>
            </c:numRef>
          </c:val>
          <c:smooth val="0"/>
          <c:extLst>
            <c:ext xmlns:c16="http://schemas.microsoft.com/office/drawing/2014/chart" uri="{C3380CC4-5D6E-409C-BE32-E72D297353CC}">
              <c16:uniqueId val="{00000000-D8DE-184A-B14D-65DCF9F970F8}"/>
            </c:ext>
          </c:extLst>
        </c:ser>
        <c:dLbls>
          <c:showLegendKey val="0"/>
          <c:showVal val="0"/>
          <c:showCatName val="0"/>
          <c:showSerName val="0"/>
          <c:showPercent val="0"/>
          <c:showBubbleSize val="0"/>
        </c:dLbls>
        <c:marker val="1"/>
        <c:smooth val="0"/>
        <c:axId val="406895039"/>
        <c:axId val="751236671"/>
      </c:lineChart>
      <c:catAx>
        <c:axId val="406895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1236671"/>
        <c:crosses val="autoZero"/>
        <c:auto val="1"/>
        <c:lblAlgn val="ctr"/>
        <c:lblOffset val="100"/>
        <c:noMultiLvlLbl val="0"/>
      </c:catAx>
      <c:valAx>
        <c:axId val="751236671"/>
        <c:scaling>
          <c:orientation val="minMax"/>
        </c:scaling>
        <c:delete val="0"/>
        <c:axPos val="l"/>
        <c:numFmt formatCode="0,,\ &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895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[North.Star B2B_SaaS_RevOps_Excel_Project.xlsx]Reports!PivotTable18</c:name>
    <c:fmtId val="19"/>
  </c:pivotSource>
  <c:chart>
    <c:title>
      <c:tx>
        <c:rich>
          <a:bodyPr rot="0" spcFirstLastPara="1" vertOverflow="ellipsis" vert="horz" wrap="square" anchor="ctr" anchorCtr="1"/>
          <a:lstStyle/>
          <a:p>
            <a:pPr>
              <a:defRPr sz="1400" b="1" i="0" u="none" strike="noStrike" kern="1200" spc="0" baseline="0">
                <a:solidFill>
                  <a:schemeClr val="accent4">
                    <a:lumMod val="50000"/>
                  </a:schemeClr>
                </a:solidFill>
                <a:latin typeface="+mn-lt"/>
                <a:ea typeface="+mn-ea"/>
                <a:cs typeface="+mn-cs"/>
              </a:defRPr>
            </a:pPr>
            <a:r>
              <a:rPr lang="en-US" b="1">
                <a:solidFill>
                  <a:schemeClr val="accent4">
                    <a:lumMod val="50000"/>
                  </a:schemeClr>
                </a:solidFill>
              </a:rPr>
              <a:t>Closed</a:t>
            </a:r>
            <a:r>
              <a:rPr lang="en-US" b="1" baseline="0">
                <a:solidFill>
                  <a:schemeClr val="accent4">
                    <a:lumMod val="50000"/>
                  </a:schemeClr>
                </a:solidFill>
              </a:rPr>
              <a:t> Own Revenue By Sales Rep</a:t>
            </a:r>
            <a:endParaRPr lang="en-US" b="1">
              <a:solidFill>
                <a:schemeClr val="accent4">
                  <a:lumMod val="50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4">
                  <a:lumMod val="50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pivotFmt>
      <c:pivotFmt>
        <c:idx val="3"/>
        <c:spPr>
          <a:solidFill>
            <a:schemeClr val="accent2"/>
          </a:solidFill>
          <a:ln>
            <a:noFill/>
          </a:ln>
          <a:effectLst/>
        </c:spPr>
      </c:pivotFmt>
      <c:pivotFmt>
        <c:idx val="4"/>
        <c:spPr>
          <a:solidFill>
            <a:schemeClr val="accent2"/>
          </a:solidFill>
          <a:ln>
            <a:noFill/>
          </a:ln>
          <a:effectLst/>
        </c:spPr>
      </c:pivotFmt>
      <c:pivotFmt>
        <c:idx val="5"/>
        <c:spPr>
          <a:solidFill>
            <a:schemeClr val="accent2"/>
          </a:solidFill>
          <a:ln>
            <a:noFill/>
          </a:ln>
          <a:effectLst/>
        </c:spPr>
      </c:pivotFmt>
      <c:pivotFmt>
        <c:idx val="6"/>
        <c:spPr>
          <a:solidFill>
            <a:schemeClr val="accent2"/>
          </a:solidFill>
          <a:ln>
            <a:noFill/>
          </a:ln>
          <a:effectLst/>
        </c:spPr>
      </c:pivotFmt>
      <c:pivotFmt>
        <c:idx val="7"/>
        <c:spPr>
          <a:solidFill>
            <a:schemeClr val="accent2"/>
          </a:solidFill>
          <a:ln>
            <a:noFill/>
          </a:ln>
          <a:effectLst/>
        </c:spPr>
      </c:pivotFmt>
      <c:pivotFmt>
        <c:idx val="8"/>
        <c:spPr>
          <a:solidFill>
            <a:schemeClr val="accent2"/>
          </a:solidFill>
          <a:ln>
            <a:noFill/>
          </a:ln>
          <a:effectLst/>
        </c:spPr>
      </c:pivotFmt>
      <c:pivotFmt>
        <c:idx val="9"/>
        <c:spPr>
          <a:solidFill>
            <a:schemeClr val="accent2"/>
          </a:solidFill>
          <a:ln>
            <a:noFill/>
          </a:ln>
          <a:effectLst/>
        </c:spPr>
      </c:pivotFmt>
      <c:pivotFmt>
        <c:idx val="10"/>
        <c:spPr>
          <a:solidFill>
            <a:schemeClr val="accent2"/>
          </a:solidFill>
          <a:ln>
            <a:noFill/>
          </a:ln>
          <a:effectLst/>
        </c:spPr>
      </c:pivotFmt>
      <c:pivotFmt>
        <c:idx val="11"/>
        <c:spPr>
          <a:solidFill>
            <a:schemeClr val="accent2"/>
          </a:solidFill>
          <a:ln>
            <a:noFill/>
          </a:ln>
          <a:effectLst/>
        </c:spPr>
      </c:pivotFmt>
      <c:pivotFmt>
        <c:idx val="12"/>
        <c:spPr>
          <a:solidFill>
            <a:schemeClr val="accent2"/>
          </a:solidFill>
          <a:ln>
            <a:noFill/>
          </a:ln>
          <a:effectLst/>
        </c:spPr>
      </c:pivotFmt>
      <c:pivotFmt>
        <c:idx val="13"/>
        <c:spPr>
          <a:solidFill>
            <a:schemeClr val="accent2"/>
          </a:solidFill>
          <a:ln>
            <a:noFill/>
          </a:ln>
          <a:effectLst/>
        </c:spPr>
      </c:pivotFmt>
      <c:pivotFmt>
        <c:idx val="1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pivotFmt>
      <c:pivotFmt>
        <c:idx val="16"/>
        <c:spPr>
          <a:solidFill>
            <a:schemeClr val="accent2"/>
          </a:solidFill>
          <a:ln>
            <a:noFill/>
          </a:ln>
          <a:effectLst/>
        </c:spPr>
      </c:pivotFmt>
      <c:pivotFmt>
        <c:idx val="17"/>
        <c:spPr>
          <a:solidFill>
            <a:schemeClr val="accent2"/>
          </a:solidFill>
          <a:ln>
            <a:noFill/>
          </a:ln>
          <a:effectLst/>
        </c:spPr>
      </c:pivotFmt>
      <c:pivotFmt>
        <c:idx val="18"/>
        <c:spPr>
          <a:solidFill>
            <a:schemeClr val="accent2"/>
          </a:solidFill>
          <a:ln>
            <a:noFill/>
          </a:ln>
          <a:effectLst/>
        </c:spPr>
      </c:pivotFmt>
      <c:pivotFmt>
        <c:idx val="19"/>
        <c:spPr>
          <a:solidFill>
            <a:schemeClr val="accent2"/>
          </a:solidFill>
          <a:ln>
            <a:noFill/>
          </a:ln>
          <a:effectLst/>
        </c:spPr>
      </c:pivotFmt>
      <c:pivotFmt>
        <c:idx val="20"/>
        <c:spPr>
          <a:solidFill>
            <a:schemeClr val="accent2"/>
          </a:solidFill>
          <a:ln>
            <a:noFill/>
          </a:ln>
          <a:effectLst/>
        </c:spPr>
      </c:pivotFmt>
      <c:pivotFmt>
        <c:idx val="21"/>
        <c:spPr>
          <a:solidFill>
            <a:schemeClr val="accent2"/>
          </a:solidFill>
          <a:ln>
            <a:noFill/>
          </a:ln>
          <a:effectLst/>
        </c:spPr>
      </c:pivotFmt>
      <c:pivotFmt>
        <c:idx val="22"/>
        <c:spPr>
          <a:solidFill>
            <a:schemeClr val="accent2"/>
          </a:solidFill>
          <a:ln>
            <a:noFill/>
          </a:ln>
          <a:effectLst/>
        </c:spPr>
      </c:pivotFmt>
      <c:pivotFmt>
        <c:idx val="23"/>
        <c:spPr>
          <a:solidFill>
            <a:schemeClr val="accent2"/>
          </a:solidFill>
          <a:ln>
            <a:noFill/>
          </a:ln>
          <a:effectLst/>
        </c:spPr>
      </c:pivotFmt>
      <c:pivotFmt>
        <c:idx val="24"/>
        <c:spPr>
          <a:solidFill>
            <a:schemeClr val="accent2"/>
          </a:solidFill>
          <a:ln>
            <a:noFill/>
          </a:ln>
          <a:effectLst/>
        </c:spPr>
      </c:pivotFmt>
      <c:pivotFmt>
        <c:idx val="25"/>
        <c:spPr>
          <a:solidFill>
            <a:schemeClr val="accent2"/>
          </a:solidFill>
          <a:ln>
            <a:noFill/>
          </a:ln>
          <a:effectLst/>
        </c:spPr>
      </c:pivotFmt>
      <c:pivotFmt>
        <c:idx val="26"/>
        <c:spPr>
          <a:solidFill>
            <a:schemeClr val="accent2"/>
          </a:solidFill>
          <a:ln>
            <a:noFill/>
          </a:ln>
          <a:effectLst/>
        </c:spPr>
      </c:pivotFmt>
    </c:pivotFmts>
    <c:plotArea>
      <c:layout/>
      <c:barChart>
        <c:barDir val="bar"/>
        <c:grouping val="clustered"/>
        <c:varyColors val="1"/>
        <c:ser>
          <c:idx val="0"/>
          <c:order val="0"/>
          <c:tx>
            <c:strRef>
              <c:f>Reports!$H$25</c:f>
              <c:strCache>
                <c:ptCount val="1"/>
                <c:pt idx="0">
                  <c:v>Total</c:v>
                </c:pt>
              </c:strCache>
            </c:strRef>
          </c:tx>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1-F9B4-EE43-B7C1-679A83A91234}"/>
              </c:ext>
            </c:extLst>
          </c:dPt>
          <c:dPt>
            <c:idx val="1"/>
            <c:invertIfNegative val="0"/>
            <c:bubble3D val="0"/>
            <c:spPr>
              <a:solidFill>
                <a:schemeClr val="accent4"/>
              </a:solidFill>
              <a:ln>
                <a:noFill/>
              </a:ln>
              <a:effectLst/>
            </c:spPr>
            <c:extLst>
              <c:ext xmlns:c16="http://schemas.microsoft.com/office/drawing/2014/chart" uri="{C3380CC4-5D6E-409C-BE32-E72D297353CC}">
                <c16:uniqueId val="{00000003-F9B4-EE43-B7C1-679A83A91234}"/>
              </c:ext>
            </c:extLst>
          </c:dPt>
          <c:dPt>
            <c:idx val="2"/>
            <c:invertIfNegative val="0"/>
            <c:bubble3D val="0"/>
            <c:spPr>
              <a:solidFill>
                <a:schemeClr val="accent6"/>
              </a:solidFill>
              <a:ln>
                <a:noFill/>
              </a:ln>
              <a:effectLst/>
            </c:spPr>
            <c:extLst>
              <c:ext xmlns:c16="http://schemas.microsoft.com/office/drawing/2014/chart" uri="{C3380CC4-5D6E-409C-BE32-E72D297353CC}">
                <c16:uniqueId val="{00000005-F9B4-EE43-B7C1-679A83A91234}"/>
              </c:ext>
            </c:extLst>
          </c:dPt>
          <c:dPt>
            <c:idx val="3"/>
            <c:invertIfNegative val="0"/>
            <c:bubble3D val="0"/>
            <c:spPr>
              <a:solidFill>
                <a:schemeClr val="accent2">
                  <a:lumMod val="60000"/>
                </a:schemeClr>
              </a:solidFill>
              <a:ln>
                <a:noFill/>
              </a:ln>
              <a:effectLst/>
            </c:spPr>
            <c:extLst>
              <c:ext xmlns:c16="http://schemas.microsoft.com/office/drawing/2014/chart" uri="{C3380CC4-5D6E-409C-BE32-E72D297353CC}">
                <c16:uniqueId val="{00000007-F9B4-EE43-B7C1-679A83A91234}"/>
              </c:ext>
            </c:extLst>
          </c:dPt>
          <c:dPt>
            <c:idx val="4"/>
            <c:invertIfNegative val="0"/>
            <c:bubble3D val="0"/>
            <c:spPr>
              <a:solidFill>
                <a:schemeClr val="accent4">
                  <a:lumMod val="60000"/>
                </a:schemeClr>
              </a:solidFill>
              <a:ln>
                <a:noFill/>
              </a:ln>
              <a:effectLst/>
            </c:spPr>
            <c:extLst>
              <c:ext xmlns:c16="http://schemas.microsoft.com/office/drawing/2014/chart" uri="{C3380CC4-5D6E-409C-BE32-E72D297353CC}">
                <c16:uniqueId val="{00000009-F9B4-EE43-B7C1-679A83A91234}"/>
              </c:ext>
            </c:extLst>
          </c:dPt>
          <c:dPt>
            <c:idx val="5"/>
            <c:invertIfNegative val="0"/>
            <c:bubble3D val="0"/>
            <c:spPr>
              <a:solidFill>
                <a:schemeClr val="accent6">
                  <a:lumMod val="60000"/>
                </a:schemeClr>
              </a:solidFill>
              <a:ln>
                <a:noFill/>
              </a:ln>
              <a:effectLst/>
            </c:spPr>
            <c:extLst>
              <c:ext xmlns:c16="http://schemas.microsoft.com/office/drawing/2014/chart" uri="{C3380CC4-5D6E-409C-BE32-E72D297353CC}">
                <c16:uniqueId val="{0000000B-F9B4-EE43-B7C1-679A83A91234}"/>
              </c:ext>
            </c:extLst>
          </c:dPt>
          <c:dPt>
            <c:idx val="6"/>
            <c:invertIfNegative val="0"/>
            <c:bubble3D val="0"/>
            <c:spPr>
              <a:solidFill>
                <a:schemeClr val="accent2">
                  <a:lumMod val="80000"/>
                  <a:lumOff val="20000"/>
                </a:schemeClr>
              </a:solidFill>
              <a:ln>
                <a:noFill/>
              </a:ln>
              <a:effectLst/>
            </c:spPr>
            <c:extLst>
              <c:ext xmlns:c16="http://schemas.microsoft.com/office/drawing/2014/chart" uri="{C3380CC4-5D6E-409C-BE32-E72D297353CC}">
                <c16:uniqueId val="{0000000D-F9B4-EE43-B7C1-679A83A91234}"/>
              </c:ext>
            </c:extLst>
          </c:dPt>
          <c:dPt>
            <c:idx val="7"/>
            <c:invertIfNegative val="0"/>
            <c:bubble3D val="0"/>
            <c:spPr>
              <a:solidFill>
                <a:schemeClr val="accent4">
                  <a:lumMod val="80000"/>
                  <a:lumOff val="20000"/>
                </a:schemeClr>
              </a:solidFill>
              <a:ln>
                <a:noFill/>
              </a:ln>
              <a:effectLst/>
            </c:spPr>
            <c:extLst>
              <c:ext xmlns:c16="http://schemas.microsoft.com/office/drawing/2014/chart" uri="{C3380CC4-5D6E-409C-BE32-E72D297353CC}">
                <c16:uniqueId val="{0000000F-F9B4-EE43-B7C1-679A83A91234}"/>
              </c:ext>
            </c:extLst>
          </c:dPt>
          <c:dPt>
            <c:idx val="8"/>
            <c:invertIfNegative val="0"/>
            <c:bubble3D val="0"/>
            <c:spPr>
              <a:solidFill>
                <a:schemeClr val="accent6">
                  <a:lumMod val="80000"/>
                  <a:lumOff val="20000"/>
                </a:schemeClr>
              </a:solidFill>
              <a:ln>
                <a:noFill/>
              </a:ln>
              <a:effectLst/>
            </c:spPr>
            <c:extLst>
              <c:ext xmlns:c16="http://schemas.microsoft.com/office/drawing/2014/chart" uri="{C3380CC4-5D6E-409C-BE32-E72D297353CC}">
                <c16:uniqueId val="{00000011-F9B4-EE43-B7C1-679A83A91234}"/>
              </c:ext>
            </c:extLst>
          </c:dPt>
          <c:dPt>
            <c:idx val="9"/>
            <c:invertIfNegative val="0"/>
            <c:bubble3D val="0"/>
            <c:spPr>
              <a:solidFill>
                <a:schemeClr val="accent2">
                  <a:lumMod val="80000"/>
                </a:schemeClr>
              </a:solidFill>
              <a:ln>
                <a:noFill/>
              </a:ln>
              <a:effectLst/>
            </c:spPr>
            <c:extLst>
              <c:ext xmlns:c16="http://schemas.microsoft.com/office/drawing/2014/chart" uri="{C3380CC4-5D6E-409C-BE32-E72D297353CC}">
                <c16:uniqueId val="{00000013-F9B4-EE43-B7C1-679A83A91234}"/>
              </c:ext>
            </c:extLst>
          </c:dPt>
          <c:dPt>
            <c:idx val="10"/>
            <c:invertIfNegative val="0"/>
            <c:bubble3D val="0"/>
            <c:spPr>
              <a:solidFill>
                <a:schemeClr val="accent4">
                  <a:lumMod val="80000"/>
                </a:schemeClr>
              </a:solidFill>
              <a:ln>
                <a:noFill/>
              </a:ln>
              <a:effectLst/>
            </c:spPr>
            <c:extLst>
              <c:ext xmlns:c16="http://schemas.microsoft.com/office/drawing/2014/chart" uri="{C3380CC4-5D6E-409C-BE32-E72D297353CC}">
                <c16:uniqueId val="{00000015-F9B4-EE43-B7C1-679A83A91234}"/>
              </c:ext>
            </c:extLst>
          </c:dPt>
          <c:dPt>
            <c:idx val="11"/>
            <c:invertIfNegative val="0"/>
            <c:bubble3D val="0"/>
            <c:spPr>
              <a:solidFill>
                <a:schemeClr val="accent6">
                  <a:lumMod val="80000"/>
                </a:schemeClr>
              </a:solidFill>
              <a:ln>
                <a:noFill/>
              </a:ln>
              <a:effectLst/>
            </c:spPr>
            <c:extLst>
              <c:ext xmlns:c16="http://schemas.microsoft.com/office/drawing/2014/chart" uri="{C3380CC4-5D6E-409C-BE32-E72D297353CC}">
                <c16:uniqueId val="{00000017-F9B4-EE43-B7C1-679A83A91234}"/>
              </c:ext>
            </c:extLst>
          </c:dPt>
          <c:cat>
            <c:strRef>
              <c:f>Reports!$G$26:$G$38</c:f>
              <c:strCache>
                <c:ptCount val="12"/>
                <c:pt idx="0">
                  <c:v>Tara Bose</c:v>
                </c:pt>
                <c:pt idx="1">
                  <c:v>Diya Nair</c:v>
                </c:pt>
                <c:pt idx="2">
                  <c:v>Rohan Gupta</c:v>
                </c:pt>
                <c:pt idx="3">
                  <c:v>Aarav Shah</c:v>
                </c:pt>
                <c:pt idx="4">
                  <c:v>Ananya Rao</c:v>
                </c:pt>
                <c:pt idx="5">
                  <c:v>Sara Khan</c:v>
                </c:pt>
                <c:pt idx="6">
                  <c:v>Ishita Menon</c:v>
                </c:pt>
                <c:pt idx="7">
                  <c:v>Meera Iyer</c:v>
                </c:pt>
                <c:pt idx="8">
                  <c:v>Vikram Singh</c:v>
                </c:pt>
                <c:pt idx="9">
                  <c:v>Arjun Malhotra</c:v>
                </c:pt>
                <c:pt idx="10">
                  <c:v>Neel Kapoor</c:v>
                </c:pt>
                <c:pt idx="11">
                  <c:v>Kabir Mehta</c:v>
                </c:pt>
              </c:strCache>
            </c:strRef>
          </c:cat>
          <c:val>
            <c:numRef>
              <c:f>Reports!$H$26:$H$38</c:f>
              <c:numCache>
                <c:formatCode>_ [$₹-4009]\ * #,##0_ ;_ [$₹-4009]\ * \-#,##0_ ;_ [$₹-4009]\ * "-"??_ ;_ @_ </c:formatCode>
                <c:ptCount val="12"/>
                <c:pt idx="0">
                  <c:v>8624400</c:v>
                </c:pt>
                <c:pt idx="1">
                  <c:v>8050700</c:v>
                </c:pt>
                <c:pt idx="2">
                  <c:v>7586800</c:v>
                </c:pt>
                <c:pt idx="3">
                  <c:v>7517500</c:v>
                </c:pt>
                <c:pt idx="4">
                  <c:v>7258500</c:v>
                </c:pt>
                <c:pt idx="5">
                  <c:v>6868500</c:v>
                </c:pt>
                <c:pt idx="6">
                  <c:v>6846400</c:v>
                </c:pt>
                <c:pt idx="7">
                  <c:v>6801000</c:v>
                </c:pt>
                <c:pt idx="8">
                  <c:v>6418200</c:v>
                </c:pt>
                <c:pt idx="9">
                  <c:v>6231200</c:v>
                </c:pt>
                <c:pt idx="10">
                  <c:v>5930600</c:v>
                </c:pt>
                <c:pt idx="11">
                  <c:v>5454600</c:v>
                </c:pt>
              </c:numCache>
            </c:numRef>
          </c:val>
          <c:extLst>
            <c:ext xmlns:c16="http://schemas.microsoft.com/office/drawing/2014/chart" uri="{C3380CC4-5D6E-409C-BE32-E72D297353CC}">
              <c16:uniqueId val="{00000018-F9B4-EE43-B7C1-679A83A91234}"/>
            </c:ext>
          </c:extLst>
        </c:ser>
        <c:dLbls>
          <c:showLegendKey val="0"/>
          <c:showVal val="0"/>
          <c:showCatName val="0"/>
          <c:showSerName val="0"/>
          <c:showPercent val="0"/>
          <c:showBubbleSize val="0"/>
        </c:dLbls>
        <c:gapWidth val="182"/>
        <c:axId val="81461247"/>
        <c:axId val="435188415"/>
      </c:barChart>
      <c:catAx>
        <c:axId val="814612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5188415"/>
        <c:crosses val="autoZero"/>
        <c:auto val="1"/>
        <c:lblAlgn val="ctr"/>
        <c:lblOffset val="100"/>
        <c:noMultiLvlLbl val="0"/>
      </c:catAx>
      <c:valAx>
        <c:axId val="435188415"/>
        <c:scaling>
          <c:orientation val="minMax"/>
        </c:scaling>
        <c:delete val="0"/>
        <c:axPos val="b"/>
        <c:numFmt formatCode="0,,\ &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61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88900</xdr:colOff>
      <xdr:row>4</xdr:row>
      <xdr:rowOff>50801</xdr:rowOff>
    </xdr:from>
    <xdr:to>
      <xdr:col>1</xdr:col>
      <xdr:colOff>812800</xdr:colOff>
      <xdr:row>12</xdr:row>
      <xdr:rowOff>152400</xdr:rowOff>
    </xdr:to>
    <mc:AlternateContent xmlns:mc="http://schemas.openxmlformats.org/markup-compatibility/2006" xmlns:a14="http://schemas.microsoft.com/office/drawing/2010/main">
      <mc:Choice Requires="a14">
        <xdr:graphicFrame macro="">
          <xdr:nvGraphicFramePr>
            <xdr:cNvPr id="2" name="Region 1">
              <a:extLst>
                <a:ext uri="{FF2B5EF4-FFF2-40B4-BE49-F238E27FC236}">
                  <a16:creationId xmlns:a16="http://schemas.microsoft.com/office/drawing/2014/main" id="{296AA916-FB60-514C-9F6F-95EF5794FC8B}"/>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88900" y="812801"/>
              <a:ext cx="1549400" cy="16763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101600</xdr:colOff>
      <xdr:row>34</xdr:row>
      <xdr:rowOff>50800</xdr:rowOff>
    </xdr:from>
    <xdr:to>
      <xdr:col>1</xdr:col>
      <xdr:colOff>787400</xdr:colOff>
      <xdr:row>42</xdr:row>
      <xdr:rowOff>88900</xdr:rowOff>
    </xdr:to>
    <mc:AlternateContent xmlns:mc="http://schemas.openxmlformats.org/markup-compatibility/2006">
      <mc:Choice xmlns:a14="http://schemas.microsoft.com/office/drawing/2010/main" Requires="a14">
        <xdr:graphicFrame macro="">
          <xdr:nvGraphicFramePr>
            <xdr:cNvPr id="3" name="Sales_Rep 1">
              <a:extLst>
                <a:ext uri="{FF2B5EF4-FFF2-40B4-BE49-F238E27FC236}">
                  <a16:creationId xmlns:a16="http://schemas.microsoft.com/office/drawing/2014/main" id="{507F17BA-1768-1C4A-B3F7-E033BAF87B00}"/>
                </a:ext>
              </a:extLst>
            </xdr:cNvPr>
            <xdr:cNvGraphicFramePr/>
          </xdr:nvGraphicFramePr>
          <xdr:xfrm>
            <a:off x="0" y="0"/>
            <a:ext cx="0" cy="0"/>
          </xdr:xfrm>
          <a:graphic>
            <a:graphicData uri="http://schemas.microsoft.com/office/drawing/2010/slicer">
              <sle:slicer xmlns:sle="http://schemas.microsoft.com/office/drawing/2010/slicer" name="Sales_Rep 1"/>
            </a:graphicData>
          </a:graphic>
        </xdr:graphicFrame>
      </mc:Choice>
      <mc:Fallback>
        <xdr:sp macro="" textlink="">
          <xdr:nvSpPr>
            <xdr:cNvPr id="0" name=""/>
            <xdr:cNvSpPr>
              <a:spLocks noTextEdit="1"/>
            </xdr:cNvSpPr>
          </xdr:nvSpPr>
          <xdr:spPr>
            <a:xfrm>
              <a:off x="101600" y="6527800"/>
              <a:ext cx="1511300" cy="15621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88900</xdr:colOff>
      <xdr:row>13</xdr:row>
      <xdr:rowOff>63500</xdr:rowOff>
    </xdr:from>
    <xdr:to>
      <xdr:col>2</xdr:col>
      <xdr:colOff>0</xdr:colOff>
      <xdr:row>22</xdr:row>
      <xdr:rowOff>0</xdr:rowOff>
    </xdr:to>
    <mc:AlternateContent xmlns:mc="http://schemas.openxmlformats.org/markup-compatibility/2006" xmlns:a14="http://schemas.microsoft.com/office/drawing/2010/main">
      <mc:Choice Requires="a14">
        <xdr:graphicFrame macro="">
          <xdr:nvGraphicFramePr>
            <xdr:cNvPr id="4" name="Product 1">
              <a:extLst>
                <a:ext uri="{FF2B5EF4-FFF2-40B4-BE49-F238E27FC236}">
                  <a16:creationId xmlns:a16="http://schemas.microsoft.com/office/drawing/2014/main" id="{C2DB3483-D55A-654F-A16A-711FFCB22304}"/>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88900" y="2540000"/>
              <a:ext cx="1562100" cy="1651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88900</xdr:colOff>
      <xdr:row>22</xdr:row>
      <xdr:rowOff>88900</xdr:rowOff>
    </xdr:from>
    <xdr:to>
      <xdr:col>1</xdr:col>
      <xdr:colOff>800100</xdr:colOff>
      <xdr:row>33</xdr:row>
      <xdr:rowOff>139700</xdr:rowOff>
    </xdr:to>
    <mc:AlternateContent xmlns:mc="http://schemas.openxmlformats.org/markup-compatibility/2006" xmlns:a14="http://schemas.microsoft.com/office/drawing/2010/main">
      <mc:Choice Requires="a14">
        <xdr:graphicFrame macro="">
          <xdr:nvGraphicFramePr>
            <xdr:cNvPr id="5" name="Stage 1">
              <a:extLst>
                <a:ext uri="{FF2B5EF4-FFF2-40B4-BE49-F238E27FC236}">
                  <a16:creationId xmlns:a16="http://schemas.microsoft.com/office/drawing/2014/main" id="{192C9CD2-30B2-8F42-8DFD-374A8B20ADFE}"/>
                </a:ext>
              </a:extLst>
            </xdr:cNvPr>
            <xdr:cNvGraphicFramePr/>
          </xdr:nvGraphicFramePr>
          <xdr:xfrm>
            <a:off x="0" y="0"/>
            <a:ext cx="0" cy="0"/>
          </xdr:xfrm>
          <a:graphic>
            <a:graphicData uri="http://schemas.microsoft.com/office/drawing/2010/slicer">
              <sle:slicer xmlns:sle="http://schemas.microsoft.com/office/drawing/2010/slicer" name="Stage 1"/>
            </a:graphicData>
          </a:graphic>
        </xdr:graphicFrame>
      </mc:Choice>
      <mc:Fallback xmlns="">
        <xdr:sp macro="" textlink="">
          <xdr:nvSpPr>
            <xdr:cNvPr id="0" name=""/>
            <xdr:cNvSpPr>
              <a:spLocks noTextEdit="1"/>
            </xdr:cNvSpPr>
          </xdr:nvSpPr>
          <xdr:spPr>
            <a:xfrm>
              <a:off x="88900" y="4279900"/>
              <a:ext cx="1536700" cy="13081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63500</xdr:rowOff>
    </xdr:from>
    <xdr:to>
      <xdr:col>21</xdr:col>
      <xdr:colOff>787400</xdr:colOff>
      <xdr:row>4</xdr:row>
      <xdr:rowOff>25400</xdr:rowOff>
    </xdr:to>
    <xdr:sp macro="" textlink="">
      <xdr:nvSpPr>
        <xdr:cNvPr id="13" name="Rectangle 12">
          <a:extLst>
            <a:ext uri="{FF2B5EF4-FFF2-40B4-BE49-F238E27FC236}">
              <a16:creationId xmlns:a16="http://schemas.microsoft.com/office/drawing/2014/main" id="{9B4C32A4-EE3F-422A-BC8F-8B23255EAD18}"/>
            </a:ext>
          </a:extLst>
        </xdr:cNvPr>
        <xdr:cNvSpPr/>
      </xdr:nvSpPr>
      <xdr:spPr>
        <a:xfrm>
          <a:off x="0" y="63500"/>
          <a:ext cx="18122900" cy="723900"/>
        </a:xfrm>
        <a:prstGeom prst="rect">
          <a:avLst/>
        </a:prstGeom>
        <a:solidFill>
          <a:schemeClr val="accent4">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000" b="1">
              <a:solidFill>
                <a:schemeClr val="bg1"/>
              </a:solidFill>
            </a:rPr>
            <a:t>North Star Revenue Operations</a:t>
          </a:r>
          <a:r>
            <a:rPr lang="en-GB" sz="2000" b="1" baseline="0">
              <a:solidFill>
                <a:schemeClr val="bg1"/>
              </a:solidFill>
            </a:rPr>
            <a:t> Dashboard</a:t>
          </a:r>
          <a:br>
            <a:rPr lang="en-GB" sz="2000" b="1" baseline="0">
              <a:solidFill>
                <a:schemeClr val="bg1"/>
              </a:solidFill>
            </a:rPr>
          </a:br>
          <a:r>
            <a:rPr lang="en-GB" sz="2000" b="1" baseline="0">
              <a:solidFill>
                <a:schemeClr val="bg1"/>
              </a:solidFill>
            </a:rPr>
            <a:t>                                                                                                       </a:t>
          </a:r>
          <a:r>
            <a:rPr lang="en-GB" sz="1600" b="1" i="1" baseline="0">
              <a:solidFill>
                <a:schemeClr val="bg1"/>
              </a:solidFill>
            </a:rPr>
            <a:t>Executive View . Revenue . Pipeline . Rep Perfermence . Product.                                                                                   01 Oct 25 - 12 Sept 26</a:t>
          </a:r>
          <a:endParaRPr lang="en-GB" sz="1600" b="1" i="1">
            <a:solidFill>
              <a:schemeClr val="bg1"/>
            </a:solidFill>
          </a:endParaRPr>
        </a:p>
      </xdr:txBody>
    </xdr:sp>
    <xdr:clientData/>
  </xdr:twoCellAnchor>
  <xdr:twoCellAnchor>
    <xdr:from>
      <xdr:col>2</xdr:col>
      <xdr:colOff>127000</xdr:colOff>
      <xdr:row>4</xdr:row>
      <xdr:rowOff>114300</xdr:rowOff>
    </xdr:from>
    <xdr:to>
      <xdr:col>8</xdr:col>
      <xdr:colOff>177800</xdr:colOff>
      <xdr:row>25</xdr:row>
      <xdr:rowOff>25400</xdr:rowOff>
    </xdr:to>
    <xdr:graphicFrame macro="">
      <xdr:nvGraphicFramePr>
        <xdr:cNvPr id="14" name="Chart 13">
          <a:extLst>
            <a:ext uri="{FF2B5EF4-FFF2-40B4-BE49-F238E27FC236}">
              <a16:creationId xmlns:a16="http://schemas.microsoft.com/office/drawing/2014/main" id="{306B3B1D-4F3F-A94F-B678-A6D80F5159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139700</xdr:colOff>
      <xdr:row>26</xdr:row>
      <xdr:rowOff>0</xdr:rowOff>
    </xdr:from>
    <xdr:to>
      <xdr:col>8</xdr:col>
      <xdr:colOff>88900</xdr:colOff>
      <xdr:row>42</xdr:row>
      <xdr:rowOff>76200</xdr:rowOff>
    </xdr:to>
    <xdr:graphicFrame macro="">
      <xdr:nvGraphicFramePr>
        <xdr:cNvPr id="20" name="Chart 19">
          <a:extLst>
            <a:ext uri="{FF2B5EF4-FFF2-40B4-BE49-F238E27FC236}">
              <a16:creationId xmlns:a16="http://schemas.microsoft.com/office/drawing/2014/main" id="{944A63AF-F5D9-FA45-850B-14C95246A5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355600</xdr:colOff>
      <xdr:row>4</xdr:row>
      <xdr:rowOff>139700</xdr:rowOff>
    </xdr:from>
    <xdr:to>
      <xdr:col>14</xdr:col>
      <xdr:colOff>355600</xdr:colOff>
      <xdr:row>25</xdr:row>
      <xdr:rowOff>12700</xdr:rowOff>
    </xdr:to>
    <xdr:graphicFrame macro="">
      <xdr:nvGraphicFramePr>
        <xdr:cNvPr id="21" name="Chart 20">
          <a:extLst>
            <a:ext uri="{FF2B5EF4-FFF2-40B4-BE49-F238E27FC236}">
              <a16:creationId xmlns:a16="http://schemas.microsoft.com/office/drawing/2014/main" id="{5813A217-D6A3-8547-9047-B6456F63A1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355600</xdr:colOff>
      <xdr:row>25</xdr:row>
      <xdr:rowOff>177800</xdr:rowOff>
    </xdr:from>
    <xdr:to>
      <xdr:col>14</xdr:col>
      <xdr:colOff>431800</xdr:colOff>
      <xdr:row>42</xdr:row>
      <xdr:rowOff>76200</xdr:rowOff>
    </xdr:to>
    <xdr:graphicFrame macro="">
      <xdr:nvGraphicFramePr>
        <xdr:cNvPr id="22" name="Chart 21">
          <a:extLst>
            <a:ext uri="{FF2B5EF4-FFF2-40B4-BE49-F238E27FC236}">
              <a16:creationId xmlns:a16="http://schemas.microsoft.com/office/drawing/2014/main" id="{8347BF54-A125-1B45-9DE4-8FDE205E17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622300</xdr:colOff>
      <xdr:row>4</xdr:row>
      <xdr:rowOff>127000</xdr:rowOff>
    </xdr:from>
    <xdr:to>
      <xdr:col>21</xdr:col>
      <xdr:colOff>190500</xdr:colOff>
      <xdr:row>42</xdr:row>
      <xdr:rowOff>50800</xdr:rowOff>
    </xdr:to>
    <xdr:graphicFrame macro="">
      <xdr:nvGraphicFramePr>
        <xdr:cNvPr id="23" name="Chart 22">
          <a:extLst>
            <a:ext uri="{FF2B5EF4-FFF2-40B4-BE49-F238E27FC236}">
              <a16:creationId xmlns:a16="http://schemas.microsoft.com/office/drawing/2014/main" id="{FDEE03D0-580C-8045-B3FC-C65C6FC8B8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2</xdr:col>
      <xdr:colOff>114300</xdr:colOff>
      <xdr:row>29</xdr:row>
      <xdr:rowOff>177800</xdr:rowOff>
    </xdr:from>
    <xdr:ext cx="184731" cy="264431"/>
    <xdr:sp macro="" textlink="">
      <xdr:nvSpPr>
        <xdr:cNvPr id="25" name="TextBox 24">
          <a:extLst>
            <a:ext uri="{FF2B5EF4-FFF2-40B4-BE49-F238E27FC236}">
              <a16:creationId xmlns:a16="http://schemas.microsoft.com/office/drawing/2014/main" id="{100E0701-2332-4361-BD0C-BFECD202BA6C}"/>
            </a:ext>
          </a:extLst>
        </xdr:cNvPr>
        <xdr:cNvSpPr txBox="1"/>
      </xdr:nvSpPr>
      <xdr:spPr>
        <a:xfrm>
          <a:off x="1765300" y="5702300"/>
          <a:ext cx="184731" cy="264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nka Das" refreshedDate="46279.721688773148" createdVersion="8" refreshedVersion="8" minRefreshableVersion="3" recordCount="1200" xr:uid="{063CE631-AE94-8A44-8D27-D3BBF825C518}">
  <cacheSource type="worksheet">
    <worksheetSource name="Deals_"/>
  </cacheSource>
  <cacheFields count="21">
    <cacheField name="Opportunity_ID" numFmtId="0">
      <sharedItems/>
    </cacheField>
    <cacheField name="Created_Date" numFmtId="14">
      <sharedItems containsSemiMixedTypes="0" containsNonDate="0" containsDate="1" containsString="0" minDate="2025-10-01T00:00:00" maxDate="2026-09-13T00:00:00"/>
    </cacheField>
    <cacheField name="Close_Date" numFmtId="14">
      <sharedItems containsSemiMixedTypes="0" containsNonDate="0" containsDate="1" containsString="0" minDate="2025-11-06T00:00:00" maxDate="2026-11-12T00:00:00" count="343">
        <d v="2026-03-08T00:00:00"/>
        <d v="2026-03-06T00:00:00"/>
        <d v="2026-03-24T00:00:00"/>
        <d v="2026-05-19T00:00:00"/>
        <d v="2026-10-19T00:00:00"/>
        <d v="2026-07-18T00:00:00"/>
        <d v="2026-09-12T00:00:00"/>
        <d v="2026-01-30T00:00:00"/>
        <d v="2026-07-26T00:00:00"/>
        <d v="2026-10-15T00:00:00"/>
        <d v="2026-05-16T00:00:00"/>
        <d v="2026-08-07T00:00:00"/>
        <d v="2026-03-25T00:00:00"/>
        <d v="2026-06-16T00:00:00"/>
        <d v="2026-10-17T00:00:00"/>
        <d v="2026-10-12T00:00:00"/>
        <d v="2026-10-22T00:00:00"/>
        <d v="2025-12-07T00:00:00"/>
        <d v="2026-08-03T00:00:00"/>
        <d v="2026-01-11T00:00:00"/>
        <d v="2026-08-31T00:00:00"/>
        <d v="2026-10-18T00:00:00"/>
        <d v="2026-01-28T00:00:00"/>
        <d v="2026-05-23T00:00:00"/>
        <d v="2026-04-06T00:00:00"/>
        <d v="2026-04-25T00:00:00"/>
        <d v="2026-01-05T00:00:00"/>
        <d v="2026-07-17T00:00:00"/>
        <d v="2026-07-06T00:00:00"/>
        <d v="2026-08-06T00:00:00"/>
        <d v="2026-01-20T00:00:00"/>
        <d v="2026-07-29T00:00:00"/>
        <d v="2026-07-15T00:00:00"/>
        <d v="2026-08-12T00:00:00"/>
        <d v="2026-07-05T00:00:00"/>
        <d v="2026-09-08T00:00:00"/>
        <d v="2026-06-22T00:00:00"/>
        <d v="2026-08-09T00:00:00"/>
        <d v="2026-05-06T00:00:00"/>
        <d v="2026-11-02T00:00:00"/>
        <d v="2026-09-24T00:00:00"/>
        <d v="2026-05-22T00:00:00"/>
        <d v="2026-07-09T00:00:00"/>
        <d v="2026-09-30T00:00:00"/>
        <d v="2026-05-01T00:00:00"/>
        <d v="2026-02-26T00:00:00"/>
        <d v="2026-09-27T00:00:00"/>
        <d v="2026-07-22T00:00:00"/>
        <d v="2026-05-20T00:00:00"/>
        <d v="2026-07-10T00:00:00"/>
        <d v="2026-09-03T00:00:00"/>
        <d v="2026-08-29T00:00:00"/>
        <d v="2026-04-08T00:00:00"/>
        <d v="2026-09-02T00:00:00"/>
        <d v="2025-11-09T00:00:00"/>
        <d v="2026-04-19T00:00:00"/>
        <d v="2026-07-08T00:00:00"/>
        <d v="2026-04-21T00:00:00"/>
        <d v="2025-12-31T00:00:00"/>
        <d v="2026-03-10T00:00:00"/>
        <d v="2026-06-12T00:00:00"/>
        <d v="2026-06-08T00:00:00"/>
        <d v="2026-02-02T00:00:00"/>
        <d v="2026-02-20T00:00:00"/>
        <d v="2026-06-09T00:00:00"/>
        <d v="2026-02-24T00:00:00"/>
        <d v="2026-01-06T00:00:00"/>
        <d v="2026-05-24T00:00:00"/>
        <d v="2026-01-02T00:00:00"/>
        <d v="2026-06-18T00:00:00"/>
        <d v="2026-10-08T00:00:00"/>
        <d v="2026-01-26T00:00:00"/>
        <d v="2026-03-04T00:00:00"/>
        <d v="2026-10-02T00:00:00"/>
        <d v="2026-10-10T00:00:00"/>
        <d v="2026-08-25T00:00:00"/>
        <d v="2026-06-11T00:00:00"/>
        <d v="2026-04-14T00:00:00"/>
        <d v="2026-11-03T00:00:00"/>
        <d v="2026-01-12T00:00:00"/>
        <d v="2025-11-18T00:00:00"/>
        <d v="2026-10-11T00:00:00"/>
        <d v="2026-11-04T00:00:00"/>
        <d v="2026-11-10T00:00:00"/>
        <d v="2026-03-11T00:00:00"/>
        <d v="2026-08-17T00:00:00"/>
        <d v="2026-07-11T00:00:00"/>
        <d v="2026-06-04T00:00:00"/>
        <d v="2026-02-07T00:00:00"/>
        <d v="2026-11-08T00:00:00"/>
        <d v="2026-10-31T00:00:00"/>
        <d v="2026-07-27T00:00:00"/>
        <d v="2025-12-11T00:00:00"/>
        <d v="2026-08-05T00:00:00"/>
        <d v="2026-02-27T00:00:00"/>
        <d v="2026-03-19T00:00:00"/>
        <d v="2026-10-23T00:00:00"/>
        <d v="2026-01-29T00:00:00"/>
        <d v="2026-06-27T00:00:00"/>
        <d v="2026-07-23T00:00:00"/>
        <d v="2026-04-07T00:00:00"/>
        <d v="2026-05-10T00:00:00"/>
        <d v="2025-11-24T00:00:00"/>
        <d v="2026-07-28T00:00:00"/>
        <d v="2026-09-04T00:00:00"/>
        <d v="2026-09-22T00:00:00"/>
        <d v="2026-07-02T00:00:00"/>
        <d v="2026-11-09T00:00:00"/>
        <d v="2026-08-01T00:00:00"/>
        <d v="2026-09-16T00:00:00"/>
        <d v="2026-03-02T00:00:00"/>
        <d v="2026-08-10T00:00:00"/>
        <d v="2026-03-27T00:00:00"/>
        <d v="2026-11-05T00:00:00"/>
        <d v="2026-08-21T00:00:00"/>
        <d v="2026-09-05T00:00:00"/>
        <d v="2026-01-16T00:00:00"/>
        <d v="2026-07-30T00:00:00"/>
        <d v="2026-05-13T00:00:00"/>
        <d v="2026-09-06T00:00:00"/>
        <d v="2026-05-05T00:00:00"/>
        <d v="2026-01-07T00:00:00"/>
        <d v="2026-02-12T00:00:00"/>
        <d v="2026-03-13T00:00:00"/>
        <d v="2026-03-05T00:00:00"/>
        <d v="2026-08-16T00:00:00"/>
        <d v="2026-08-24T00:00:00"/>
        <d v="2026-10-06T00:00:00"/>
        <d v="2026-02-18T00:00:00"/>
        <d v="2026-04-22T00:00:00"/>
        <d v="2026-05-31T00:00:00"/>
        <d v="2026-04-16T00:00:00"/>
        <d v="2025-12-20T00:00:00"/>
        <d v="2026-05-29T00:00:00"/>
        <d v="2026-02-14T00:00:00"/>
        <d v="2026-10-24T00:00:00"/>
        <d v="2026-01-04T00:00:00"/>
        <d v="2026-03-21T00:00:00"/>
        <d v="2026-01-19T00:00:00"/>
        <d v="2026-06-14T00:00:00"/>
        <d v="2026-05-28T00:00:00"/>
        <d v="2026-09-01T00:00:00"/>
        <d v="2026-02-13T00:00:00"/>
        <d v="2026-03-29T00:00:00"/>
        <d v="2025-12-23T00:00:00"/>
        <d v="2026-04-03T00:00:00"/>
        <d v="2026-02-11T00:00:00"/>
        <d v="2026-01-25T00:00:00"/>
        <d v="2026-01-17T00:00:00"/>
        <d v="2026-05-07T00:00:00"/>
        <d v="2025-12-27T00:00:00"/>
        <d v="2026-06-02T00:00:00"/>
        <d v="2026-04-12T00:00:00"/>
        <d v="2025-11-21T00:00:00"/>
        <d v="2026-03-28T00:00:00"/>
        <d v="2026-09-21T00:00:00"/>
        <d v="2026-10-03T00:00:00"/>
        <d v="2026-08-30T00:00:00"/>
        <d v="2026-02-04T00:00:00"/>
        <d v="2026-09-09T00:00:00"/>
        <d v="2026-04-27T00:00:00"/>
        <d v="2025-11-30T00:00:00"/>
        <d v="2025-12-22T00:00:00"/>
        <d v="2026-04-09T00:00:00"/>
        <d v="2026-03-30T00:00:00"/>
        <d v="2026-02-01T00:00:00"/>
        <d v="2026-03-20T00:00:00"/>
        <d v="2026-04-01T00:00:00"/>
        <d v="2026-05-04T00:00:00"/>
        <d v="2026-10-05T00:00:00"/>
        <d v="2026-04-04T00:00:00"/>
        <d v="2026-04-11T00:00:00"/>
        <d v="2026-08-23T00:00:00"/>
        <d v="2025-11-11T00:00:00"/>
        <d v="2026-03-18T00:00:00"/>
        <d v="2026-07-12T00:00:00"/>
        <d v="2025-12-17T00:00:00"/>
        <d v="2026-05-15T00:00:00"/>
        <d v="2026-04-20T00:00:00"/>
        <d v="2026-09-19T00:00:00"/>
        <d v="2026-03-31T00:00:00"/>
        <d v="2026-01-15T00:00:00"/>
        <d v="2026-08-04T00:00:00"/>
        <d v="2026-08-13T00:00:00"/>
        <d v="2026-08-14T00:00:00"/>
        <d v="2026-10-20T00:00:00"/>
        <d v="2026-04-15T00:00:00"/>
        <d v="2026-10-25T00:00:00"/>
        <d v="2026-08-18T00:00:00"/>
        <d v="2026-03-03T00:00:00"/>
        <d v="2026-07-04T00:00:00"/>
        <d v="2026-04-26T00:00:00"/>
        <d v="2025-11-08T00:00:00"/>
        <d v="2025-12-14T00:00:00"/>
        <d v="2026-04-23T00:00:00"/>
        <d v="2026-09-25T00:00:00"/>
        <d v="2026-06-05T00:00:00"/>
        <d v="2026-08-26T00:00:00"/>
        <d v="2026-04-05T00:00:00"/>
        <d v="2026-06-21T00:00:00"/>
        <d v="2026-01-23T00:00:00"/>
        <d v="2026-08-08T00:00:00"/>
        <d v="2026-09-14T00:00:00"/>
        <d v="2026-10-29T00:00:00"/>
        <d v="2026-04-29T00:00:00"/>
        <d v="2026-05-21T00:00:00"/>
        <d v="2026-03-07T00:00:00"/>
        <d v="2026-05-27T00:00:00"/>
        <d v="2026-08-20T00:00:00"/>
        <d v="2026-06-07T00:00:00"/>
        <d v="2026-02-21T00:00:00"/>
        <d v="2026-03-23T00:00:00"/>
        <d v="2026-03-22T00:00:00"/>
        <d v="2026-02-10T00:00:00"/>
        <d v="2026-02-08T00:00:00"/>
        <d v="2026-07-16T00:00:00"/>
        <d v="2026-01-03T00:00:00"/>
        <d v="2025-11-13T00:00:00"/>
        <d v="2025-12-24T00:00:00"/>
        <d v="2025-12-30T00:00:00"/>
        <d v="2026-03-09T00:00:00"/>
        <d v="2025-12-10T00:00:00"/>
        <d v="2026-01-22T00:00:00"/>
        <d v="2025-11-16T00:00:00"/>
        <d v="2026-06-03T00:00:00"/>
        <d v="2026-05-03T00:00:00"/>
        <d v="2026-06-20T00:00:00"/>
        <d v="2026-04-18T00:00:00"/>
        <d v="2025-12-21T00:00:00"/>
        <d v="2026-02-25T00:00:00"/>
        <d v="2026-01-08T00:00:00"/>
        <d v="2026-02-15T00:00:00"/>
        <d v="2026-07-31T00:00:00"/>
        <d v="2026-03-12T00:00:00"/>
        <d v="2026-10-21T00:00:00"/>
        <d v="2026-07-25T00:00:00"/>
        <d v="2026-05-14T00:00:00"/>
        <d v="2026-04-02T00:00:00"/>
        <d v="2026-05-18T00:00:00"/>
        <d v="2026-08-19T00:00:00"/>
        <d v="2026-09-18T00:00:00"/>
        <d v="2026-03-16T00:00:00"/>
        <d v="2026-07-21T00:00:00"/>
        <d v="2026-06-25T00:00:00"/>
        <d v="2026-02-09T00:00:00"/>
        <d v="2026-01-27T00:00:00"/>
        <d v="2026-08-22T00:00:00"/>
        <d v="2026-02-03T00:00:00"/>
        <d v="2026-05-25T00:00:00"/>
        <d v="2026-06-30T00:00:00"/>
        <d v="2026-09-13T00:00:00"/>
        <d v="2025-12-02T00:00:00"/>
        <d v="2026-11-01T00:00:00"/>
        <d v="2026-10-16T00:00:00"/>
        <d v="2026-02-28T00:00:00"/>
        <d v="2026-06-17T00:00:00"/>
        <d v="2026-05-08T00:00:00"/>
        <d v="2026-08-28T00:00:00"/>
        <d v="2026-10-14T00:00:00"/>
        <d v="2026-11-11T00:00:00"/>
        <d v="2026-10-28T00:00:00"/>
        <d v="2025-12-08T00:00:00"/>
        <d v="2026-01-10T00:00:00"/>
        <d v="2026-08-02T00:00:00"/>
        <d v="2026-04-30T00:00:00"/>
        <d v="2026-04-24T00:00:00"/>
        <d v="2026-07-14T00:00:00"/>
        <d v="2026-06-23T00:00:00"/>
        <d v="2026-03-01T00:00:00"/>
        <d v="2026-06-24T00:00:00"/>
        <d v="2026-10-26T00:00:00"/>
        <d v="2026-03-14T00:00:00"/>
        <d v="2026-01-31T00:00:00"/>
        <d v="2026-09-28T00:00:00"/>
        <d v="2026-08-27T00:00:00"/>
        <d v="2026-03-26T00:00:00"/>
        <d v="2026-06-29T00:00:00"/>
        <d v="2026-02-17T00:00:00"/>
        <d v="2026-06-19T00:00:00"/>
        <d v="2025-12-16T00:00:00"/>
        <d v="2026-10-13T00:00:00"/>
        <d v="2025-12-04T00:00:00"/>
        <d v="2026-10-30T00:00:00"/>
        <d v="2026-05-11T00:00:00"/>
        <d v="2026-04-13T00:00:00"/>
        <d v="2026-10-09T00:00:00"/>
        <d v="2025-12-28T00:00:00"/>
        <d v="2026-08-11T00:00:00"/>
        <d v="2026-10-04T00:00:00"/>
        <d v="2026-05-09T00:00:00"/>
        <d v="2026-09-29T00:00:00"/>
        <d v="2026-01-21T00:00:00"/>
        <d v="2026-06-26T00:00:00"/>
        <d v="2026-07-24T00:00:00"/>
        <d v="2026-05-26T00:00:00"/>
        <d v="2026-03-17T00:00:00"/>
        <d v="2026-08-15T00:00:00"/>
        <d v="2026-06-13T00:00:00"/>
        <d v="2026-05-12T00:00:00"/>
        <d v="2026-10-07T00:00:00"/>
        <d v="2025-12-09T00:00:00"/>
        <d v="2026-09-11T00:00:00"/>
        <d v="2025-12-06T00:00:00"/>
        <d v="2026-09-26T00:00:00"/>
        <d v="2026-07-07T00:00:00"/>
        <d v="2025-12-25T00:00:00"/>
        <d v="2026-10-01T00:00:00"/>
        <d v="2026-02-16T00:00:00"/>
        <d v="2026-09-20T00:00:00"/>
        <d v="2026-05-30T00:00:00"/>
        <d v="2026-04-17T00:00:00"/>
        <d v="2025-11-10T00:00:00"/>
        <d v="2025-12-29T00:00:00"/>
        <d v="2026-02-19T00:00:00"/>
        <d v="2026-01-18T00:00:00"/>
        <d v="2026-06-28T00:00:00"/>
        <d v="2026-05-02T00:00:00"/>
        <d v="2026-02-23T00:00:00"/>
        <d v="2026-06-01T00:00:00"/>
        <d v="2026-04-28T00:00:00"/>
        <d v="2026-11-07T00:00:00"/>
        <d v="2026-10-27T00:00:00"/>
        <d v="2026-09-15T00:00:00"/>
        <d v="2026-09-17T00:00:00"/>
        <d v="2026-07-13T00:00:00"/>
        <d v="2026-03-15T00:00:00"/>
        <d v="2026-07-03T00:00:00"/>
        <d v="2026-09-07T00:00:00"/>
        <d v="2025-12-15T00:00:00"/>
        <d v="2026-05-17T00:00:00"/>
        <d v="2025-11-20T00:00:00"/>
        <d v="2026-01-24T00:00:00"/>
        <d v="2026-09-23T00:00:00"/>
        <d v="2026-01-09T00:00:00"/>
        <d v="2025-11-06T00:00:00"/>
        <d v="2026-11-06T00:00:00"/>
        <d v="2025-11-29T00:00:00"/>
        <d v="2026-06-10T00:00:00"/>
        <d v="2026-02-22T00:00:00"/>
        <d v="2025-11-25T00:00:00"/>
        <d v="2025-12-03T00:00:00"/>
        <d v="2026-07-19T00:00:00"/>
        <d v="2026-09-10T00:00:00"/>
      </sharedItems>
      <fieldGroup par="20"/>
    </cacheField>
    <cacheField name="Account" numFmtId="0">
      <sharedItems/>
    </cacheField>
    <cacheField name="Industry" numFmtId="0">
      <sharedItems/>
    </cacheField>
    <cacheField name="Segment" numFmtId="0">
      <sharedItems/>
    </cacheField>
    <cacheField name="Region" numFmtId="0">
      <sharedItems count="5">
        <s v="EMEA"/>
        <s v="North America"/>
        <s v="APAC"/>
        <s v="India"/>
        <s v="LATAM"/>
      </sharedItems>
    </cacheField>
    <cacheField name="Sales_Rep" numFmtId="0">
      <sharedItems count="12">
        <s v="Vikram Singh"/>
        <s v="Ananya Rao"/>
        <s v="Sara Khan"/>
        <s v="Neel Kapoor"/>
        <s v="Arjun Malhotra"/>
        <s v="Meera Iyer"/>
        <s v="Tara Bose"/>
        <s v="Ishita Menon"/>
        <s v="Diya Nair"/>
        <s v="Aarav Shah"/>
        <s v="Rohan Gupta"/>
        <s v="Kabir Mehta"/>
      </sharedItems>
    </cacheField>
    <cacheField name="Lead_Source" numFmtId="0">
      <sharedItems/>
    </cacheField>
    <cacheField name="Product" numFmtId="0">
      <sharedItems count="5">
        <s v="Security Add-on"/>
        <s v="Automation Suite"/>
        <s v="Enterprise Cloud"/>
        <s v="Core Platform"/>
        <s v="Analytics Pro"/>
      </sharedItems>
    </cacheField>
    <cacheField name="Stage" numFmtId="0">
      <sharedItems count="7">
        <s v="Closed Lost"/>
        <s v="Prospecting"/>
        <s v="Closed Won"/>
        <s v="Negotiation"/>
        <s v="Proposal"/>
        <s v="Demo"/>
        <s v="Qualification"/>
      </sharedItems>
    </cacheField>
    <cacheField name="Opportunity_Type" numFmtId="0">
      <sharedItems/>
    </cacheField>
    <cacheField name="Amount" numFmtId="0">
      <sharedItems containsSemiMixedTypes="0" containsString="0" containsNumber="1" containsInteger="1" minValue="6000" maxValue="349100"/>
    </cacheField>
    <cacheField name="Discount_Pct" numFmtId="0">
      <sharedItems containsSemiMixedTypes="0" containsString="0" containsNumber="1" minValue="0" maxValue="0.31"/>
    </cacheField>
    <cacheField name="Probability_Pct" numFmtId="0">
      <sharedItems containsSemiMixedTypes="0" containsString="0" containsNumber="1" minValue="0" maxValue="1"/>
    </cacheField>
    <cacheField name="Forecast_Category" numFmtId="0">
      <sharedItems/>
    </cacheField>
    <cacheField name="Lost_Reason" numFmtId="0">
      <sharedItems containsBlank="1"/>
    </cacheField>
    <cacheField name="Sales_Cycle_Days" numFmtId="0">
      <sharedItems containsSemiMixedTypes="0" containsString="0" containsNumber="1" containsInteger="1" minValue="1" maxValue="194"/>
    </cacheField>
    <cacheField name="MRR" numFmtId="0">
      <sharedItems containsSemiMixedTypes="0" containsString="0" containsNumber="1" minValue="401.19" maxValue="28347.87"/>
    </cacheField>
    <cacheField name="Weighted Amount" numFmtId="0">
      <sharedItems containsSemiMixedTypes="0" containsString="0" containsNumber="1" minValue="0" maxValue="324520"/>
    </cacheField>
    <cacheField name="Months (Close_Date)" numFmtId="0" databaseField="0">
      <fieldGroup base="2">
        <rangePr groupBy="months" startDate="2025-11-06T00:00:00" endDate="2026-11-12T00:00:00"/>
        <groupItems count="14">
          <s v="&lt;06/11/25"/>
          <s v="Jan"/>
          <s v="Feb"/>
          <s v="Mar"/>
          <s v="Apr"/>
          <s v="May"/>
          <s v="Jun"/>
          <s v="Jul"/>
          <s v="Aug"/>
          <s v="Sep"/>
          <s v="Oct"/>
          <s v="Nov"/>
          <s v="Dec"/>
          <s v="&gt;12/11/26"/>
        </groupItems>
      </fieldGroup>
    </cacheField>
  </cacheFields>
  <extLst>
    <ext xmlns:x14="http://schemas.microsoft.com/office/spreadsheetml/2009/9/main" uri="{725AE2AE-9491-48be-B2B4-4EB974FC3084}">
      <x14:pivotCacheDefinition pivotCacheId="4580893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OPP-00001"/>
    <d v="2025-11-18T00:00:00"/>
    <x v="0"/>
    <s v="Account 0341"/>
    <s v="SaaS"/>
    <s v="Mid-Market"/>
    <x v="0"/>
    <x v="0"/>
    <s v="Outbound"/>
    <x v="0"/>
    <x v="0"/>
    <s v="Renewal"/>
    <n v="83900"/>
    <n v="0.11899999999999999"/>
    <n v="0.05"/>
    <s v="Closed"/>
    <s v="Poor Fit"/>
    <n v="110"/>
    <n v="6161.61"/>
    <n v="4195"/>
  </r>
  <r>
    <s v="OPP-00002"/>
    <d v="2025-12-08T00:00:00"/>
    <x v="1"/>
    <s v="Account 0941"/>
    <s v="Manufacturing"/>
    <s v="Mid-Market"/>
    <x v="1"/>
    <x v="0"/>
    <s v="Inbound"/>
    <x v="1"/>
    <x v="1"/>
    <s v="Renewal"/>
    <n v="37300"/>
    <n v="0.27200000000000002"/>
    <n v="0.1"/>
    <s v="Pipeline"/>
    <m/>
    <n v="88"/>
    <n v="2261.71"/>
    <n v="3730"/>
  </r>
  <r>
    <s v="OPP-00003"/>
    <d v="2025-11-12T00:00:00"/>
    <x v="2"/>
    <s v="Account 0544"/>
    <s v="SaaS"/>
    <s v="Mid-Market"/>
    <x v="0"/>
    <x v="1"/>
    <s v="Referral"/>
    <x v="2"/>
    <x v="0"/>
    <s v="Expansion"/>
    <n v="52900"/>
    <n v="0.13500000000000001"/>
    <n v="0"/>
    <s v="Closed"/>
    <s v="No Decision"/>
    <n v="132"/>
    <n v="3811.21"/>
    <n v="0"/>
  </r>
  <r>
    <s v="OPP-00004"/>
    <d v="2026-03-19T00:00:00"/>
    <x v="3"/>
    <s v="Account 0896"/>
    <s v="SaaS"/>
    <s v="SMB"/>
    <x v="1"/>
    <x v="2"/>
    <s v="Outbound"/>
    <x v="1"/>
    <x v="2"/>
    <s v="New Business"/>
    <n v="29100"/>
    <n v="0.17399999999999999"/>
    <n v="1"/>
    <s v="Closed"/>
    <m/>
    <n v="61"/>
    <n v="2003.02"/>
    <n v="29100"/>
  </r>
  <r>
    <s v="OPP-00005"/>
    <d v="2026-08-29T00:00:00"/>
    <x v="4"/>
    <s v="Account 0307"/>
    <s v="IT Services"/>
    <s v="Mid-Market"/>
    <x v="2"/>
    <x v="3"/>
    <s v="Referral"/>
    <x v="3"/>
    <x v="3"/>
    <s v="Expansion"/>
    <n v="51300"/>
    <n v="0.159"/>
    <n v="0.75"/>
    <s v="Commit"/>
    <m/>
    <n v="51"/>
    <n v="3595.05"/>
    <n v="38475"/>
  </r>
  <r>
    <s v="OPP-00006"/>
    <d v="2026-02-08T00:00:00"/>
    <x v="5"/>
    <s v="Account 0574"/>
    <s v="Healthcare"/>
    <s v="Mid-Market"/>
    <x v="3"/>
    <x v="4"/>
    <s v="Product-Led"/>
    <x v="0"/>
    <x v="2"/>
    <s v="New Business"/>
    <n v="64500"/>
    <n v="9.1999999999999998E-2"/>
    <n v="1"/>
    <s v="Closed"/>
    <m/>
    <n v="160"/>
    <n v="4882.8999999999996"/>
    <n v="64500"/>
  </r>
  <r>
    <s v="OPP-00007"/>
    <d v="2026-04-29T00:00:00"/>
    <x v="6"/>
    <s v="Account 0773"/>
    <s v="EdTech"/>
    <s v="SMB"/>
    <x v="3"/>
    <x v="5"/>
    <s v="Referral"/>
    <x v="2"/>
    <x v="2"/>
    <s v="Expansion"/>
    <n v="19600"/>
    <n v="2.5000000000000001E-2"/>
    <n v="1"/>
    <s v="Closed"/>
    <m/>
    <n v="136"/>
    <n v="1593.29"/>
    <n v="19600"/>
  </r>
  <r>
    <s v="OPP-00008"/>
    <d v="2025-12-01T00:00:00"/>
    <x v="7"/>
    <s v="Account 0277"/>
    <s v="SaaS"/>
    <s v="Mid-Market"/>
    <x v="3"/>
    <x v="3"/>
    <s v="Outbound"/>
    <x v="0"/>
    <x v="1"/>
    <s v="New Business"/>
    <n v="76300"/>
    <n v="6.0999999999999999E-2"/>
    <n v="0.1"/>
    <s v="Pipeline"/>
    <m/>
    <n v="60"/>
    <n v="5968.73"/>
    <n v="7630"/>
  </r>
  <r>
    <s v="OPP-00009"/>
    <d v="2026-06-25T00:00:00"/>
    <x v="8"/>
    <s v="Account 0806"/>
    <s v="Manufacturing"/>
    <s v="Enterprise"/>
    <x v="2"/>
    <x v="3"/>
    <s v="Inbound"/>
    <x v="0"/>
    <x v="1"/>
    <s v="New Business"/>
    <n v="129600"/>
    <n v="6.0000000000000001E-3"/>
    <n v="0.15"/>
    <s v="Pipeline"/>
    <m/>
    <n v="31"/>
    <n v="10731.2"/>
    <n v="19440"/>
  </r>
  <r>
    <s v="OPP-00010"/>
    <d v="2026-05-19T00:00:00"/>
    <x v="9"/>
    <s v="Account 0566"/>
    <s v="Manufacturing"/>
    <s v="Mid-Market"/>
    <x v="3"/>
    <x v="6"/>
    <s v="Outbound"/>
    <x v="0"/>
    <x v="4"/>
    <s v="Renewal"/>
    <n v="47000"/>
    <n v="9.9000000000000005E-2"/>
    <n v="0.55000000000000004"/>
    <s v="Best Case"/>
    <m/>
    <n v="149"/>
    <n v="3528.37"/>
    <n v="25850.000000000004"/>
  </r>
  <r>
    <s v="OPP-00011"/>
    <d v="2026-01-16T00:00:00"/>
    <x v="10"/>
    <s v="Account 0467"/>
    <s v="Logistics"/>
    <s v="SMB"/>
    <x v="1"/>
    <x v="7"/>
    <s v="Partner"/>
    <x v="4"/>
    <x v="1"/>
    <s v="New Business"/>
    <n v="17700"/>
    <n v="0.20100000000000001"/>
    <n v="0.05"/>
    <s v="Pipeline"/>
    <m/>
    <n v="120"/>
    <n v="1177.94"/>
    <n v="885"/>
  </r>
  <r>
    <s v="OPP-00012"/>
    <d v="2026-03-17T00:00:00"/>
    <x v="11"/>
    <s v="Account 0752"/>
    <s v="SaaS"/>
    <s v="SMB"/>
    <x v="2"/>
    <x v="6"/>
    <s v="Inbound"/>
    <x v="1"/>
    <x v="5"/>
    <s v="Expansion"/>
    <n v="21200"/>
    <n v="0.23300000000000001"/>
    <n v="0.35"/>
    <s v="Pipeline"/>
    <m/>
    <n v="143"/>
    <n v="1354.54"/>
    <n v="7419.9999999999991"/>
  </r>
  <r>
    <s v="OPP-00013"/>
    <d v="2025-12-11T00:00:00"/>
    <x v="12"/>
    <s v="Account 0026"/>
    <s v="E-commerce"/>
    <s v="SMB"/>
    <x v="4"/>
    <x v="2"/>
    <s v="Outbound"/>
    <x v="1"/>
    <x v="4"/>
    <s v="Renewal"/>
    <n v="29300"/>
    <n v="0.06"/>
    <n v="0.55000000000000004"/>
    <s v="Best Case"/>
    <m/>
    <n v="104"/>
    <n v="2295.34"/>
    <n v="16115.000000000002"/>
  </r>
  <r>
    <s v="OPP-00014"/>
    <d v="2026-01-27T00:00:00"/>
    <x v="13"/>
    <s v="Account 0377"/>
    <s v="SaaS"/>
    <s v="SMB"/>
    <x v="2"/>
    <x v="8"/>
    <s v="Product-Led"/>
    <x v="2"/>
    <x v="5"/>
    <s v="Renewal"/>
    <n v="23700"/>
    <n v="6.2E-2"/>
    <n v="0.4"/>
    <s v="Pipeline"/>
    <m/>
    <n v="140"/>
    <n v="1853.44"/>
    <n v="9480"/>
  </r>
  <r>
    <s v="OPP-00015"/>
    <d v="2026-05-09T00:00:00"/>
    <x v="14"/>
    <s v="Account 0679"/>
    <s v="Logistics"/>
    <s v="SMB"/>
    <x v="2"/>
    <x v="9"/>
    <s v="Webinar"/>
    <x v="1"/>
    <x v="3"/>
    <s v="Expansion"/>
    <n v="18200"/>
    <n v="3.1E-2"/>
    <n v="0.75"/>
    <s v="Commit"/>
    <m/>
    <n v="161"/>
    <n v="1470.06"/>
    <n v="13650"/>
  </r>
  <r>
    <s v="OPP-00016"/>
    <d v="2026-05-17T00:00:00"/>
    <x v="15"/>
    <s v="Account 0943"/>
    <s v="Healthcare"/>
    <s v="SMB"/>
    <x v="1"/>
    <x v="9"/>
    <s v="Partner"/>
    <x v="4"/>
    <x v="1"/>
    <s v="New Business"/>
    <n v="29000"/>
    <n v="7.9000000000000001E-2"/>
    <n v="0.15"/>
    <s v="Pipeline"/>
    <m/>
    <n v="148"/>
    <n v="2226.38"/>
    <n v="4350"/>
  </r>
  <r>
    <s v="OPP-00017"/>
    <d v="2026-05-22T00:00:00"/>
    <x v="16"/>
    <s v="Account 0299"/>
    <s v="Manufacturing"/>
    <s v="SMB"/>
    <x v="2"/>
    <x v="7"/>
    <s v="Webinar"/>
    <x v="2"/>
    <x v="4"/>
    <s v="Expansion"/>
    <n v="13000"/>
    <n v="0.104"/>
    <n v="0.6"/>
    <s v="Best Case"/>
    <m/>
    <n v="153"/>
    <n v="970.63"/>
    <n v="7800"/>
  </r>
  <r>
    <s v="OPP-00018"/>
    <d v="2025-10-18T00:00:00"/>
    <x v="17"/>
    <s v="Account 0502"/>
    <s v="EdTech"/>
    <s v="Mid-Market"/>
    <x v="1"/>
    <x v="5"/>
    <s v="Inbound"/>
    <x v="4"/>
    <x v="6"/>
    <s v="Expansion"/>
    <n v="60000"/>
    <n v="0.247"/>
    <n v="0.2"/>
    <s v="Pipeline"/>
    <m/>
    <n v="50"/>
    <n v="3766.95"/>
    <n v="12000"/>
  </r>
  <r>
    <s v="OPP-00019"/>
    <d v="2026-03-06T00:00:00"/>
    <x v="18"/>
    <s v="Account 0410"/>
    <s v="Healthcare"/>
    <s v="Enterprise"/>
    <x v="0"/>
    <x v="1"/>
    <s v="Inbound"/>
    <x v="2"/>
    <x v="2"/>
    <s v="New Business"/>
    <n v="270200"/>
    <n v="0.24199999999999999"/>
    <n v="1"/>
    <s v="Closed"/>
    <m/>
    <n v="150"/>
    <n v="17074.919999999998"/>
    <n v="270200"/>
  </r>
  <r>
    <s v="OPP-00020"/>
    <d v="2025-11-22T00:00:00"/>
    <x v="19"/>
    <s v="Account 0121"/>
    <s v="FinTech"/>
    <s v="SMB"/>
    <x v="4"/>
    <x v="1"/>
    <s v="Product-Led"/>
    <x v="1"/>
    <x v="3"/>
    <s v="Renewal"/>
    <n v="12200"/>
    <n v="0"/>
    <n v="0.8"/>
    <s v="Commit"/>
    <m/>
    <n v="50"/>
    <n v="1016.67"/>
    <n v="9760"/>
  </r>
  <r>
    <s v="OPP-00021"/>
    <d v="2026-06-10T00:00:00"/>
    <x v="20"/>
    <s v="Account 0450"/>
    <s v="Healthcare"/>
    <s v="Mid-Market"/>
    <x v="2"/>
    <x v="3"/>
    <s v="Inbound"/>
    <x v="0"/>
    <x v="5"/>
    <s v="Expansion"/>
    <n v="29200"/>
    <n v="6.6000000000000003E-2"/>
    <n v="0.35"/>
    <s v="Pipeline"/>
    <m/>
    <n v="82"/>
    <n v="2273.5300000000002"/>
    <n v="10220"/>
  </r>
  <r>
    <s v="OPP-00022"/>
    <d v="2026-09-11T00:00:00"/>
    <x v="21"/>
    <s v="Account 0713"/>
    <s v="E-commerce"/>
    <s v="SMB"/>
    <x v="3"/>
    <x v="5"/>
    <s v="Referral"/>
    <x v="3"/>
    <x v="4"/>
    <s v="Expansion"/>
    <n v="17000"/>
    <n v="0.17399999999999999"/>
    <n v="0.6"/>
    <s v="Best Case"/>
    <m/>
    <n v="37"/>
    <n v="1169.71"/>
    <n v="10200"/>
  </r>
  <r>
    <s v="OPP-00023"/>
    <d v="2025-12-03T00:00:00"/>
    <x v="22"/>
    <s v="Account 0771"/>
    <s v="IT Services"/>
    <s v="SMB"/>
    <x v="0"/>
    <x v="0"/>
    <s v="Referral"/>
    <x v="3"/>
    <x v="3"/>
    <s v="Renewal"/>
    <n v="19700"/>
    <n v="0.191"/>
    <n v="0.75"/>
    <s v="Commit"/>
    <m/>
    <n v="56"/>
    <n v="1328.36"/>
    <n v="14775"/>
  </r>
  <r>
    <s v="OPP-00024"/>
    <d v="2026-04-25T00:00:00"/>
    <x v="23"/>
    <s v="Account 0143"/>
    <s v="EdTech"/>
    <s v="SMB"/>
    <x v="3"/>
    <x v="10"/>
    <s v="Inbound"/>
    <x v="1"/>
    <x v="2"/>
    <s v="New Business"/>
    <n v="6100"/>
    <n v="0.109"/>
    <n v="1"/>
    <s v="Closed"/>
    <m/>
    <n v="28"/>
    <n v="452.79"/>
    <n v="6100"/>
  </r>
  <r>
    <s v="OPP-00025"/>
    <d v="2026-01-09T00:00:00"/>
    <x v="24"/>
    <s v="Account 0437"/>
    <s v="Logistics"/>
    <s v="SMB"/>
    <x v="3"/>
    <x v="5"/>
    <s v="Outbound"/>
    <x v="2"/>
    <x v="2"/>
    <s v="Renewal"/>
    <n v="27900"/>
    <n v="6.0000000000000001E-3"/>
    <n v="1"/>
    <s v="Closed"/>
    <m/>
    <n v="87"/>
    <n v="2310.19"/>
    <n v="27900"/>
  </r>
  <r>
    <s v="OPP-00026"/>
    <d v="2026-03-18T00:00:00"/>
    <x v="25"/>
    <s v="Account 0026"/>
    <s v="Healthcare"/>
    <s v="Mid-Market"/>
    <x v="1"/>
    <x v="7"/>
    <s v="Product-Led"/>
    <x v="0"/>
    <x v="6"/>
    <s v="Expansion"/>
    <n v="35200"/>
    <n v="0.21199999999999999"/>
    <n v="0.2"/>
    <s v="Pipeline"/>
    <m/>
    <n v="38"/>
    <n v="2312.91"/>
    <n v="7040"/>
  </r>
  <r>
    <s v="OPP-00027"/>
    <d v="2026-08-24T00:00:00"/>
    <x v="6"/>
    <s v="Account 0225"/>
    <s v="Healthcare"/>
    <s v="SMB"/>
    <x v="3"/>
    <x v="9"/>
    <s v="Partner"/>
    <x v="3"/>
    <x v="0"/>
    <s v="Renewal"/>
    <n v="13200"/>
    <n v="0.16200000000000001"/>
    <n v="0"/>
    <s v="Closed"/>
    <s v="Security Review"/>
    <n v="19"/>
    <n v="921.48"/>
    <n v="0"/>
  </r>
  <r>
    <s v="OPP-00028"/>
    <d v="2025-11-26T00:00:00"/>
    <x v="26"/>
    <s v="Account 0691"/>
    <s v="E-commerce"/>
    <s v="SMB"/>
    <x v="3"/>
    <x v="10"/>
    <s v="Partner"/>
    <x v="2"/>
    <x v="5"/>
    <s v="Renewal"/>
    <n v="22400"/>
    <n v="0.20799999999999999"/>
    <n v="0.35"/>
    <s v="Pipeline"/>
    <m/>
    <n v="40"/>
    <n v="1479.05"/>
    <n v="7839.9999999999991"/>
  </r>
  <r>
    <s v="OPP-00029"/>
    <d v="2026-03-14T00:00:00"/>
    <x v="27"/>
    <s v="Account 0687"/>
    <s v="EdTech"/>
    <s v="SMB"/>
    <x v="2"/>
    <x v="8"/>
    <s v="Product-Led"/>
    <x v="1"/>
    <x v="3"/>
    <s v="New Business"/>
    <n v="10200"/>
    <n v="0.115"/>
    <n v="0.7"/>
    <s v="Commit"/>
    <m/>
    <n v="125"/>
    <n v="752.61"/>
    <n v="7140"/>
  </r>
  <r>
    <s v="OPP-00030"/>
    <d v="2026-03-01T00:00:00"/>
    <x v="28"/>
    <s v="Account 0612"/>
    <s v="Logistics"/>
    <s v="Mid-Market"/>
    <x v="4"/>
    <x v="9"/>
    <s v="Outbound"/>
    <x v="2"/>
    <x v="2"/>
    <s v="Renewal"/>
    <n v="42200"/>
    <n v="0.19700000000000001"/>
    <n v="1"/>
    <s v="Closed"/>
    <m/>
    <n v="127"/>
    <n v="2823.01"/>
    <n v="42200"/>
  </r>
  <r>
    <s v="OPP-00031"/>
    <d v="2026-05-09T00:00:00"/>
    <x v="29"/>
    <s v="Account 0343"/>
    <s v="E-commerce"/>
    <s v="SMB"/>
    <x v="2"/>
    <x v="8"/>
    <s v="Webinar"/>
    <x v="2"/>
    <x v="6"/>
    <s v="Expansion"/>
    <n v="28500"/>
    <n v="0.187"/>
    <n v="0.2"/>
    <s v="Pipeline"/>
    <m/>
    <n v="89"/>
    <n v="1930.72"/>
    <n v="5700"/>
  </r>
  <r>
    <s v="OPP-00032"/>
    <d v="2025-11-06T00:00:00"/>
    <x v="30"/>
    <s v="Account 0337"/>
    <s v="FinTech"/>
    <s v="Mid-Market"/>
    <x v="2"/>
    <x v="11"/>
    <s v="Inbound"/>
    <x v="0"/>
    <x v="5"/>
    <s v="New Business"/>
    <n v="63800"/>
    <n v="4.1000000000000002E-2"/>
    <n v="0.35"/>
    <s v="Pipeline"/>
    <m/>
    <n v="75"/>
    <n v="5101.13"/>
    <n v="22330"/>
  </r>
  <r>
    <s v="OPP-00033"/>
    <d v="2026-03-27T00:00:00"/>
    <x v="31"/>
    <s v="Account 0844"/>
    <s v="SaaS"/>
    <s v="SMB"/>
    <x v="4"/>
    <x v="5"/>
    <s v="Webinar"/>
    <x v="2"/>
    <x v="5"/>
    <s v="Expansion"/>
    <n v="17500"/>
    <n v="0.123"/>
    <n v="0.4"/>
    <s v="Pipeline"/>
    <m/>
    <n v="124"/>
    <n v="1279.1199999999999"/>
    <n v="7000"/>
  </r>
  <r>
    <s v="OPP-00034"/>
    <d v="2026-03-29T00:00:00"/>
    <x v="32"/>
    <s v="Account 0602"/>
    <s v="FinTech"/>
    <s v="SMB"/>
    <x v="2"/>
    <x v="0"/>
    <s v="Partner"/>
    <x v="1"/>
    <x v="1"/>
    <s v="Expansion"/>
    <n v="7900"/>
    <n v="0.252"/>
    <n v="0.05"/>
    <s v="Pipeline"/>
    <m/>
    <n v="108"/>
    <n v="492.76"/>
    <n v="395"/>
  </r>
  <r>
    <s v="OPP-00035"/>
    <d v="2026-07-03T00:00:00"/>
    <x v="33"/>
    <s v="Account 0940"/>
    <s v="E-commerce"/>
    <s v="Enterprise"/>
    <x v="4"/>
    <x v="3"/>
    <s v="Referral"/>
    <x v="1"/>
    <x v="1"/>
    <s v="Expansion"/>
    <n v="233200"/>
    <n v="0.20399999999999999"/>
    <n v="0.1"/>
    <s v="Pipeline"/>
    <m/>
    <n v="40"/>
    <n v="15462.21"/>
    <n v="23320"/>
  </r>
  <r>
    <s v="OPP-00036"/>
    <d v="2026-02-23T00:00:00"/>
    <x v="34"/>
    <s v="Account 0620"/>
    <s v="IT Services"/>
    <s v="SMB"/>
    <x v="0"/>
    <x v="2"/>
    <s v="Inbound"/>
    <x v="0"/>
    <x v="1"/>
    <s v="New Business"/>
    <n v="20100"/>
    <n v="6.8000000000000005E-2"/>
    <n v="0.1"/>
    <s v="Pipeline"/>
    <m/>
    <n v="132"/>
    <n v="1561.84"/>
    <n v="2010"/>
  </r>
  <r>
    <s v="OPP-00037"/>
    <d v="2026-07-18T00:00:00"/>
    <x v="6"/>
    <s v="Account 0109"/>
    <s v="EdTech"/>
    <s v="SMB"/>
    <x v="4"/>
    <x v="1"/>
    <s v="Referral"/>
    <x v="0"/>
    <x v="2"/>
    <s v="New Business"/>
    <n v="16300"/>
    <n v="0.16600000000000001"/>
    <n v="1"/>
    <s v="Closed"/>
    <m/>
    <n v="56"/>
    <n v="1133.3699999999999"/>
    <n v="16300"/>
  </r>
  <r>
    <s v="OPP-00038"/>
    <d v="2026-08-04T00:00:00"/>
    <x v="35"/>
    <s v="Account 0402"/>
    <s v="FinTech"/>
    <s v="Mid-Market"/>
    <x v="4"/>
    <x v="7"/>
    <s v="Outbound"/>
    <x v="2"/>
    <x v="0"/>
    <s v="Expansion"/>
    <n v="53200"/>
    <n v="6.0999999999999999E-2"/>
    <n v="0"/>
    <s v="Closed"/>
    <s v="Security Review"/>
    <n v="35"/>
    <n v="4163.2299999999996"/>
    <n v="0"/>
  </r>
  <r>
    <s v="OPP-00039"/>
    <d v="2026-04-21T00:00:00"/>
    <x v="36"/>
    <s v="Account 0387"/>
    <s v="IT Services"/>
    <s v="SMB"/>
    <x v="4"/>
    <x v="6"/>
    <s v="Outbound"/>
    <x v="0"/>
    <x v="0"/>
    <s v="New Business"/>
    <n v="19100"/>
    <n v="0.12"/>
    <n v="0"/>
    <s v="Closed"/>
    <s v="Champion Left"/>
    <n v="62"/>
    <n v="1401.26"/>
    <n v="0"/>
  </r>
  <r>
    <s v="OPP-00040"/>
    <d v="2026-07-01T00:00:00"/>
    <x v="37"/>
    <s v="Account 0730"/>
    <s v="Manufacturing"/>
    <s v="SMB"/>
    <x v="4"/>
    <x v="10"/>
    <s v="Outbound"/>
    <x v="0"/>
    <x v="1"/>
    <s v="Renewal"/>
    <n v="21400"/>
    <n v="5.8999999999999997E-2"/>
    <n v="0.1"/>
    <s v="Pipeline"/>
    <m/>
    <n v="39"/>
    <n v="1678.94"/>
    <n v="2140"/>
  </r>
  <r>
    <s v="OPP-00041"/>
    <d v="2026-02-21T00:00:00"/>
    <x v="38"/>
    <s v="Account 0679"/>
    <s v="Logistics"/>
    <s v="SMB"/>
    <x v="3"/>
    <x v="10"/>
    <s v="Referral"/>
    <x v="2"/>
    <x v="2"/>
    <s v="New Business"/>
    <n v="23200"/>
    <n v="0"/>
    <n v="1"/>
    <s v="Closed"/>
    <m/>
    <n v="74"/>
    <n v="1933.33"/>
    <n v="23200"/>
  </r>
  <r>
    <s v="OPP-00042"/>
    <d v="2026-08-14T00:00:00"/>
    <x v="39"/>
    <s v="Account 0150"/>
    <s v="Logistics"/>
    <s v="SMB"/>
    <x v="3"/>
    <x v="1"/>
    <s v="Partner"/>
    <x v="0"/>
    <x v="1"/>
    <s v="Renewal"/>
    <n v="26500"/>
    <n v="0.157"/>
    <n v="0.1"/>
    <s v="Pipeline"/>
    <m/>
    <n v="80"/>
    <n v="1861.38"/>
    <n v="2650"/>
  </r>
  <r>
    <s v="OPP-00043"/>
    <d v="2025-12-26T00:00:00"/>
    <x v="0"/>
    <s v="Account 0795"/>
    <s v="E-commerce"/>
    <s v="SMB"/>
    <x v="0"/>
    <x v="0"/>
    <s v="Referral"/>
    <x v="0"/>
    <x v="4"/>
    <s v="Renewal"/>
    <n v="9200"/>
    <n v="0.08"/>
    <n v="0.55000000000000004"/>
    <s v="Best Case"/>
    <m/>
    <n v="72"/>
    <n v="704.97"/>
    <n v="5060"/>
  </r>
  <r>
    <s v="OPP-00044"/>
    <d v="2026-07-11T00:00:00"/>
    <x v="40"/>
    <s v="Account 0415"/>
    <s v="SaaS"/>
    <s v="Enterprise"/>
    <x v="2"/>
    <x v="8"/>
    <s v="Product-Led"/>
    <x v="0"/>
    <x v="4"/>
    <s v="New Business"/>
    <n v="119000"/>
    <n v="6.5000000000000002E-2"/>
    <n v="0.6"/>
    <s v="Best Case"/>
    <m/>
    <n v="75"/>
    <n v="9269.6299999999992"/>
    <n v="71400"/>
  </r>
  <r>
    <s v="OPP-00045"/>
    <d v="2026-01-16T00:00:00"/>
    <x v="41"/>
    <s v="Account 0915"/>
    <s v="E-commerce"/>
    <s v="Enterprise"/>
    <x v="1"/>
    <x v="2"/>
    <s v="Product-Led"/>
    <x v="3"/>
    <x v="5"/>
    <s v="New Business"/>
    <n v="239200"/>
    <n v="0"/>
    <n v="0.35"/>
    <s v="Pipeline"/>
    <m/>
    <n v="126"/>
    <n v="19933.330000000002"/>
    <n v="83720"/>
  </r>
  <r>
    <s v="OPP-00046"/>
    <d v="2026-02-11T00:00:00"/>
    <x v="42"/>
    <s v="Account 0902"/>
    <s v="Healthcare"/>
    <s v="SMB"/>
    <x v="0"/>
    <x v="4"/>
    <s v="Product-Led"/>
    <x v="3"/>
    <x v="1"/>
    <s v="New Business"/>
    <n v="10500"/>
    <n v="0.218"/>
    <n v="0.15"/>
    <s v="Pipeline"/>
    <m/>
    <n v="148"/>
    <n v="684.67"/>
    <n v="1575"/>
  </r>
  <r>
    <s v="OPP-00047"/>
    <d v="2026-05-15T00:00:00"/>
    <x v="43"/>
    <s v="Account 0934"/>
    <s v="Logistics"/>
    <s v="Enterprise"/>
    <x v="2"/>
    <x v="1"/>
    <s v="Product-Led"/>
    <x v="3"/>
    <x v="1"/>
    <s v="Expansion"/>
    <n v="274600"/>
    <n v="0.10199999999999999"/>
    <n v="0.15"/>
    <s v="Pipeline"/>
    <m/>
    <n v="138"/>
    <n v="20554.73"/>
    <n v="41190"/>
  </r>
  <r>
    <s v="OPP-00048"/>
    <d v="2026-01-10T00:00:00"/>
    <x v="44"/>
    <s v="Account 0524"/>
    <s v="EdTech"/>
    <s v="Mid-Market"/>
    <x v="0"/>
    <x v="11"/>
    <s v="Partner"/>
    <x v="3"/>
    <x v="4"/>
    <s v="New Business"/>
    <n v="70800"/>
    <n v="0.106"/>
    <n v="0.6"/>
    <s v="Best Case"/>
    <m/>
    <n v="111"/>
    <n v="5275.66"/>
    <n v="42480"/>
  </r>
  <r>
    <s v="OPP-00049"/>
    <d v="2026-02-14T00:00:00"/>
    <x v="44"/>
    <s v="Account 0552"/>
    <s v="FinTech"/>
    <s v="SMB"/>
    <x v="3"/>
    <x v="4"/>
    <s v="Outbound"/>
    <x v="0"/>
    <x v="4"/>
    <s v="New Business"/>
    <n v="14100"/>
    <n v="4.2000000000000003E-2"/>
    <n v="0.6"/>
    <s v="Best Case"/>
    <m/>
    <n v="76"/>
    <n v="1126.24"/>
    <n v="8460"/>
  </r>
  <r>
    <s v="OPP-00050"/>
    <d v="2025-11-23T00:00:00"/>
    <x v="45"/>
    <s v="Account 0241"/>
    <s v="Healthcare"/>
    <s v="SMB"/>
    <x v="0"/>
    <x v="1"/>
    <s v="Outbound"/>
    <x v="0"/>
    <x v="2"/>
    <s v="New Business"/>
    <n v="23700"/>
    <n v="0"/>
    <n v="1"/>
    <s v="Closed"/>
    <m/>
    <n v="95"/>
    <n v="1975"/>
    <n v="23700"/>
  </r>
  <r>
    <s v="OPP-00051"/>
    <d v="2026-07-16T00:00:00"/>
    <x v="46"/>
    <s v="Account 0640"/>
    <s v="Healthcare"/>
    <s v="Mid-Market"/>
    <x v="3"/>
    <x v="3"/>
    <s v="Outbound"/>
    <x v="0"/>
    <x v="1"/>
    <s v="Renewal"/>
    <n v="32100"/>
    <n v="7.0999999999999994E-2"/>
    <n v="0.1"/>
    <s v="Pipeline"/>
    <m/>
    <n v="73"/>
    <n v="2484.3000000000002"/>
    <n v="3210"/>
  </r>
  <r>
    <s v="OPP-00052"/>
    <d v="2026-03-08T00:00:00"/>
    <x v="47"/>
    <s v="Account 0446"/>
    <s v="Manufacturing"/>
    <s v="Enterprise"/>
    <x v="3"/>
    <x v="7"/>
    <s v="Partner"/>
    <x v="1"/>
    <x v="1"/>
    <s v="Expansion"/>
    <n v="282400"/>
    <n v="0.14299999999999999"/>
    <n v="0.1"/>
    <s v="Pipeline"/>
    <m/>
    <n v="136"/>
    <n v="20160.169999999998"/>
    <n v="28240"/>
  </r>
  <r>
    <s v="OPP-00053"/>
    <d v="2026-02-22T00:00:00"/>
    <x v="48"/>
    <s v="Account 0043"/>
    <s v="Logistics"/>
    <s v="SMB"/>
    <x v="1"/>
    <x v="4"/>
    <s v="Webinar"/>
    <x v="4"/>
    <x v="5"/>
    <s v="Expansion"/>
    <n v="21000"/>
    <n v="0.129"/>
    <n v="0.35"/>
    <s v="Pipeline"/>
    <m/>
    <n v="87"/>
    <n v="1525.09"/>
    <n v="7349.9999999999991"/>
  </r>
  <r>
    <s v="OPP-00054"/>
    <d v="2026-05-29T00:00:00"/>
    <x v="49"/>
    <s v="Account 0433"/>
    <s v="Healthcare"/>
    <s v="Mid-Market"/>
    <x v="2"/>
    <x v="3"/>
    <s v="Inbound"/>
    <x v="0"/>
    <x v="3"/>
    <s v="New Business"/>
    <n v="70100"/>
    <n v="0.104"/>
    <n v="0.8"/>
    <s v="Commit"/>
    <m/>
    <n v="42"/>
    <n v="5235.07"/>
    <n v="56080"/>
  </r>
  <r>
    <s v="OPP-00055"/>
    <d v="2026-05-24T00:00:00"/>
    <x v="50"/>
    <s v="Account 0731"/>
    <s v="FinTech"/>
    <s v="SMB"/>
    <x v="3"/>
    <x v="1"/>
    <s v="Product-Led"/>
    <x v="4"/>
    <x v="1"/>
    <s v="New Business"/>
    <n v="7100"/>
    <n v="4.2000000000000003E-2"/>
    <n v="0.1"/>
    <s v="Pipeline"/>
    <m/>
    <n v="102"/>
    <n v="566.72"/>
    <n v="710"/>
  </r>
  <r>
    <s v="OPP-00056"/>
    <d v="2026-05-24T00:00:00"/>
    <x v="51"/>
    <s v="Account 0656"/>
    <s v="SaaS"/>
    <s v="SMB"/>
    <x v="4"/>
    <x v="10"/>
    <s v="Product-Led"/>
    <x v="4"/>
    <x v="5"/>
    <s v="Expansion"/>
    <n v="14400"/>
    <n v="5.0999999999999997E-2"/>
    <n v="0.35"/>
    <s v="Pipeline"/>
    <m/>
    <n v="97"/>
    <n v="1138.25"/>
    <n v="5040"/>
  </r>
  <r>
    <s v="OPP-00057"/>
    <d v="2026-03-16T00:00:00"/>
    <x v="32"/>
    <s v="Account 0938"/>
    <s v="Healthcare"/>
    <s v="Mid-Market"/>
    <x v="1"/>
    <x v="7"/>
    <s v="Webinar"/>
    <x v="4"/>
    <x v="0"/>
    <s v="Expansion"/>
    <n v="85000"/>
    <n v="3.5000000000000003E-2"/>
    <n v="0"/>
    <s v="Closed"/>
    <s v="Timing"/>
    <n v="121"/>
    <n v="6833.49"/>
    <n v="0"/>
  </r>
  <r>
    <s v="OPP-00058"/>
    <d v="2026-08-14T00:00:00"/>
    <x v="6"/>
    <s v="Account 0305"/>
    <s v="Logistics"/>
    <s v="SMB"/>
    <x v="4"/>
    <x v="5"/>
    <s v="Inbound"/>
    <x v="1"/>
    <x v="2"/>
    <s v="Renewal"/>
    <n v="20000"/>
    <n v="0.10299999999999999"/>
    <n v="1"/>
    <s v="Closed"/>
    <m/>
    <n v="29"/>
    <n v="1494.43"/>
    <n v="20000"/>
  </r>
  <r>
    <s v="OPP-00059"/>
    <d v="2026-03-13T00:00:00"/>
    <x v="52"/>
    <s v="Account 0175"/>
    <s v="Manufacturing"/>
    <s v="Mid-Market"/>
    <x v="1"/>
    <x v="9"/>
    <s v="Inbound"/>
    <x v="0"/>
    <x v="1"/>
    <s v="Renewal"/>
    <n v="26000"/>
    <n v="0.14599999999999999"/>
    <n v="0.05"/>
    <s v="Pipeline"/>
    <m/>
    <n v="26"/>
    <n v="1850"/>
    <n v="1300"/>
  </r>
  <r>
    <s v="OPP-00060"/>
    <d v="2026-05-26T00:00:00"/>
    <x v="6"/>
    <s v="Account 0073"/>
    <s v="FinTech"/>
    <s v="SMB"/>
    <x v="0"/>
    <x v="8"/>
    <s v="Referral"/>
    <x v="4"/>
    <x v="0"/>
    <s v="Renewal"/>
    <n v="15700"/>
    <n v="0.13200000000000001"/>
    <n v="0"/>
    <s v="Closed"/>
    <s v="No Decision"/>
    <n v="109"/>
    <n v="1135.53"/>
    <n v="0"/>
  </r>
  <r>
    <s v="OPP-00061"/>
    <d v="2026-04-11T00:00:00"/>
    <x v="53"/>
    <s v="Account 0013"/>
    <s v="Manufacturing"/>
    <s v="SMB"/>
    <x v="0"/>
    <x v="0"/>
    <s v="Product-Led"/>
    <x v="0"/>
    <x v="5"/>
    <s v="Expansion"/>
    <n v="22400"/>
    <n v="0.185"/>
    <n v="0.35"/>
    <s v="Pipeline"/>
    <m/>
    <n v="144"/>
    <n v="1522.24"/>
    <n v="7839.9999999999991"/>
  </r>
  <r>
    <s v="OPP-00062"/>
    <d v="2026-08-07T00:00:00"/>
    <x v="6"/>
    <s v="Account 0485"/>
    <s v="SaaS"/>
    <s v="Mid-Market"/>
    <x v="3"/>
    <x v="4"/>
    <s v="Partner"/>
    <x v="3"/>
    <x v="2"/>
    <s v="New Business"/>
    <n v="86800"/>
    <n v="0.123"/>
    <n v="1"/>
    <s v="Closed"/>
    <m/>
    <n v="36"/>
    <n v="6346.85"/>
    <n v="86800"/>
  </r>
  <r>
    <s v="OPP-00063"/>
    <d v="2025-10-07T00:00:00"/>
    <x v="54"/>
    <s v="Account 0575"/>
    <s v="Manufacturing"/>
    <s v="SMB"/>
    <x v="2"/>
    <x v="2"/>
    <s v="Referral"/>
    <x v="4"/>
    <x v="5"/>
    <s v="New Business"/>
    <n v="18400"/>
    <n v="0.185"/>
    <n v="0.35"/>
    <s v="Pipeline"/>
    <m/>
    <n v="33"/>
    <n v="1248.95"/>
    <n v="6440"/>
  </r>
  <r>
    <s v="OPP-00064"/>
    <d v="2025-12-17T00:00:00"/>
    <x v="55"/>
    <s v="Account 0853"/>
    <s v="IT Services"/>
    <s v="Mid-Market"/>
    <x v="3"/>
    <x v="9"/>
    <s v="Referral"/>
    <x v="3"/>
    <x v="3"/>
    <s v="New Business"/>
    <n v="86400"/>
    <n v="2.5999999999999999E-2"/>
    <n v="0.75"/>
    <s v="Commit"/>
    <m/>
    <n v="123"/>
    <n v="7012.44"/>
    <n v="64800"/>
  </r>
  <r>
    <s v="OPP-00065"/>
    <d v="2026-06-07T00:00:00"/>
    <x v="56"/>
    <s v="Account 0317"/>
    <s v="Manufacturing"/>
    <s v="SMB"/>
    <x v="4"/>
    <x v="9"/>
    <s v="Inbound"/>
    <x v="4"/>
    <x v="4"/>
    <s v="Renewal"/>
    <n v="21300"/>
    <n v="0"/>
    <n v="0.55000000000000004"/>
    <s v="Best Case"/>
    <m/>
    <n v="31"/>
    <n v="1775"/>
    <n v="11715.000000000002"/>
  </r>
  <r>
    <s v="OPP-00066"/>
    <d v="2025-12-15T00:00:00"/>
    <x v="57"/>
    <s v="Account 0322"/>
    <s v="Logistics"/>
    <s v="SMB"/>
    <x v="4"/>
    <x v="3"/>
    <s v="Product-Led"/>
    <x v="0"/>
    <x v="0"/>
    <s v="New Business"/>
    <n v="17300"/>
    <n v="0.14899999999999999"/>
    <n v="0.05"/>
    <s v="Closed"/>
    <s v="Timing"/>
    <n v="127"/>
    <n v="1227.33"/>
    <n v="865"/>
  </r>
  <r>
    <s v="OPP-00067"/>
    <d v="2025-12-16T00:00:00"/>
    <x v="58"/>
    <s v="Account 0576"/>
    <s v="FinTech"/>
    <s v="SMB"/>
    <x v="4"/>
    <x v="1"/>
    <s v="Product-Led"/>
    <x v="4"/>
    <x v="0"/>
    <s v="Renewal"/>
    <n v="13300"/>
    <n v="0.182"/>
    <n v="0.05"/>
    <s v="Closed"/>
    <s v="Budget"/>
    <n v="15"/>
    <n v="906.54"/>
    <n v="665"/>
  </r>
  <r>
    <s v="OPP-00068"/>
    <d v="2025-10-09T00:00:00"/>
    <x v="59"/>
    <s v="Account 0822"/>
    <s v="Healthcare"/>
    <s v="Mid-Market"/>
    <x v="1"/>
    <x v="4"/>
    <s v="Outbound"/>
    <x v="0"/>
    <x v="2"/>
    <s v="Expansion"/>
    <n v="53700"/>
    <n v="0.12"/>
    <n v="1"/>
    <s v="Closed"/>
    <m/>
    <n v="152"/>
    <n v="3937.53"/>
    <n v="53700"/>
  </r>
  <r>
    <s v="OPP-00069"/>
    <d v="2026-04-24T00:00:00"/>
    <x v="60"/>
    <s v="Account 0916"/>
    <s v="EdTech"/>
    <s v="SMB"/>
    <x v="0"/>
    <x v="9"/>
    <s v="Outbound"/>
    <x v="2"/>
    <x v="0"/>
    <s v="Renewal"/>
    <n v="28400"/>
    <n v="0.113"/>
    <n v="0"/>
    <s v="Closed"/>
    <s v="No Decision"/>
    <n v="49"/>
    <n v="2099.92"/>
    <n v="0"/>
  </r>
  <r>
    <s v="OPP-00070"/>
    <d v="2026-05-09T00:00:00"/>
    <x v="61"/>
    <s v="Account 0285"/>
    <s v="Logistics"/>
    <s v="Mid-Market"/>
    <x v="2"/>
    <x v="4"/>
    <s v="Webinar"/>
    <x v="3"/>
    <x v="4"/>
    <s v="New Business"/>
    <n v="87100"/>
    <n v="0.13100000000000001"/>
    <n v="0.55000000000000004"/>
    <s v="Best Case"/>
    <m/>
    <n v="30"/>
    <n v="6307.01"/>
    <n v="47905.000000000007"/>
  </r>
  <r>
    <s v="OPP-00071"/>
    <d v="2025-10-23T00:00:00"/>
    <x v="62"/>
    <s v="Account 0778"/>
    <s v="Manufacturing"/>
    <s v="Enterprise"/>
    <x v="2"/>
    <x v="0"/>
    <s v="Partner"/>
    <x v="3"/>
    <x v="1"/>
    <s v="Expansion"/>
    <n v="158200"/>
    <n v="0.11700000000000001"/>
    <n v="0.15"/>
    <s v="Pipeline"/>
    <m/>
    <n v="102"/>
    <n v="11638.45"/>
    <n v="23730"/>
  </r>
  <r>
    <s v="OPP-00072"/>
    <d v="2025-11-20T00:00:00"/>
    <x v="63"/>
    <s v="Account 0741"/>
    <s v="IT Services"/>
    <s v="SMB"/>
    <x v="3"/>
    <x v="0"/>
    <s v="Partner"/>
    <x v="3"/>
    <x v="5"/>
    <s v="New Business"/>
    <n v="28300"/>
    <n v="0"/>
    <n v="0.4"/>
    <s v="Pipeline"/>
    <m/>
    <n v="92"/>
    <n v="2358.33"/>
    <n v="11320"/>
  </r>
  <r>
    <s v="OPP-00073"/>
    <d v="2025-12-28T00:00:00"/>
    <x v="25"/>
    <s v="Account 0504"/>
    <s v="IT Services"/>
    <s v="SMB"/>
    <x v="0"/>
    <x v="2"/>
    <s v="Partner"/>
    <x v="3"/>
    <x v="0"/>
    <s v="Expansion"/>
    <n v="6000"/>
    <n v="0.13400000000000001"/>
    <n v="0.05"/>
    <s v="Closed"/>
    <s v="Competitor"/>
    <n v="118"/>
    <n v="433.07"/>
    <n v="300"/>
  </r>
  <r>
    <s v="OPP-00074"/>
    <d v="2026-07-19T00:00:00"/>
    <x v="4"/>
    <s v="Account 0303"/>
    <s v="Healthcare"/>
    <s v="Enterprise"/>
    <x v="1"/>
    <x v="8"/>
    <s v="Outbound"/>
    <x v="3"/>
    <x v="3"/>
    <s v="Renewal"/>
    <n v="195400"/>
    <n v="0.151"/>
    <n v="0.75"/>
    <s v="Commit"/>
    <m/>
    <n v="92"/>
    <n v="13821.72"/>
    <n v="146550"/>
  </r>
  <r>
    <s v="OPP-00075"/>
    <d v="2026-02-04T00:00:00"/>
    <x v="64"/>
    <s v="Account 0053"/>
    <s v="Healthcare"/>
    <s v="SMB"/>
    <x v="3"/>
    <x v="6"/>
    <s v="Inbound"/>
    <x v="4"/>
    <x v="1"/>
    <s v="Expansion"/>
    <n v="15500"/>
    <n v="0.124"/>
    <n v="0.1"/>
    <s v="Pipeline"/>
    <m/>
    <n v="125"/>
    <n v="1131.33"/>
    <n v="1550"/>
  </r>
  <r>
    <s v="OPP-00076"/>
    <d v="2026-01-24T00:00:00"/>
    <x v="65"/>
    <s v="Account 0083"/>
    <s v="SaaS"/>
    <s v="Enterprise"/>
    <x v="1"/>
    <x v="11"/>
    <s v="Inbound"/>
    <x v="2"/>
    <x v="1"/>
    <s v="New Business"/>
    <n v="97300"/>
    <n v="0.155"/>
    <n v="0.1"/>
    <s v="Pipeline"/>
    <m/>
    <n v="31"/>
    <n v="6851.44"/>
    <n v="9730"/>
  </r>
  <r>
    <s v="OPP-00077"/>
    <d v="2025-11-29T00:00:00"/>
    <x v="66"/>
    <s v="Account 0811"/>
    <s v="IT Services"/>
    <s v="SMB"/>
    <x v="0"/>
    <x v="11"/>
    <s v="Product-Led"/>
    <x v="4"/>
    <x v="2"/>
    <s v="Expansion"/>
    <n v="17800"/>
    <n v="9.1999999999999998E-2"/>
    <n v="0.95"/>
    <s v="Closed"/>
    <m/>
    <n v="38"/>
    <n v="1346.62"/>
    <n v="16910"/>
  </r>
  <r>
    <s v="OPP-00078"/>
    <d v="2026-03-16T00:00:00"/>
    <x v="67"/>
    <s v="Account 0102"/>
    <s v="E-commerce"/>
    <s v="Enterprise"/>
    <x v="4"/>
    <x v="8"/>
    <s v="Webinar"/>
    <x v="4"/>
    <x v="3"/>
    <s v="Renewal"/>
    <n v="94400"/>
    <n v="0.185"/>
    <n v="0.7"/>
    <s v="Commit"/>
    <m/>
    <n v="69"/>
    <n v="6415.05"/>
    <n v="66080"/>
  </r>
  <r>
    <s v="OPP-00079"/>
    <d v="2025-11-23T00:00:00"/>
    <x v="65"/>
    <s v="Account 0685"/>
    <s v="Logistics"/>
    <s v="SMB"/>
    <x v="2"/>
    <x v="9"/>
    <s v="Webinar"/>
    <x v="3"/>
    <x v="1"/>
    <s v="New Business"/>
    <n v="25000"/>
    <n v="0.10100000000000001"/>
    <n v="0.1"/>
    <s v="Pipeline"/>
    <m/>
    <n v="93"/>
    <n v="1873.76"/>
    <n v="2500"/>
  </r>
  <r>
    <s v="OPP-00080"/>
    <d v="2025-11-17T00:00:00"/>
    <x v="68"/>
    <s v="Account 0233"/>
    <s v="FinTech"/>
    <s v="Mid-Market"/>
    <x v="3"/>
    <x v="0"/>
    <s v="Inbound"/>
    <x v="0"/>
    <x v="2"/>
    <s v="Expansion"/>
    <n v="53700"/>
    <n v="0.152"/>
    <n v="0.95"/>
    <s v="Closed"/>
    <m/>
    <n v="46"/>
    <n v="3794.45"/>
    <n v="51015"/>
  </r>
  <r>
    <s v="OPP-00081"/>
    <d v="2026-04-11T00:00:00"/>
    <x v="69"/>
    <s v="Account 0262"/>
    <s v="Manufacturing"/>
    <s v="SMB"/>
    <x v="4"/>
    <x v="3"/>
    <s v="Referral"/>
    <x v="2"/>
    <x v="5"/>
    <s v="New Business"/>
    <n v="18600"/>
    <n v="4.8000000000000001E-2"/>
    <n v="0.3"/>
    <s v="Pipeline"/>
    <m/>
    <n v="68"/>
    <n v="1476.16"/>
    <n v="5580"/>
  </r>
  <r>
    <s v="OPP-00082"/>
    <d v="2026-06-12T00:00:00"/>
    <x v="70"/>
    <s v="Account 0233"/>
    <s v="EdTech"/>
    <s v="Mid-Market"/>
    <x v="3"/>
    <x v="9"/>
    <s v="Outbound"/>
    <x v="0"/>
    <x v="6"/>
    <s v="Expansion"/>
    <n v="45500"/>
    <n v="0.13900000000000001"/>
    <n v="0.2"/>
    <s v="Pipeline"/>
    <m/>
    <n v="118"/>
    <n v="3262.98"/>
    <n v="9100"/>
  </r>
  <r>
    <s v="OPP-00083"/>
    <d v="2026-08-25T00:00:00"/>
    <x v="6"/>
    <s v="Account 0470"/>
    <s v="SaaS"/>
    <s v="Enterprise"/>
    <x v="2"/>
    <x v="7"/>
    <s v="Webinar"/>
    <x v="3"/>
    <x v="2"/>
    <s v="New Business"/>
    <n v="186800"/>
    <n v="6.9000000000000006E-2"/>
    <n v="1"/>
    <s v="Closed"/>
    <m/>
    <n v="18"/>
    <n v="14488.79"/>
    <n v="186800"/>
  </r>
  <r>
    <s v="OPP-00084"/>
    <d v="2025-10-06T00:00:00"/>
    <x v="71"/>
    <s v="Account 0028"/>
    <s v="Logistics"/>
    <s v="SMB"/>
    <x v="2"/>
    <x v="10"/>
    <s v="Outbound"/>
    <x v="4"/>
    <x v="2"/>
    <s v="New Business"/>
    <n v="23200"/>
    <n v="7.3999999999999996E-2"/>
    <n v="1"/>
    <s v="Closed"/>
    <m/>
    <n v="112"/>
    <n v="1790.83"/>
    <n v="23200"/>
  </r>
  <r>
    <s v="OPP-00085"/>
    <d v="2025-11-29T00:00:00"/>
    <x v="72"/>
    <s v="Account 0051"/>
    <s v="Logistics"/>
    <s v="Enterprise"/>
    <x v="1"/>
    <x v="6"/>
    <s v="Partner"/>
    <x v="1"/>
    <x v="6"/>
    <s v="Renewal"/>
    <n v="270400"/>
    <n v="0.14799999999999999"/>
    <n v="0.2"/>
    <s v="Pipeline"/>
    <m/>
    <n v="95"/>
    <n v="19190.34"/>
    <n v="54080"/>
  </r>
  <r>
    <s v="OPP-00086"/>
    <d v="2026-08-07T00:00:00"/>
    <x v="73"/>
    <s v="Account 0518"/>
    <s v="SaaS"/>
    <s v="Enterprise"/>
    <x v="1"/>
    <x v="7"/>
    <s v="Referral"/>
    <x v="3"/>
    <x v="1"/>
    <s v="New Business"/>
    <n v="305200"/>
    <n v="0"/>
    <n v="0.15"/>
    <s v="Pipeline"/>
    <m/>
    <n v="56"/>
    <n v="25433.33"/>
    <n v="45780"/>
  </r>
  <r>
    <s v="OPP-00087"/>
    <d v="2026-08-14T00:00:00"/>
    <x v="74"/>
    <s v="Account 0337"/>
    <s v="Manufacturing"/>
    <s v="Enterprise"/>
    <x v="1"/>
    <x v="4"/>
    <s v="Partner"/>
    <x v="1"/>
    <x v="5"/>
    <s v="Expansion"/>
    <n v="136500"/>
    <n v="3.1E-2"/>
    <n v="0.35"/>
    <s v="Pipeline"/>
    <m/>
    <n v="57"/>
    <n v="11022.69"/>
    <n v="47775"/>
  </r>
  <r>
    <s v="OPP-00088"/>
    <d v="2026-07-27T00:00:00"/>
    <x v="75"/>
    <s v="Account 0211"/>
    <s v="SaaS"/>
    <s v="Enterprise"/>
    <x v="3"/>
    <x v="5"/>
    <s v="Outbound"/>
    <x v="1"/>
    <x v="1"/>
    <s v="Expansion"/>
    <n v="162100"/>
    <n v="0.16"/>
    <n v="0.15"/>
    <s v="Pipeline"/>
    <m/>
    <n v="29"/>
    <n v="11346.46"/>
    <n v="24315"/>
  </r>
  <r>
    <s v="OPP-00089"/>
    <d v="2026-02-08T00:00:00"/>
    <x v="76"/>
    <s v="Account 0887"/>
    <s v="Logistics"/>
    <s v="Enterprise"/>
    <x v="4"/>
    <x v="9"/>
    <s v="Webinar"/>
    <x v="0"/>
    <x v="0"/>
    <s v="Renewal"/>
    <n v="227500"/>
    <n v="0.252"/>
    <n v="0"/>
    <s v="Closed"/>
    <s v="Budget"/>
    <n v="123"/>
    <n v="14188.07"/>
    <n v="0"/>
  </r>
  <r>
    <s v="OPP-00090"/>
    <d v="2025-12-04T00:00:00"/>
    <x v="77"/>
    <s v="Account 0599"/>
    <s v="E-commerce"/>
    <s v="Enterprise"/>
    <x v="1"/>
    <x v="10"/>
    <s v="Referral"/>
    <x v="3"/>
    <x v="2"/>
    <s v="Renewal"/>
    <n v="191400"/>
    <n v="7.0000000000000007E-2"/>
    <n v="1"/>
    <s v="Closed"/>
    <m/>
    <n v="131"/>
    <n v="14831.96"/>
    <n v="191400"/>
  </r>
  <r>
    <s v="OPP-00091"/>
    <d v="2026-06-11T00:00:00"/>
    <x v="78"/>
    <s v="Account 0409"/>
    <s v="Healthcare"/>
    <s v="SMB"/>
    <x v="3"/>
    <x v="4"/>
    <s v="Referral"/>
    <x v="2"/>
    <x v="5"/>
    <s v="New Business"/>
    <n v="15100"/>
    <n v="0.10100000000000001"/>
    <n v="0.35"/>
    <s v="Pipeline"/>
    <m/>
    <n v="145"/>
    <n v="1131.81"/>
    <n v="5285"/>
  </r>
  <r>
    <s v="OPP-00092"/>
    <d v="2026-09-09T00:00:00"/>
    <x v="16"/>
    <s v="Account 0612"/>
    <s v="Logistics"/>
    <s v="SMB"/>
    <x v="4"/>
    <x v="10"/>
    <s v="Outbound"/>
    <x v="4"/>
    <x v="1"/>
    <s v="Renewal"/>
    <n v="26900"/>
    <n v="0.14899999999999999"/>
    <n v="0.05"/>
    <s v="Pipeline"/>
    <m/>
    <n v="43"/>
    <n v="1906.94"/>
    <n v="1345"/>
  </r>
  <r>
    <s v="OPP-00093"/>
    <d v="2025-11-19T00:00:00"/>
    <x v="79"/>
    <s v="Account 0001"/>
    <s v="Logistics"/>
    <s v="SMB"/>
    <x v="0"/>
    <x v="2"/>
    <s v="Referral"/>
    <x v="1"/>
    <x v="4"/>
    <s v="Renewal"/>
    <n v="11900"/>
    <n v="9.7000000000000003E-2"/>
    <n v="0.55000000000000004"/>
    <s v="Best Case"/>
    <m/>
    <n v="54"/>
    <n v="895.88"/>
    <n v="6545.0000000000009"/>
  </r>
  <r>
    <s v="OPP-00094"/>
    <d v="2025-10-05T00:00:00"/>
    <x v="80"/>
    <s v="Account 0090"/>
    <s v="E-commerce"/>
    <s v="Enterprise"/>
    <x v="0"/>
    <x v="2"/>
    <s v="Referral"/>
    <x v="0"/>
    <x v="4"/>
    <s v="Expansion"/>
    <n v="260000"/>
    <n v="0.21299999999999999"/>
    <n v="0.55000000000000004"/>
    <s v="Best Case"/>
    <m/>
    <n v="44"/>
    <n v="17052.84"/>
    <n v="143000"/>
  </r>
  <r>
    <s v="OPP-00095"/>
    <d v="2026-06-25T00:00:00"/>
    <x v="81"/>
    <s v="Account 0463"/>
    <s v="IT Services"/>
    <s v="Mid-Market"/>
    <x v="0"/>
    <x v="2"/>
    <s v="Product-Led"/>
    <x v="2"/>
    <x v="6"/>
    <s v="New Business"/>
    <n v="53300"/>
    <n v="0.216"/>
    <n v="0.15"/>
    <s v="Pipeline"/>
    <m/>
    <n v="108"/>
    <n v="3484.27"/>
    <n v="7995"/>
  </r>
  <r>
    <s v="OPP-00096"/>
    <d v="2026-07-16T00:00:00"/>
    <x v="82"/>
    <s v="Account 0159"/>
    <s v="FinTech"/>
    <s v="SMB"/>
    <x v="4"/>
    <x v="0"/>
    <s v="Outbound"/>
    <x v="2"/>
    <x v="5"/>
    <s v="New Business"/>
    <n v="17100"/>
    <n v="0.13700000000000001"/>
    <n v="0.4"/>
    <s v="Pipeline"/>
    <m/>
    <n v="111"/>
    <n v="1229.1199999999999"/>
    <n v="6840"/>
  </r>
  <r>
    <s v="OPP-00097"/>
    <d v="2026-08-09T00:00:00"/>
    <x v="83"/>
    <s v="Account 0060"/>
    <s v="FinTech"/>
    <s v="SMB"/>
    <x v="3"/>
    <x v="8"/>
    <s v="Product-Led"/>
    <x v="4"/>
    <x v="4"/>
    <s v="Expansion"/>
    <n v="13300"/>
    <n v="5.5E-2"/>
    <n v="0.55000000000000004"/>
    <s v="Best Case"/>
    <m/>
    <n v="93"/>
    <n v="1047.82"/>
    <n v="7315.0000000000009"/>
  </r>
  <r>
    <s v="OPP-00098"/>
    <d v="2025-12-17T00:00:00"/>
    <x v="84"/>
    <s v="Account 0167"/>
    <s v="Logistics"/>
    <s v="Mid-Market"/>
    <x v="0"/>
    <x v="4"/>
    <s v="Webinar"/>
    <x v="4"/>
    <x v="6"/>
    <s v="New Business"/>
    <n v="48100"/>
    <n v="7.4999999999999997E-2"/>
    <n v="0.25"/>
    <s v="Pipeline"/>
    <m/>
    <n v="84"/>
    <n v="3705.97"/>
    <n v="12025"/>
  </r>
  <r>
    <s v="OPP-00099"/>
    <d v="2026-04-10T00:00:00"/>
    <x v="85"/>
    <s v="Account 0385"/>
    <s v="IT Services"/>
    <s v="SMB"/>
    <x v="4"/>
    <x v="3"/>
    <s v="Outbound"/>
    <x v="2"/>
    <x v="1"/>
    <s v="Expansion"/>
    <n v="14800"/>
    <n v="9.8000000000000004E-2"/>
    <n v="0.1"/>
    <s v="Pipeline"/>
    <m/>
    <n v="129"/>
    <n v="1112.04"/>
    <n v="1480"/>
  </r>
  <r>
    <s v="OPP-00100"/>
    <d v="2026-03-10T00:00:00"/>
    <x v="86"/>
    <s v="Account 0111"/>
    <s v="E-commerce"/>
    <s v="Enterprise"/>
    <x v="3"/>
    <x v="3"/>
    <s v="Inbound"/>
    <x v="0"/>
    <x v="2"/>
    <s v="Expansion"/>
    <n v="254900"/>
    <n v="0.22600000000000001"/>
    <n v="1"/>
    <s v="Closed"/>
    <m/>
    <n v="123"/>
    <n v="16430.77"/>
    <n v="254900"/>
  </r>
  <r>
    <s v="OPP-00101"/>
    <d v="2026-04-25T00:00:00"/>
    <x v="87"/>
    <s v="Account 0447"/>
    <s v="FinTech"/>
    <s v="SMB"/>
    <x v="4"/>
    <x v="11"/>
    <s v="Inbound"/>
    <x v="3"/>
    <x v="6"/>
    <s v="New Business"/>
    <n v="9200"/>
    <n v="7.1999999999999995E-2"/>
    <n v="0.25"/>
    <s v="Pipeline"/>
    <m/>
    <n v="40"/>
    <n v="711.62"/>
    <n v="2300"/>
  </r>
  <r>
    <s v="OPP-00102"/>
    <d v="2025-12-30T00:00:00"/>
    <x v="41"/>
    <s v="Account 0056"/>
    <s v="IT Services"/>
    <s v="Enterprise"/>
    <x v="1"/>
    <x v="2"/>
    <s v="Referral"/>
    <x v="1"/>
    <x v="1"/>
    <s v="Expansion"/>
    <n v="109800"/>
    <n v="5.8999999999999997E-2"/>
    <n v="0.15"/>
    <s v="Pipeline"/>
    <m/>
    <n v="143"/>
    <n v="8606.31"/>
    <n v="16470"/>
  </r>
  <r>
    <s v="OPP-00103"/>
    <d v="2026-01-22T00:00:00"/>
    <x v="3"/>
    <s v="Account 0216"/>
    <s v="Logistics"/>
    <s v="Mid-Market"/>
    <x v="2"/>
    <x v="3"/>
    <s v="Outbound"/>
    <x v="0"/>
    <x v="0"/>
    <s v="Expansion"/>
    <n v="98300"/>
    <n v="0.216"/>
    <n v="0"/>
    <s v="Closed"/>
    <s v="Champion Left"/>
    <n v="117"/>
    <n v="6419.29"/>
    <n v="0"/>
  </r>
  <r>
    <s v="OPP-00104"/>
    <d v="2026-07-03T00:00:00"/>
    <x v="6"/>
    <s v="Account 0723"/>
    <s v="Healthcare"/>
    <s v="Enterprise"/>
    <x v="1"/>
    <x v="9"/>
    <s v="Partner"/>
    <x v="3"/>
    <x v="0"/>
    <s v="Expansion"/>
    <n v="193200"/>
    <n v="6.0000000000000001E-3"/>
    <n v="0"/>
    <s v="Closed"/>
    <s v="Timing"/>
    <n v="71"/>
    <n v="16003.45"/>
    <n v="0"/>
  </r>
  <r>
    <s v="OPP-00105"/>
    <d v="2026-06-21T00:00:00"/>
    <x v="20"/>
    <s v="Account 0531"/>
    <s v="EdTech"/>
    <s v="SMB"/>
    <x v="2"/>
    <x v="5"/>
    <s v="Referral"/>
    <x v="4"/>
    <x v="4"/>
    <s v="Expansion"/>
    <n v="8700"/>
    <n v="0.20799999999999999"/>
    <n v="0.55000000000000004"/>
    <s v="Best Case"/>
    <m/>
    <n v="71"/>
    <n v="573.97"/>
    <n v="4785"/>
  </r>
  <r>
    <s v="OPP-00106"/>
    <d v="2026-06-21T00:00:00"/>
    <x v="85"/>
    <s v="Account 0688"/>
    <s v="Healthcare"/>
    <s v="SMB"/>
    <x v="1"/>
    <x v="9"/>
    <s v="Webinar"/>
    <x v="4"/>
    <x v="6"/>
    <s v="Renewal"/>
    <n v="29400"/>
    <n v="0.112"/>
    <n v="0.2"/>
    <s v="Pipeline"/>
    <m/>
    <n v="57"/>
    <n v="2176.66"/>
    <n v="5880"/>
  </r>
  <r>
    <s v="OPP-00107"/>
    <d v="2025-11-13T00:00:00"/>
    <x v="88"/>
    <s v="Account 0027"/>
    <s v="Healthcare"/>
    <s v="Enterprise"/>
    <x v="0"/>
    <x v="11"/>
    <s v="Inbound"/>
    <x v="0"/>
    <x v="5"/>
    <s v="Expansion"/>
    <n v="82700"/>
    <n v="0.155"/>
    <n v="0.35"/>
    <s v="Pipeline"/>
    <m/>
    <n v="86"/>
    <n v="5825.52"/>
    <n v="28944.999999999996"/>
  </r>
  <r>
    <s v="OPP-00108"/>
    <d v="2026-08-27T00:00:00"/>
    <x v="89"/>
    <s v="Account 0194"/>
    <s v="FinTech"/>
    <s v="Mid-Market"/>
    <x v="4"/>
    <x v="10"/>
    <s v="Partner"/>
    <x v="3"/>
    <x v="4"/>
    <s v="New Business"/>
    <n v="28400"/>
    <n v="0.214"/>
    <n v="0.55000000000000004"/>
    <s v="Best Case"/>
    <m/>
    <n v="73"/>
    <n v="1860.44"/>
    <n v="15620.000000000002"/>
  </r>
  <r>
    <s v="OPP-00109"/>
    <d v="2026-07-30T00:00:00"/>
    <x v="15"/>
    <s v="Account 0019"/>
    <s v="EdTech"/>
    <s v="SMB"/>
    <x v="1"/>
    <x v="5"/>
    <s v="Outbound"/>
    <x v="2"/>
    <x v="1"/>
    <s v="Renewal"/>
    <n v="24300"/>
    <n v="0.11600000000000001"/>
    <n v="0.1"/>
    <s v="Pipeline"/>
    <m/>
    <n v="74"/>
    <n v="1789.9"/>
    <n v="2430"/>
  </r>
  <r>
    <s v="OPP-00110"/>
    <d v="2026-07-24T00:00:00"/>
    <x v="90"/>
    <s v="Account 0343"/>
    <s v="SaaS"/>
    <s v="Mid-Market"/>
    <x v="3"/>
    <x v="0"/>
    <s v="Inbound"/>
    <x v="4"/>
    <x v="1"/>
    <s v="Expansion"/>
    <n v="28500"/>
    <n v="5.8000000000000003E-2"/>
    <n v="0.1"/>
    <s v="Pipeline"/>
    <m/>
    <n v="99"/>
    <n v="2237.2800000000002"/>
    <n v="2850"/>
  </r>
  <r>
    <s v="OPP-00111"/>
    <d v="2026-05-15T00:00:00"/>
    <x v="91"/>
    <s v="Account 0109"/>
    <s v="SaaS"/>
    <s v="SMB"/>
    <x v="1"/>
    <x v="11"/>
    <s v="Product-Led"/>
    <x v="4"/>
    <x v="6"/>
    <s v="Expansion"/>
    <n v="10800"/>
    <n v="7.2999999999999995E-2"/>
    <n v="0.25"/>
    <s v="Pipeline"/>
    <m/>
    <n v="73"/>
    <n v="834.28"/>
    <n v="2700"/>
  </r>
  <r>
    <s v="OPP-00112"/>
    <d v="2025-11-16T00:00:00"/>
    <x v="92"/>
    <s v="Account 0595"/>
    <s v="Healthcare"/>
    <s v="Mid-Market"/>
    <x v="2"/>
    <x v="1"/>
    <s v="Referral"/>
    <x v="0"/>
    <x v="5"/>
    <s v="Expansion"/>
    <n v="38500"/>
    <n v="7.3999999999999996E-2"/>
    <n v="0.35"/>
    <s v="Pipeline"/>
    <m/>
    <n v="25"/>
    <n v="2970.75"/>
    <n v="13475"/>
  </r>
  <r>
    <s v="OPP-00113"/>
    <d v="2026-05-11T00:00:00"/>
    <x v="93"/>
    <s v="Account 0175"/>
    <s v="EdTech"/>
    <s v="Enterprise"/>
    <x v="1"/>
    <x v="5"/>
    <s v="Product-Led"/>
    <x v="3"/>
    <x v="4"/>
    <s v="New Business"/>
    <n v="343900"/>
    <n v="9.1999999999999998E-2"/>
    <n v="0.5"/>
    <s v="Best Case"/>
    <m/>
    <n v="86"/>
    <n v="26030.85"/>
    <n v="171950"/>
  </r>
  <r>
    <s v="OPP-00114"/>
    <d v="2025-12-19T00:00:00"/>
    <x v="94"/>
    <s v="Account 0546"/>
    <s v="SaaS"/>
    <s v="SMB"/>
    <x v="3"/>
    <x v="4"/>
    <s v="Product-Led"/>
    <x v="1"/>
    <x v="6"/>
    <s v="Expansion"/>
    <n v="28800"/>
    <n v="2.3E-2"/>
    <n v="0.2"/>
    <s v="Pipeline"/>
    <m/>
    <n v="70"/>
    <n v="2344.9899999999998"/>
    <n v="5760"/>
  </r>
  <r>
    <s v="OPP-00115"/>
    <d v="2025-11-25T00:00:00"/>
    <x v="95"/>
    <s v="Account 0277"/>
    <s v="Manufacturing"/>
    <s v="SMB"/>
    <x v="1"/>
    <x v="1"/>
    <s v="Outbound"/>
    <x v="1"/>
    <x v="0"/>
    <s v="Renewal"/>
    <n v="16700"/>
    <n v="0.28599999999999998"/>
    <n v="0"/>
    <s v="Closed"/>
    <s v="Timing"/>
    <n v="114"/>
    <n v="993.21"/>
    <n v="0"/>
  </r>
  <r>
    <s v="OPP-00116"/>
    <d v="2026-09-10T00:00:00"/>
    <x v="96"/>
    <s v="Account 0746"/>
    <s v="E-commerce"/>
    <s v="SMB"/>
    <x v="3"/>
    <x v="1"/>
    <s v="Partner"/>
    <x v="3"/>
    <x v="1"/>
    <s v="New Business"/>
    <n v="21100"/>
    <n v="0.13900000000000001"/>
    <n v="0.1"/>
    <s v="Pipeline"/>
    <m/>
    <n v="43"/>
    <n v="1513.68"/>
    <n v="2110"/>
  </r>
  <r>
    <s v="OPP-00117"/>
    <d v="2026-04-03T00:00:00"/>
    <x v="87"/>
    <s v="Account 0618"/>
    <s v="FinTech"/>
    <s v="SMB"/>
    <x v="4"/>
    <x v="10"/>
    <s v="Inbound"/>
    <x v="1"/>
    <x v="6"/>
    <s v="New Business"/>
    <n v="26500"/>
    <n v="0.14000000000000001"/>
    <n v="0.2"/>
    <s v="Pipeline"/>
    <m/>
    <n v="62"/>
    <n v="1899.01"/>
    <n v="5300"/>
  </r>
  <r>
    <s v="OPP-00118"/>
    <d v="2026-03-20T00:00:00"/>
    <x v="77"/>
    <s v="Account 0451"/>
    <s v="E-commerce"/>
    <s v="SMB"/>
    <x v="1"/>
    <x v="4"/>
    <s v="Referral"/>
    <x v="3"/>
    <x v="4"/>
    <s v="New Business"/>
    <n v="26100"/>
    <n v="0.11799999999999999"/>
    <n v="0.55000000000000004"/>
    <s v="Best Case"/>
    <m/>
    <n v="25"/>
    <n v="1918.28"/>
    <n v="14355.000000000002"/>
  </r>
  <r>
    <s v="OPP-00119"/>
    <d v="2025-12-12T00:00:00"/>
    <x v="97"/>
    <s v="Account 0899"/>
    <s v="IT Services"/>
    <s v="Mid-Market"/>
    <x v="3"/>
    <x v="4"/>
    <s v="Webinar"/>
    <x v="2"/>
    <x v="6"/>
    <s v="Renewal"/>
    <n v="88300"/>
    <n v="8.3000000000000004E-2"/>
    <n v="0.15"/>
    <s v="Pipeline"/>
    <m/>
    <n v="48"/>
    <n v="6747.3"/>
    <n v="13245"/>
  </r>
  <r>
    <s v="OPP-00120"/>
    <d v="2026-04-05T00:00:00"/>
    <x v="98"/>
    <s v="Account 0320"/>
    <s v="SaaS"/>
    <s v="Mid-Market"/>
    <x v="3"/>
    <x v="8"/>
    <s v="Product-Led"/>
    <x v="1"/>
    <x v="6"/>
    <s v="Expansion"/>
    <n v="83600"/>
    <n v="8.6999999999999994E-2"/>
    <n v="0.2"/>
    <s v="Pipeline"/>
    <m/>
    <n v="83"/>
    <n v="6360.46"/>
    <n v="16720"/>
  </r>
  <r>
    <s v="OPP-00121"/>
    <d v="2026-02-18T00:00:00"/>
    <x v="23"/>
    <s v="Account 0566"/>
    <s v="E-commerce"/>
    <s v="SMB"/>
    <x v="0"/>
    <x v="1"/>
    <s v="Webinar"/>
    <x v="0"/>
    <x v="5"/>
    <s v="New Business"/>
    <n v="21700"/>
    <n v="0.13900000000000001"/>
    <n v="0.35"/>
    <s v="Pipeline"/>
    <m/>
    <n v="94"/>
    <n v="1556.6"/>
    <n v="7594.9999999999991"/>
  </r>
  <r>
    <s v="OPP-00122"/>
    <d v="2026-06-06T00:00:00"/>
    <x v="6"/>
    <s v="Account 0334"/>
    <s v="SaaS"/>
    <s v="SMB"/>
    <x v="3"/>
    <x v="9"/>
    <s v="Webinar"/>
    <x v="1"/>
    <x v="0"/>
    <s v="New Business"/>
    <n v="22300"/>
    <n v="0.123"/>
    <n v="0.05"/>
    <s v="Closed"/>
    <s v="Competitor"/>
    <n v="98"/>
    <n v="1628.94"/>
    <n v="1115"/>
  </r>
  <r>
    <s v="OPP-00123"/>
    <d v="2026-04-19T00:00:00"/>
    <x v="48"/>
    <s v="Account 0742"/>
    <s v="Healthcare"/>
    <s v="Mid-Market"/>
    <x v="0"/>
    <x v="6"/>
    <s v="Outbound"/>
    <x v="0"/>
    <x v="5"/>
    <s v="Renewal"/>
    <n v="93500"/>
    <n v="0.121"/>
    <n v="0.35"/>
    <s v="Pipeline"/>
    <m/>
    <n v="31"/>
    <n v="6852.66"/>
    <n v="32724.999999999996"/>
  </r>
  <r>
    <s v="OPP-00124"/>
    <d v="2026-06-13T00:00:00"/>
    <x v="99"/>
    <s v="Account 0144"/>
    <s v="Logistics"/>
    <s v="Enterprise"/>
    <x v="4"/>
    <x v="2"/>
    <s v="Outbound"/>
    <x v="3"/>
    <x v="6"/>
    <s v="Expansion"/>
    <n v="80600"/>
    <n v="0.26200000000000001"/>
    <n v="0.15"/>
    <s v="Pipeline"/>
    <m/>
    <n v="40"/>
    <n v="4959.08"/>
    <n v="12090"/>
  </r>
  <r>
    <s v="OPP-00125"/>
    <d v="2026-01-31T00:00:00"/>
    <x v="100"/>
    <s v="Account 0297"/>
    <s v="Healthcare"/>
    <s v="Mid-Market"/>
    <x v="1"/>
    <x v="11"/>
    <s v="Outbound"/>
    <x v="3"/>
    <x v="4"/>
    <s v="New Business"/>
    <n v="41100"/>
    <n v="0.16400000000000001"/>
    <n v="0.5"/>
    <s v="Best Case"/>
    <m/>
    <n v="66"/>
    <n v="2862.39"/>
    <n v="20550"/>
  </r>
  <r>
    <s v="OPP-00126"/>
    <d v="2026-05-23T00:00:00"/>
    <x v="4"/>
    <s v="Account 0159"/>
    <s v="EdTech"/>
    <s v="Mid-Market"/>
    <x v="0"/>
    <x v="5"/>
    <s v="Webinar"/>
    <x v="1"/>
    <x v="1"/>
    <s v="New Business"/>
    <n v="70100"/>
    <n v="1.4E-2"/>
    <n v="0.15"/>
    <s v="Pipeline"/>
    <m/>
    <n v="149"/>
    <n v="5759.27"/>
    <n v="10515"/>
  </r>
  <r>
    <s v="OPP-00127"/>
    <d v="2025-12-30T00:00:00"/>
    <x v="101"/>
    <s v="Account 0193"/>
    <s v="SaaS"/>
    <s v="Mid-Market"/>
    <x v="1"/>
    <x v="8"/>
    <s v="Partner"/>
    <x v="3"/>
    <x v="2"/>
    <s v="New Business"/>
    <n v="36500"/>
    <n v="1.6E-2"/>
    <n v="1"/>
    <s v="Closed"/>
    <m/>
    <n v="131"/>
    <n v="2992.16"/>
    <n v="36500"/>
  </r>
  <r>
    <s v="OPP-00128"/>
    <d v="2025-10-30T00:00:00"/>
    <x v="102"/>
    <s v="Account 0041"/>
    <s v="SaaS"/>
    <s v="Mid-Market"/>
    <x v="2"/>
    <x v="11"/>
    <s v="Outbound"/>
    <x v="4"/>
    <x v="5"/>
    <s v="Renewal"/>
    <n v="79900"/>
    <n v="0.156"/>
    <n v="0.35"/>
    <s v="Pipeline"/>
    <m/>
    <n v="25"/>
    <n v="5622.01"/>
    <n v="27965"/>
  </r>
  <r>
    <s v="OPP-00129"/>
    <d v="2026-01-31T00:00:00"/>
    <x v="57"/>
    <s v="Account 0764"/>
    <s v="SaaS"/>
    <s v="SMB"/>
    <x v="0"/>
    <x v="6"/>
    <s v="Inbound"/>
    <x v="3"/>
    <x v="5"/>
    <s v="Renewal"/>
    <n v="21400"/>
    <n v="0.121"/>
    <n v="0.35"/>
    <s v="Pipeline"/>
    <m/>
    <n v="80"/>
    <n v="1566.98"/>
    <n v="7489.9999999999991"/>
  </r>
  <r>
    <s v="OPP-00130"/>
    <d v="2025-10-17T00:00:00"/>
    <x v="68"/>
    <s v="Account 0079"/>
    <s v="Logistics"/>
    <s v="Mid-Market"/>
    <x v="1"/>
    <x v="8"/>
    <s v="Outbound"/>
    <x v="0"/>
    <x v="5"/>
    <s v="Expansion"/>
    <n v="32000"/>
    <n v="0.11"/>
    <n v="0.35"/>
    <s v="Pipeline"/>
    <m/>
    <n v="77"/>
    <n v="2373.7199999999998"/>
    <n v="11200"/>
  </r>
  <r>
    <s v="OPP-00131"/>
    <d v="2026-06-21T00:00:00"/>
    <x v="6"/>
    <s v="Account 0853"/>
    <s v="Healthcare"/>
    <s v="Mid-Market"/>
    <x v="3"/>
    <x v="5"/>
    <s v="Partner"/>
    <x v="1"/>
    <x v="2"/>
    <s v="Renewal"/>
    <n v="84900"/>
    <n v="0"/>
    <n v="0.95"/>
    <s v="Closed"/>
    <m/>
    <n v="83"/>
    <n v="7075"/>
    <n v="80655"/>
  </r>
  <r>
    <s v="OPP-00132"/>
    <d v="2026-06-20T00:00:00"/>
    <x v="103"/>
    <s v="Account 0565"/>
    <s v="Logistics"/>
    <s v="Mid-Market"/>
    <x v="3"/>
    <x v="5"/>
    <s v="Product-Led"/>
    <x v="3"/>
    <x v="1"/>
    <s v="Expansion"/>
    <n v="97100"/>
    <n v="0.14899999999999999"/>
    <n v="0.15"/>
    <s v="Pipeline"/>
    <m/>
    <n v="38"/>
    <n v="6885.74"/>
    <n v="14565"/>
  </r>
  <r>
    <s v="OPP-00133"/>
    <d v="2026-05-13T00:00:00"/>
    <x v="104"/>
    <s v="Account 0238"/>
    <s v="FinTech"/>
    <s v="Mid-Market"/>
    <x v="3"/>
    <x v="8"/>
    <s v="Product-Led"/>
    <x v="3"/>
    <x v="6"/>
    <s v="New Business"/>
    <n v="55800"/>
    <n v="9.6000000000000002E-2"/>
    <n v="0.2"/>
    <s v="Pipeline"/>
    <m/>
    <n v="114"/>
    <n v="4203.71"/>
    <n v="11160"/>
  </r>
  <r>
    <s v="OPP-00134"/>
    <d v="2025-11-09T00:00:00"/>
    <x v="71"/>
    <s v="Account 0620"/>
    <s v="Logistics"/>
    <s v="SMB"/>
    <x v="4"/>
    <x v="0"/>
    <s v="Partner"/>
    <x v="0"/>
    <x v="1"/>
    <s v="New Business"/>
    <n v="20200"/>
    <n v="0.11600000000000001"/>
    <n v="0.1"/>
    <s v="Pipeline"/>
    <m/>
    <n v="78"/>
    <n v="1487.64"/>
    <n v="2020"/>
  </r>
  <r>
    <s v="OPP-00135"/>
    <d v="2026-09-03T00:00:00"/>
    <x v="105"/>
    <s v="Account 0536"/>
    <s v="EdTech"/>
    <s v="Enterprise"/>
    <x v="4"/>
    <x v="1"/>
    <s v="Product-Led"/>
    <x v="1"/>
    <x v="3"/>
    <s v="Renewal"/>
    <n v="255300"/>
    <n v="0.156"/>
    <n v="0.8"/>
    <s v="Commit"/>
    <m/>
    <n v="19"/>
    <n v="17957.86"/>
    <n v="204240"/>
  </r>
  <r>
    <s v="OPP-00136"/>
    <d v="2026-03-05T00:00:00"/>
    <x v="24"/>
    <s v="Account 0940"/>
    <s v="Healthcare"/>
    <s v="SMB"/>
    <x v="3"/>
    <x v="5"/>
    <s v="Outbound"/>
    <x v="0"/>
    <x v="5"/>
    <s v="Expansion"/>
    <n v="6800"/>
    <n v="9.7000000000000003E-2"/>
    <n v="0.4"/>
    <s v="Pipeline"/>
    <m/>
    <n v="32"/>
    <n v="511.53"/>
    <n v="2720"/>
  </r>
  <r>
    <s v="OPP-00137"/>
    <d v="2026-05-17T00:00:00"/>
    <x v="106"/>
    <s v="Account 0370"/>
    <s v="EdTech"/>
    <s v="Mid-Market"/>
    <x v="0"/>
    <x v="3"/>
    <s v="Referral"/>
    <x v="4"/>
    <x v="6"/>
    <s v="Renewal"/>
    <n v="56200"/>
    <n v="1.9E-2"/>
    <n v="0.2"/>
    <s v="Pipeline"/>
    <m/>
    <n v="46"/>
    <n v="4596.0600000000004"/>
    <n v="11240"/>
  </r>
  <r>
    <s v="OPP-00138"/>
    <d v="2026-06-08T00:00:00"/>
    <x v="6"/>
    <s v="Account 0193"/>
    <s v="Healthcare"/>
    <s v="Enterprise"/>
    <x v="2"/>
    <x v="8"/>
    <s v="Inbound"/>
    <x v="0"/>
    <x v="0"/>
    <s v="Renewal"/>
    <n v="340700"/>
    <n v="0.14299999999999999"/>
    <n v="0"/>
    <s v="Closed"/>
    <s v="Competitor"/>
    <n v="96"/>
    <n v="24334.55"/>
    <n v="0"/>
  </r>
  <r>
    <s v="OPP-00139"/>
    <d v="2026-07-06T00:00:00"/>
    <x v="6"/>
    <s v="Account 0742"/>
    <s v="IT Services"/>
    <s v="SMB"/>
    <x v="1"/>
    <x v="2"/>
    <s v="Referral"/>
    <x v="2"/>
    <x v="0"/>
    <s v="Renewal"/>
    <n v="24200"/>
    <n v="3.9E-2"/>
    <n v="0"/>
    <s v="Closed"/>
    <s v="Timing"/>
    <n v="68"/>
    <n v="1937.9"/>
    <n v="0"/>
  </r>
  <r>
    <s v="OPP-00140"/>
    <d v="2026-08-07T00:00:00"/>
    <x v="39"/>
    <s v="Account 0744"/>
    <s v="Healthcare"/>
    <s v="SMB"/>
    <x v="3"/>
    <x v="7"/>
    <s v="Inbound"/>
    <x v="2"/>
    <x v="1"/>
    <s v="New Business"/>
    <n v="28100"/>
    <n v="9.7000000000000003E-2"/>
    <n v="0.1"/>
    <s v="Pipeline"/>
    <m/>
    <n v="87"/>
    <n v="2114.9899999999998"/>
    <n v="2810"/>
  </r>
  <r>
    <s v="OPP-00141"/>
    <d v="2026-07-07T00:00:00"/>
    <x v="107"/>
    <s v="Account 0070"/>
    <s v="IT Services"/>
    <s v="Mid-Market"/>
    <x v="1"/>
    <x v="7"/>
    <s v="Inbound"/>
    <x v="2"/>
    <x v="4"/>
    <s v="New Business"/>
    <n v="31000"/>
    <n v="4.5999999999999999E-2"/>
    <n v="0.55000000000000004"/>
    <s v="Best Case"/>
    <m/>
    <n v="125"/>
    <n v="2464"/>
    <n v="17050"/>
  </r>
  <r>
    <s v="OPP-00142"/>
    <d v="2025-12-15T00:00:00"/>
    <x v="22"/>
    <s v="Account 0899"/>
    <s v="Logistics"/>
    <s v="Mid-Market"/>
    <x v="3"/>
    <x v="8"/>
    <s v="Partner"/>
    <x v="0"/>
    <x v="2"/>
    <s v="Renewal"/>
    <n v="85800"/>
    <n v="5.6000000000000001E-2"/>
    <n v="1"/>
    <s v="Closed"/>
    <m/>
    <n v="44"/>
    <n v="6746.3"/>
    <n v="85800"/>
  </r>
  <r>
    <s v="OPP-00143"/>
    <d v="2026-02-28T00:00:00"/>
    <x v="108"/>
    <s v="Account 0778"/>
    <s v="Manufacturing"/>
    <s v="Mid-Market"/>
    <x v="3"/>
    <x v="9"/>
    <s v="Outbound"/>
    <x v="2"/>
    <x v="2"/>
    <s v="Renewal"/>
    <n v="54100"/>
    <n v="0.12"/>
    <n v="1"/>
    <s v="Closed"/>
    <m/>
    <n v="154"/>
    <n v="3965.2"/>
    <n v="54100"/>
  </r>
  <r>
    <s v="OPP-00144"/>
    <d v="2026-04-14T00:00:00"/>
    <x v="20"/>
    <s v="Account 0519"/>
    <s v="Healthcare"/>
    <s v="Mid-Market"/>
    <x v="4"/>
    <x v="10"/>
    <s v="Product-Led"/>
    <x v="3"/>
    <x v="5"/>
    <s v="Expansion"/>
    <n v="96700"/>
    <n v="0.105"/>
    <n v="0.35"/>
    <s v="Pipeline"/>
    <m/>
    <n v="139"/>
    <n v="7212.71"/>
    <n v="33845"/>
  </r>
  <r>
    <s v="OPP-00145"/>
    <d v="2026-08-10T00:00:00"/>
    <x v="109"/>
    <s v="Account 0335"/>
    <s v="Logistics"/>
    <s v="Enterprise"/>
    <x v="2"/>
    <x v="5"/>
    <s v="Referral"/>
    <x v="0"/>
    <x v="5"/>
    <s v="New Business"/>
    <n v="128100"/>
    <n v="0.14199999999999999"/>
    <n v="0.3"/>
    <s v="Pipeline"/>
    <m/>
    <n v="37"/>
    <n v="9161.57"/>
    <n v="38430"/>
  </r>
  <r>
    <s v="OPP-00146"/>
    <d v="2025-12-08T00:00:00"/>
    <x v="110"/>
    <s v="Account 0195"/>
    <s v="EdTech"/>
    <s v="SMB"/>
    <x v="4"/>
    <x v="1"/>
    <s v="Referral"/>
    <x v="3"/>
    <x v="5"/>
    <s v="Renewal"/>
    <n v="11900"/>
    <n v="0.106"/>
    <n v="0.4"/>
    <s v="Pipeline"/>
    <m/>
    <n v="84"/>
    <n v="886.47"/>
    <n v="4760"/>
  </r>
  <r>
    <s v="OPP-00147"/>
    <d v="2026-06-10T00:00:00"/>
    <x v="111"/>
    <s v="Account 0892"/>
    <s v="Manufacturing"/>
    <s v="SMB"/>
    <x v="1"/>
    <x v="1"/>
    <s v="Webinar"/>
    <x v="0"/>
    <x v="2"/>
    <s v="Expansion"/>
    <n v="14000"/>
    <n v="0.115"/>
    <n v="1"/>
    <s v="Closed"/>
    <m/>
    <n v="61"/>
    <n v="1032.0899999999999"/>
    <n v="14000"/>
  </r>
  <r>
    <s v="OPP-00148"/>
    <d v="2025-11-09T00:00:00"/>
    <x v="112"/>
    <s v="Account 0140"/>
    <s v="Healthcare"/>
    <s v="SMB"/>
    <x v="2"/>
    <x v="2"/>
    <s v="Webinar"/>
    <x v="1"/>
    <x v="6"/>
    <s v="Renewal"/>
    <n v="15400"/>
    <n v="0.159"/>
    <n v="0.15"/>
    <s v="Pipeline"/>
    <m/>
    <n v="138"/>
    <n v="1078.99"/>
    <n v="2310"/>
  </r>
  <r>
    <s v="OPP-00149"/>
    <d v="2026-07-25T00:00:00"/>
    <x v="113"/>
    <s v="Account 0785"/>
    <s v="FinTech"/>
    <s v="SMB"/>
    <x v="1"/>
    <x v="11"/>
    <s v="Referral"/>
    <x v="3"/>
    <x v="4"/>
    <s v="New Business"/>
    <n v="27500"/>
    <n v="0.105"/>
    <n v="0.55000000000000004"/>
    <s v="Best Case"/>
    <m/>
    <n v="103"/>
    <n v="2050.37"/>
    <n v="15125.000000000002"/>
  </r>
  <r>
    <s v="OPP-00150"/>
    <d v="2026-06-15T00:00:00"/>
    <x v="114"/>
    <s v="Account 0392"/>
    <s v="Logistics"/>
    <s v="SMB"/>
    <x v="0"/>
    <x v="11"/>
    <s v="Referral"/>
    <x v="2"/>
    <x v="2"/>
    <s v="Expansion"/>
    <n v="12800"/>
    <n v="5.3999999999999999E-2"/>
    <n v="0.95"/>
    <s v="Closed"/>
    <m/>
    <n v="67"/>
    <n v="1008.73"/>
    <n v="12160"/>
  </r>
  <r>
    <s v="OPP-00151"/>
    <d v="2026-07-13T00:00:00"/>
    <x v="115"/>
    <s v="Account 0224"/>
    <s v="Healthcare"/>
    <s v="Mid-Market"/>
    <x v="3"/>
    <x v="9"/>
    <s v="Inbound"/>
    <x v="0"/>
    <x v="0"/>
    <s v="Expansion"/>
    <n v="94000"/>
    <n v="0.17"/>
    <n v="0"/>
    <s v="Closed"/>
    <s v="Budget"/>
    <n v="54"/>
    <n v="6504.86"/>
    <n v="0"/>
  </r>
  <r>
    <s v="OPP-00152"/>
    <d v="2026-08-22T00:00:00"/>
    <x v="6"/>
    <s v="Account 0390"/>
    <s v="Logistics"/>
    <s v="Enterprise"/>
    <x v="0"/>
    <x v="11"/>
    <s v="Product-Led"/>
    <x v="2"/>
    <x v="2"/>
    <s v="Renewal"/>
    <n v="100700"/>
    <n v="0.13200000000000001"/>
    <n v="1"/>
    <s v="Closed"/>
    <m/>
    <n v="21"/>
    <n v="7284.35"/>
    <n v="100700"/>
  </r>
  <r>
    <s v="OPP-00153"/>
    <d v="2025-10-24T00:00:00"/>
    <x v="116"/>
    <s v="Account 0686"/>
    <s v="SaaS"/>
    <s v="Mid-Market"/>
    <x v="1"/>
    <x v="9"/>
    <s v="Partner"/>
    <x v="1"/>
    <x v="4"/>
    <s v="New Business"/>
    <n v="82100"/>
    <n v="7.4999999999999997E-2"/>
    <n v="0.55000000000000004"/>
    <s v="Best Case"/>
    <m/>
    <n v="84"/>
    <n v="6329.1"/>
    <n v="45155.000000000007"/>
  </r>
  <r>
    <s v="OPP-00154"/>
    <d v="2026-05-08T00:00:00"/>
    <x v="117"/>
    <s v="Account 0362"/>
    <s v="EdTech"/>
    <s v="Mid-Market"/>
    <x v="0"/>
    <x v="11"/>
    <s v="Inbound"/>
    <x v="3"/>
    <x v="1"/>
    <s v="New Business"/>
    <n v="63900"/>
    <n v="0.13900000000000001"/>
    <n v="0.15"/>
    <s v="Pipeline"/>
    <m/>
    <n v="83"/>
    <n v="4585.63"/>
    <n v="9585"/>
  </r>
  <r>
    <s v="OPP-00155"/>
    <d v="2025-12-09T00:00:00"/>
    <x v="118"/>
    <s v="Account 0585"/>
    <s v="Logistics"/>
    <s v="Mid-Market"/>
    <x v="1"/>
    <x v="11"/>
    <s v="Webinar"/>
    <x v="2"/>
    <x v="2"/>
    <s v="New Business"/>
    <n v="35700"/>
    <n v="0.154"/>
    <n v="1"/>
    <s v="Closed"/>
    <m/>
    <n v="155"/>
    <n v="2515.98"/>
    <n v="35700"/>
  </r>
  <r>
    <s v="OPP-00156"/>
    <d v="2026-06-12T00:00:00"/>
    <x v="113"/>
    <s v="Account 0197"/>
    <s v="E-commerce"/>
    <s v="SMB"/>
    <x v="2"/>
    <x v="10"/>
    <s v="Partner"/>
    <x v="0"/>
    <x v="6"/>
    <s v="Renewal"/>
    <n v="9200"/>
    <n v="0.161"/>
    <n v="0.2"/>
    <s v="Pipeline"/>
    <m/>
    <n v="146"/>
    <n v="643.17999999999995"/>
    <n v="1840"/>
  </r>
  <r>
    <s v="OPP-00157"/>
    <d v="2026-05-02T00:00:00"/>
    <x v="119"/>
    <s v="Account 0687"/>
    <s v="E-commerce"/>
    <s v="SMB"/>
    <x v="4"/>
    <x v="7"/>
    <s v="Outbound"/>
    <x v="0"/>
    <x v="1"/>
    <s v="Renewal"/>
    <n v="22100"/>
    <n v="0.17899999999999999"/>
    <n v="0.1"/>
    <s v="Pipeline"/>
    <m/>
    <n v="127"/>
    <n v="1512.11"/>
    <n v="2210"/>
  </r>
  <r>
    <s v="OPP-00158"/>
    <d v="2026-01-31T00:00:00"/>
    <x v="120"/>
    <s v="Account 0203"/>
    <s v="SaaS"/>
    <s v="SMB"/>
    <x v="2"/>
    <x v="2"/>
    <s v="Outbound"/>
    <x v="2"/>
    <x v="5"/>
    <s v="Expansion"/>
    <n v="24100"/>
    <n v="0.128"/>
    <n v="0.35"/>
    <s v="Pipeline"/>
    <m/>
    <n v="94"/>
    <n v="1751.18"/>
    <n v="8435"/>
  </r>
  <r>
    <s v="OPP-00159"/>
    <d v="2026-08-23T00:00:00"/>
    <x v="74"/>
    <s v="Account 0937"/>
    <s v="SaaS"/>
    <s v="SMB"/>
    <x v="3"/>
    <x v="10"/>
    <s v="Product-Led"/>
    <x v="1"/>
    <x v="3"/>
    <s v="Renewal"/>
    <n v="17900"/>
    <n v="8.6999999999999994E-2"/>
    <n v="0.8"/>
    <s v="Commit"/>
    <m/>
    <n v="48"/>
    <n v="1362.02"/>
    <n v="14320"/>
  </r>
  <r>
    <s v="OPP-00160"/>
    <d v="2026-03-03T00:00:00"/>
    <x v="76"/>
    <s v="Account 0502"/>
    <s v="Manufacturing"/>
    <s v="SMB"/>
    <x v="2"/>
    <x v="0"/>
    <s v="Referral"/>
    <x v="0"/>
    <x v="2"/>
    <s v="New Business"/>
    <n v="15900"/>
    <n v="0.16400000000000001"/>
    <n v="1"/>
    <s v="Closed"/>
    <m/>
    <n v="100"/>
    <n v="1107.3599999999999"/>
    <n v="15900"/>
  </r>
  <r>
    <s v="OPP-00161"/>
    <d v="2025-10-11T00:00:00"/>
    <x v="121"/>
    <s v="Account 0391"/>
    <s v="SaaS"/>
    <s v="SMB"/>
    <x v="0"/>
    <x v="0"/>
    <s v="Webinar"/>
    <x v="0"/>
    <x v="4"/>
    <s v="Renewal"/>
    <n v="28600"/>
    <n v="0.105"/>
    <n v="0.5"/>
    <s v="Best Case"/>
    <m/>
    <n v="88"/>
    <n v="2133.9699999999998"/>
    <n v="14300"/>
  </r>
  <r>
    <s v="OPP-00162"/>
    <d v="2025-12-31T00:00:00"/>
    <x v="122"/>
    <s v="Account 0616"/>
    <s v="E-commerce"/>
    <s v="Mid-Market"/>
    <x v="4"/>
    <x v="3"/>
    <s v="Inbound"/>
    <x v="2"/>
    <x v="3"/>
    <s v="New Business"/>
    <n v="85600"/>
    <n v="0.24099999999999999"/>
    <n v="0.75"/>
    <s v="Commit"/>
    <m/>
    <n v="43"/>
    <n v="5416.82"/>
    <n v="64200"/>
  </r>
  <r>
    <s v="OPP-00163"/>
    <d v="2025-11-04T00:00:00"/>
    <x v="123"/>
    <s v="Account 0590"/>
    <s v="Manufacturing"/>
    <s v="Mid-Market"/>
    <x v="3"/>
    <x v="4"/>
    <s v="Referral"/>
    <x v="2"/>
    <x v="2"/>
    <s v="Renewal"/>
    <n v="56800"/>
    <n v="0.13"/>
    <n v="1"/>
    <s v="Closed"/>
    <m/>
    <n v="129"/>
    <n v="4115.8500000000004"/>
    <n v="56800"/>
  </r>
  <r>
    <s v="OPP-00164"/>
    <d v="2025-10-13T00:00:00"/>
    <x v="124"/>
    <s v="Account 0089"/>
    <s v="FinTech"/>
    <s v="Enterprise"/>
    <x v="1"/>
    <x v="8"/>
    <s v="Inbound"/>
    <x v="3"/>
    <x v="0"/>
    <s v="New Business"/>
    <n v="99400"/>
    <n v="0.14199999999999999"/>
    <n v="0"/>
    <s v="Closed"/>
    <s v="Timing"/>
    <n v="143"/>
    <n v="7104.77"/>
    <n v="0"/>
  </r>
  <r>
    <s v="OPP-00165"/>
    <d v="2026-04-17T00:00:00"/>
    <x v="125"/>
    <s v="Account 0232"/>
    <s v="IT Services"/>
    <s v="SMB"/>
    <x v="1"/>
    <x v="2"/>
    <s v="Partner"/>
    <x v="1"/>
    <x v="5"/>
    <s v="Expansion"/>
    <n v="24700"/>
    <n v="0.108"/>
    <n v="0.4"/>
    <s v="Pipeline"/>
    <m/>
    <n v="121"/>
    <n v="1836.35"/>
    <n v="9880"/>
  </r>
  <r>
    <s v="OPP-00166"/>
    <d v="2025-11-25T00:00:00"/>
    <x v="58"/>
    <s v="Account 0259"/>
    <s v="EdTech"/>
    <s v="SMB"/>
    <x v="3"/>
    <x v="1"/>
    <s v="Referral"/>
    <x v="3"/>
    <x v="1"/>
    <s v="Renewal"/>
    <n v="7600"/>
    <n v="0.21199999999999999"/>
    <n v="0.1"/>
    <s v="Pipeline"/>
    <m/>
    <n v="36"/>
    <n v="499.02"/>
    <n v="760"/>
  </r>
  <r>
    <s v="OPP-00167"/>
    <d v="2026-07-05T00:00:00"/>
    <x v="126"/>
    <s v="Account 0507"/>
    <s v="Healthcare"/>
    <s v="Enterprise"/>
    <x v="1"/>
    <x v="1"/>
    <s v="Product-Led"/>
    <x v="1"/>
    <x v="2"/>
    <s v="Expansion"/>
    <n v="308700"/>
    <n v="0.11899999999999999"/>
    <n v="1"/>
    <s v="Closed"/>
    <m/>
    <n v="50"/>
    <n v="22654.34"/>
    <n v="308700"/>
  </r>
  <r>
    <s v="OPP-00168"/>
    <d v="2026-08-26T00:00:00"/>
    <x v="6"/>
    <s v="Account 0652"/>
    <s v="E-commerce"/>
    <s v="Enterprise"/>
    <x v="3"/>
    <x v="3"/>
    <s v="Webinar"/>
    <x v="2"/>
    <x v="0"/>
    <s v="New Business"/>
    <n v="341300"/>
    <n v="1.2E-2"/>
    <n v="0"/>
    <s v="Closed"/>
    <s v="No Decision"/>
    <n v="17"/>
    <n v="28094.46"/>
    <n v="0"/>
  </r>
  <r>
    <s v="OPP-00169"/>
    <d v="2026-06-09T00:00:00"/>
    <x v="127"/>
    <s v="Account 0493"/>
    <s v="FinTech"/>
    <s v="Enterprise"/>
    <x v="3"/>
    <x v="9"/>
    <s v="Product-Led"/>
    <x v="3"/>
    <x v="5"/>
    <s v="Expansion"/>
    <n v="336500"/>
    <n v="0.14899999999999999"/>
    <n v="0.4"/>
    <s v="Pipeline"/>
    <m/>
    <n v="119"/>
    <n v="23849.63"/>
    <n v="134600"/>
  </r>
  <r>
    <s v="OPP-00170"/>
    <d v="2025-11-30T00:00:00"/>
    <x v="26"/>
    <s v="Account 0195"/>
    <s v="Logistics"/>
    <s v="Mid-Market"/>
    <x v="4"/>
    <x v="5"/>
    <s v="Inbound"/>
    <x v="0"/>
    <x v="2"/>
    <s v="Renewal"/>
    <n v="59300"/>
    <n v="0.05"/>
    <n v="1"/>
    <s v="Closed"/>
    <m/>
    <n v="36"/>
    <n v="4693.63"/>
    <n v="59300"/>
  </r>
  <r>
    <s v="OPP-00171"/>
    <d v="2025-11-27T00:00:00"/>
    <x v="128"/>
    <s v="Account 0296"/>
    <s v="IT Services"/>
    <s v="SMB"/>
    <x v="2"/>
    <x v="8"/>
    <s v="Referral"/>
    <x v="2"/>
    <x v="4"/>
    <s v="New Business"/>
    <n v="11000"/>
    <n v="0.221"/>
    <n v="0.55000000000000004"/>
    <s v="Best Case"/>
    <m/>
    <n v="83"/>
    <n v="713.77"/>
    <n v="6050.0000000000009"/>
  </r>
  <r>
    <s v="OPP-00172"/>
    <d v="2025-11-15T00:00:00"/>
    <x v="77"/>
    <s v="Account 0270"/>
    <s v="FinTech"/>
    <s v="SMB"/>
    <x v="4"/>
    <x v="9"/>
    <s v="Inbound"/>
    <x v="4"/>
    <x v="5"/>
    <s v="Expansion"/>
    <n v="22900"/>
    <n v="0.13900000000000001"/>
    <n v="0.35"/>
    <s v="Pipeline"/>
    <m/>
    <n v="150"/>
    <n v="1642.82"/>
    <n v="8014.9999999999991"/>
  </r>
  <r>
    <s v="OPP-00173"/>
    <d v="2025-11-19T00:00:00"/>
    <x v="129"/>
    <s v="Account 0028"/>
    <s v="Logistics"/>
    <s v="SMB"/>
    <x v="4"/>
    <x v="6"/>
    <s v="Webinar"/>
    <x v="4"/>
    <x v="2"/>
    <s v="Expansion"/>
    <n v="25200"/>
    <n v="0.14599999999999999"/>
    <n v="1"/>
    <s v="Closed"/>
    <m/>
    <n v="154"/>
    <n v="1793.61"/>
    <n v="25200"/>
  </r>
  <r>
    <s v="OPP-00174"/>
    <d v="2026-02-09T00:00:00"/>
    <x v="130"/>
    <s v="Account 0424"/>
    <s v="SaaS"/>
    <s v="Enterprise"/>
    <x v="2"/>
    <x v="6"/>
    <s v="Webinar"/>
    <x v="2"/>
    <x v="1"/>
    <s v="Expansion"/>
    <n v="310600"/>
    <n v="5.7000000000000002E-2"/>
    <n v="0.1"/>
    <s v="Pipeline"/>
    <m/>
    <n v="111"/>
    <n v="24414.48"/>
    <n v="31060"/>
  </r>
  <r>
    <s v="OPP-00175"/>
    <d v="2026-02-17T00:00:00"/>
    <x v="69"/>
    <s v="Account 0156"/>
    <s v="IT Services"/>
    <s v="SMB"/>
    <x v="3"/>
    <x v="6"/>
    <s v="Inbound"/>
    <x v="2"/>
    <x v="5"/>
    <s v="Renewal"/>
    <n v="18000"/>
    <n v="0.13500000000000001"/>
    <n v="0.3"/>
    <s v="Pipeline"/>
    <m/>
    <n v="121"/>
    <n v="1298.04"/>
    <n v="5400"/>
  </r>
  <r>
    <s v="OPP-00176"/>
    <d v="2026-01-14T00:00:00"/>
    <x v="131"/>
    <s v="Account 0182"/>
    <s v="IT Services"/>
    <s v="Mid-Market"/>
    <x v="4"/>
    <x v="4"/>
    <s v="Partner"/>
    <x v="3"/>
    <x v="1"/>
    <s v="Renewal"/>
    <n v="74000"/>
    <n v="0.09"/>
    <n v="0.1"/>
    <s v="Pipeline"/>
    <m/>
    <n v="92"/>
    <n v="5612.85"/>
    <n v="7400"/>
  </r>
  <r>
    <s v="OPP-00177"/>
    <d v="2026-01-09T00:00:00"/>
    <x v="87"/>
    <s v="Account 0375"/>
    <s v="SaaS"/>
    <s v="SMB"/>
    <x v="1"/>
    <x v="0"/>
    <s v="Referral"/>
    <x v="0"/>
    <x v="3"/>
    <s v="Expansion"/>
    <n v="30000"/>
    <n v="4.9000000000000002E-2"/>
    <n v="0.8"/>
    <s v="Commit"/>
    <m/>
    <n v="146"/>
    <n v="2377.9499999999998"/>
    <n v="24000"/>
  </r>
  <r>
    <s v="OPP-00178"/>
    <d v="2025-10-04T00:00:00"/>
    <x v="132"/>
    <s v="Account 0003"/>
    <s v="Healthcare"/>
    <s v="Enterprise"/>
    <x v="0"/>
    <x v="10"/>
    <s v="Outbound"/>
    <x v="0"/>
    <x v="2"/>
    <s v="New Business"/>
    <n v="300800"/>
    <n v="0.21099999999999999"/>
    <n v="1"/>
    <s v="Closed"/>
    <m/>
    <n v="77"/>
    <n v="19779.060000000001"/>
    <n v="300800"/>
  </r>
  <r>
    <s v="OPP-00179"/>
    <d v="2026-04-11T00:00:00"/>
    <x v="133"/>
    <s v="Account 0125"/>
    <s v="E-commerce"/>
    <s v="Mid-Market"/>
    <x v="0"/>
    <x v="4"/>
    <s v="Outbound"/>
    <x v="3"/>
    <x v="5"/>
    <s v="New Business"/>
    <n v="26400"/>
    <n v="8.9999999999999993E-3"/>
    <n v="0.35"/>
    <s v="Pipeline"/>
    <m/>
    <n v="48"/>
    <n v="2181.2800000000002"/>
    <n v="9240"/>
  </r>
  <r>
    <s v="OPP-00180"/>
    <d v="2026-09-03T00:00:00"/>
    <x v="6"/>
    <s v="Account 0810"/>
    <s v="FinTech"/>
    <s v="SMB"/>
    <x v="1"/>
    <x v="9"/>
    <s v="Inbound"/>
    <x v="4"/>
    <x v="2"/>
    <s v="New Business"/>
    <n v="17300"/>
    <n v="8.2000000000000003E-2"/>
    <n v="0.95"/>
    <s v="Closed"/>
    <m/>
    <n v="9"/>
    <n v="1323.98"/>
    <n v="16435"/>
  </r>
  <r>
    <s v="OPP-00181"/>
    <d v="2026-01-09T00:00:00"/>
    <x v="134"/>
    <s v="Account 0275"/>
    <s v="EdTech"/>
    <s v="SMB"/>
    <x v="0"/>
    <x v="1"/>
    <s v="Outbound"/>
    <x v="3"/>
    <x v="2"/>
    <s v="New Business"/>
    <n v="26300"/>
    <n v="0"/>
    <n v="0.95"/>
    <s v="Closed"/>
    <m/>
    <n v="36"/>
    <n v="2191.67"/>
    <n v="24985"/>
  </r>
  <r>
    <s v="OPP-00182"/>
    <d v="2026-06-19T00:00:00"/>
    <x v="6"/>
    <s v="Account 0098"/>
    <s v="IT Services"/>
    <s v="Enterprise"/>
    <x v="2"/>
    <x v="0"/>
    <s v="Webinar"/>
    <x v="3"/>
    <x v="2"/>
    <s v="New Business"/>
    <n v="280800"/>
    <n v="0.12"/>
    <n v="1"/>
    <s v="Closed"/>
    <m/>
    <n v="85"/>
    <n v="20586.55"/>
    <n v="280800"/>
  </r>
  <r>
    <s v="OPP-00183"/>
    <d v="2026-08-11T00:00:00"/>
    <x v="135"/>
    <s v="Account 0824"/>
    <s v="E-commerce"/>
    <s v="SMB"/>
    <x v="3"/>
    <x v="9"/>
    <s v="Inbound"/>
    <x v="1"/>
    <x v="1"/>
    <s v="New Business"/>
    <n v="23500"/>
    <n v="0.16200000000000001"/>
    <n v="0.05"/>
    <s v="Pipeline"/>
    <m/>
    <n v="74"/>
    <n v="1642.06"/>
    <n v="1175"/>
  </r>
  <r>
    <s v="OPP-00184"/>
    <d v="2025-11-30T00:00:00"/>
    <x v="136"/>
    <s v="Account 0079"/>
    <s v="EdTech"/>
    <s v="SMB"/>
    <x v="3"/>
    <x v="11"/>
    <s v="Inbound"/>
    <x v="1"/>
    <x v="5"/>
    <s v="New Business"/>
    <n v="19600"/>
    <n v="5.3999999999999999E-2"/>
    <n v="0.35"/>
    <s v="Pipeline"/>
    <m/>
    <n v="35"/>
    <n v="1545.39"/>
    <n v="6860"/>
  </r>
  <r>
    <s v="OPP-00185"/>
    <d v="2025-11-04T00:00:00"/>
    <x v="137"/>
    <s v="Account 0804"/>
    <s v="FinTech"/>
    <s v="SMB"/>
    <x v="1"/>
    <x v="11"/>
    <s v="Referral"/>
    <x v="0"/>
    <x v="5"/>
    <s v="New Business"/>
    <n v="6100"/>
    <n v="8.5999999999999993E-2"/>
    <n v="0.4"/>
    <s v="Pipeline"/>
    <m/>
    <n v="137"/>
    <n v="464.49"/>
    <n v="2440"/>
  </r>
  <r>
    <s v="OPP-00186"/>
    <d v="2026-04-27T00:00:00"/>
    <x v="13"/>
    <s v="Account 0791"/>
    <s v="Healthcare"/>
    <s v="Enterprise"/>
    <x v="3"/>
    <x v="11"/>
    <s v="Webinar"/>
    <x v="4"/>
    <x v="2"/>
    <s v="Expansion"/>
    <n v="148800"/>
    <n v="0.01"/>
    <n v="1"/>
    <s v="Closed"/>
    <m/>
    <n v="50"/>
    <n v="12270.04"/>
    <n v="148800"/>
  </r>
  <r>
    <s v="OPP-00187"/>
    <d v="2025-11-18T00:00:00"/>
    <x v="138"/>
    <s v="Account 0500"/>
    <s v="Manufacturing"/>
    <s v="SMB"/>
    <x v="1"/>
    <x v="9"/>
    <s v="Referral"/>
    <x v="1"/>
    <x v="2"/>
    <s v="New Business"/>
    <n v="25700"/>
    <n v="6.6000000000000003E-2"/>
    <n v="1"/>
    <s v="Closed"/>
    <m/>
    <n v="62"/>
    <n v="2001.1"/>
    <n v="25700"/>
  </r>
  <r>
    <s v="OPP-00188"/>
    <d v="2026-02-01T00:00:00"/>
    <x v="139"/>
    <s v="Account 0029"/>
    <s v="Manufacturing"/>
    <s v="Enterprise"/>
    <x v="2"/>
    <x v="9"/>
    <s v="Outbound"/>
    <x v="0"/>
    <x v="6"/>
    <s v="Expansion"/>
    <n v="209400"/>
    <n v="0.17499999999999999"/>
    <n v="0.15"/>
    <s v="Pipeline"/>
    <m/>
    <n v="133"/>
    <n v="14396.82"/>
    <n v="31410"/>
  </r>
  <r>
    <s v="OPP-00189"/>
    <d v="2026-06-09T00:00:00"/>
    <x v="6"/>
    <s v="Account 0330"/>
    <s v="SaaS"/>
    <s v="Enterprise"/>
    <x v="2"/>
    <x v="2"/>
    <s v="Outbound"/>
    <x v="0"/>
    <x v="0"/>
    <s v="Renewal"/>
    <n v="148900"/>
    <n v="0.16200000000000001"/>
    <n v="0"/>
    <s v="Closed"/>
    <s v="Budget"/>
    <n v="95"/>
    <n v="10394.27"/>
    <n v="0"/>
  </r>
  <r>
    <s v="OPP-00190"/>
    <d v="2026-03-16T00:00:00"/>
    <x v="140"/>
    <s v="Account 0163"/>
    <s v="Logistics"/>
    <s v="SMB"/>
    <x v="1"/>
    <x v="7"/>
    <s v="Webinar"/>
    <x v="3"/>
    <x v="1"/>
    <s v="New Business"/>
    <n v="27600"/>
    <n v="8.3000000000000004E-2"/>
    <n v="0.1"/>
    <s v="Pipeline"/>
    <m/>
    <n v="73"/>
    <n v="2108.71"/>
    <n v="2760"/>
  </r>
  <r>
    <s v="OPP-00191"/>
    <d v="2026-01-07T00:00:00"/>
    <x v="131"/>
    <s v="Account 0804"/>
    <s v="Healthcare"/>
    <s v="SMB"/>
    <x v="2"/>
    <x v="9"/>
    <s v="Webinar"/>
    <x v="1"/>
    <x v="1"/>
    <s v="Renewal"/>
    <n v="29700"/>
    <n v="0.13100000000000001"/>
    <n v="0.05"/>
    <s v="Pipeline"/>
    <m/>
    <n v="99"/>
    <n v="2151.42"/>
    <n v="1485"/>
  </r>
  <r>
    <s v="OPP-00192"/>
    <d v="2026-03-03T00:00:00"/>
    <x v="100"/>
    <s v="Account 0170"/>
    <s v="FinTech"/>
    <s v="Enterprise"/>
    <x v="4"/>
    <x v="6"/>
    <s v="Product-Led"/>
    <x v="4"/>
    <x v="5"/>
    <s v="Renewal"/>
    <n v="184600"/>
    <n v="4.3999999999999997E-2"/>
    <n v="0.3"/>
    <s v="Pipeline"/>
    <m/>
    <n v="35"/>
    <n v="14713.42"/>
    <n v="55380"/>
  </r>
  <r>
    <s v="OPP-00193"/>
    <d v="2025-12-26T00:00:00"/>
    <x v="0"/>
    <s v="Account 0484"/>
    <s v="FinTech"/>
    <s v="SMB"/>
    <x v="1"/>
    <x v="0"/>
    <s v="Partner"/>
    <x v="0"/>
    <x v="1"/>
    <s v="Renewal"/>
    <n v="17100"/>
    <n v="0.11600000000000001"/>
    <n v="0.1"/>
    <s v="Pipeline"/>
    <m/>
    <n v="72"/>
    <n v="1259.3800000000001"/>
    <n v="1710"/>
  </r>
  <r>
    <s v="OPP-00194"/>
    <d v="2025-12-26T00:00:00"/>
    <x v="77"/>
    <s v="Account 0375"/>
    <s v="Manufacturing"/>
    <s v="Mid-Market"/>
    <x v="4"/>
    <x v="7"/>
    <s v="Product-Led"/>
    <x v="3"/>
    <x v="4"/>
    <s v="New Business"/>
    <n v="68800"/>
    <n v="0.16600000000000001"/>
    <n v="0.55000000000000004"/>
    <s v="Best Case"/>
    <m/>
    <n v="109"/>
    <n v="4782.8900000000003"/>
    <n v="37840"/>
  </r>
  <r>
    <s v="OPP-00195"/>
    <d v="2026-06-06T00:00:00"/>
    <x v="141"/>
    <s v="Account 0942"/>
    <s v="Manufacturing"/>
    <s v="Mid-Market"/>
    <x v="1"/>
    <x v="6"/>
    <s v="Product-Led"/>
    <x v="4"/>
    <x v="2"/>
    <s v="Expansion"/>
    <n v="96600"/>
    <n v="0.09"/>
    <n v="0.95"/>
    <s v="Closed"/>
    <m/>
    <n v="87"/>
    <n v="7328.86"/>
    <n v="91770"/>
  </r>
  <r>
    <s v="OPP-00196"/>
    <d v="2025-12-10T00:00:00"/>
    <x v="142"/>
    <s v="Account 0912"/>
    <s v="E-commerce"/>
    <s v="SMB"/>
    <x v="0"/>
    <x v="9"/>
    <s v="Outbound"/>
    <x v="2"/>
    <x v="6"/>
    <s v="New Business"/>
    <n v="11100"/>
    <n v="3.5999999999999997E-2"/>
    <n v="0.2"/>
    <s v="Pipeline"/>
    <m/>
    <n v="65"/>
    <n v="891.61"/>
    <n v="2220"/>
  </r>
  <r>
    <s v="OPP-00197"/>
    <d v="2026-02-15T00:00:00"/>
    <x v="143"/>
    <s v="Account 0039"/>
    <s v="IT Services"/>
    <s v="SMB"/>
    <x v="0"/>
    <x v="5"/>
    <s v="Inbound"/>
    <x v="1"/>
    <x v="6"/>
    <s v="Expansion"/>
    <n v="24700"/>
    <n v="0.159"/>
    <n v="0.2"/>
    <s v="Pipeline"/>
    <m/>
    <n v="42"/>
    <n v="1730.25"/>
    <n v="4940"/>
  </r>
  <r>
    <s v="OPP-00198"/>
    <d v="2026-01-28T00:00:00"/>
    <x v="140"/>
    <s v="Account 0664"/>
    <s v="Manufacturing"/>
    <s v="Mid-Market"/>
    <x v="3"/>
    <x v="3"/>
    <s v="Outbound"/>
    <x v="0"/>
    <x v="3"/>
    <s v="Expansion"/>
    <n v="65800"/>
    <n v="0.14099999999999999"/>
    <n v="0.7"/>
    <s v="Commit"/>
    <m/>
    <n v="120"/>
    <n v="4709.47"/>
    <n v="46060"/>
  </r>
  <r>
    <s v="OPP-00199"/>
    <d v="2025-10-30T00:00:00"/>
    <x v="144"/>
    <s v="Account 0731"/>
    <s v="E-commerce"/>
    <s v="Mid-Market"/>
    <x v="0"/>
    <x v="3"/>
    <s v="Outbound"/>
    <x v="0"/>
    <x v="2"/>
    <s v="Expansion"/>
    <n v="71200"/>
    <n v="9.0999999999999998E-2"/>
    <n v="1"/>
    <s v="Closed"/>
    <m/>
    <n v="54"/>
    <n v="5391.15"/>
    <n v="71200"/>
  </r>
  <r>
    <s v="OPP-00200"/>
    <d v="2026-03-06T00:00:00"/>
    <x v="23"/>
    <s v="Account 0705"/>
    <s v="Manufacturing"/>
    <s v="Mid-Market"/>
    <x v="2"/>
    <x v="4"/>
    <s v="Partner"/>
    <x v="4"/>
    <x v="1"/>
    <s v="Renewal"/>
    <n v="46700"/>
    <n v="0.16700000000000001"/>
    <n v="0.05"/>
    <s v="Pipeline"/>
    <m/>
    <n v="78"/>
    <n v="3242.4"/>
    <n v="2335"/>
  </r>
  <r>
    <s v="OPP-00201"/>
    <d v="2026-03-13T00:00:00"/>
    <x v="145"/>
    <s v="Account 0842"/>
    <s v="SaaS"/>
    <s v="Mid-Market"/>
    <x v="4"/>
    <x v="2"/>
    <s v="Inbound"/>
    <x v="3"/>
    <x v="0"/>
    <s v="New Business"/>
    <n v="91000"/>
    <n v="6.6000000000000003E-2"/>
    <n v="0"/>
    <s v="Closed"/>
    <s v="Security Review"/>
    <n v="21"/>
    <n v="7079.17"/>
    <n v="0"/>
  </r>
  <r>
    <s v="OPP-00202"/>
    <d v="2026-01-18T00:00:00"/>
    <x v="143"/>
    <s v="Account 0602"/>
    <s v="Manufacturing"/>
    <s v="SMB"/>
    <x v="2"/>
    <x v="9"/>
    <s v="Partner"/>
    <x v="0"/>
    <x v="1"/>
    <s v="Renewal"/>
    <n v="26000"/>
    <n v="9.7000000000000003E-2"/>
    <n v="0.1"/>
    <s v="Pipeline"/>
    <m/>
    <n v="70"/>
    <n v="1955.5"/>
    <n v="2600"/>
  </r>
  <r>
    <s v="OPP-00203"/>
    <d v="2025-12-30T00:00:00"/>
    <x v="146"/>
    <s v="Account 0365"/>
    <s v="Healthcare"/>
    <s v="SMB"/>
    <x v="2"/>
    <x v="7"/>
    <s v="Inbound"/>
    <x v="0"/>
    <x v="2"/>
    <s v="Renewal"/>
    <n v="16800"/>
    <n v="0.13700000000000001"/>
    <n v="1"/>
    <s v="Closed"/>
    <m/>
    <n v="43"/>
    <n v="1207.95"/>
    <n v="16800"/>
  </r>
  <r>
    <s v="OPP-00204"/>
    <d v="2025-12-12T00:00:00"/>
    <x v="147"/>
    <s v="Account 0231"/>
    <s v="Manufacturing"/>
    <s v="Mid-Market"/>
    <x v="0"/>
    <x v="0"/>
    <s v="Outbound"/>
    <x v="0"/>
    <x v="6"/>
    <s v="Renewal"/>
    <n v="52500"/>
    <n v="0.188"/>
    <n v="0.2"/>
    <s v="Pipeline"/>
    <m/>
    <n v="44"/>
    <n v="3553.08"/>
    <n v="10500"/>
  </r>
  <r>
    <s v="OPP-00205"/>
    <d v="2026-04-30T00:00:00"/>
    <x v="8"/>
    <s v="Account 0476"/>
    <s v="FinTech"/>
    <s v="Mid-Market"/>
    <x v="4"/>
    <x v="3"/>
    <s v="Referral"/>
    <x v="2"/>
    <x v="3"/>
    <s v="New Business"/>
    <n v="97800"/>
    <n v="0.192"/>
    <n v="0.7"/>
    <s v="Commit"/>
    <m/>
    <n v="87"/>
    <n v="6583.91"/>
    <n v="68460"/>
  </r>
  <r>
    <s v="OPP-00206"/>
    <d v="2026-09-02T00:00:00"/>
    <x v="89"/>
    <s v="Account 0541"/>
    <s v="EdTech"/>
    <s v="SMB"/>
    <x v="3"/>
    <x v="9"/>
    <s v="Partner"/>
    <x v="2"/>
    <x v="4"/>
    <s v="Renewal"/>
    <n v="11500"/>
    <n v="0.14099999999999999"/>
    <n v="0.55000000000000004"/>
    <s v="Best Case"/>
    <m/>
    <n v="67"/>
    <n v="823.54"/>
    <n v="6325.0000000000009"/>
  </r>
  <r>
    <s v="OPP-00207"/>
    <d v="2026-03-21T00:00:00"/>
    <x v="67"/>
    <s v="Account 0891"/>
    <s v="Healthcare"/>
    <s v="SMB"/>
    <x v="4"/>
    <x v="10"/>
    <s v="Partner"/>
    <x v="0"/>
    <x v="5"/>
    <s v="New Business"/>
    <n v="7900"/>
    <n v="4.9000000000000002E-2"/>
    <n v="0.3"/>
    <s v="Pipeline"/>
    <m/>
    <n v="64"/>
    <n v="626.28"/>
    <n v="2370"/>
  </r>
  <r>
    <s v="OPP-00208"/>
    <d v="2025-10-26T00:00:00"/>
    <x v="148"/>
    <s v="Account 0238"/>
    <s v="Healthcare"/>
    <s v="Mid-Market"/>
    <x v="3"/>
    <x v="7"/>
    <s v="Product-Led"/>
    <x v="4"/>
    <x v="3"/>
    <s v="New Business"/>
    <n v="83500"/>
    <n v="5.8999999999999997E-2"/>
    <n v="0.75"/>
    <s v="Commit"/>
    <m/>
    <n v="83"/>
    <n v="6548.52"/>
    <n v="62625"/>
  </r>
  <r>
    <s v="OPP-00209"/>
    <d v="2026-01-20T00:00:00"/>
    <x v="128"/>
    <s v="Account 0183"/>
    <s v="Healthcare"/>
    <s v="Mid-Market"/>
    <x v="3"/>
    <x v="2"/>
    <s v="Referral"/>
    <x v="2"/>
    <x v="1"/>
    <s v="Renewal"/>
    <n v="50000"/>
    <n v="1.0999999999999999E-2"/>
    <n v="0.15"/>
    <s v="Pipeline"/>
    <m/>
    <n v="29"/>
    <n v="4121.2"/>
    <n v="7500"/>
  </r>
  <r>
    <s v="OPP-00210"/>
    <d v="2026-08-07T00:00:00"/>
    <x v="96"/>
    <s v="Account 0030"/>
    <s v="EdTech"/>
    <s v="SMB"/>
    <x v="3"/>
    <x v="1"/>
    <s v="Inbound"/>
    <x v="3"/>
    <x v="1"/>
    <s v="New Business"/>
    <n v="18300"/>
    <n v="0"/>
    <n v="0.1"/>
    <s v="Pipeline"/>
    <m/>
    <n v="77"/>
    <n v="1525"/>
    <n v="1830"/>
  </r>
  <r>
    <s v="OPP-00211"/>
    <d v="2026-02-09T00:00:00"/>
    <x v="61"/>
    <s v="Account 0721"/>
    <s v="Healthcare"/>
    <s v="SMB"/>
    <x v="3"/>
    <x v="1"/>
    <s v="Outbound"/>
    <x v="2"/>
    <x v="6"/>
    <s v="New Business"/>
    <n v="12200"/>
    <n v="0.13"/>
    <n v="0.2"/>
    <s v="Pipeline"/>
    <m/>
    <n v="119"/>
    <n v="884.28"/>
    <n v="2440"/>
  </r>
  <r>
    <s v="OPP-00212"/>
    <d v="2026-05-31T00:00:00"/>
    <x v="47"/>
    <s v="Account 0331"/>
    <s v="SaaS"/>
    <s v="SMB"/>
    <x v="3"/>
    <x v="6"/>
    <s v="Webinar"/>
    <x v="0"/>
    <x v="3"/>
    <s v="New Business"/>
    <n v="18300"/>
    <n v="0.14399999999999999"/>
    <n v="0.75"/>
    <s v="Commit"/>
    <m/>
    <n v="52"/>
    <n v="1305.5899999999999"/>
    <n v="13725"/>
  </r>
  <r>
    <s v="OPP-00213"/>
    <d v="2026-03-28T00:00:00"/>
    <x v="5"/>
    <s v="Account 0596"/>
    <s v="Manufacturing"/>
    <s v="Enterprise"/>
    <x v="2"/>
    <x v="4"/>
    <s v="Referral"/>
    <x v="1"/>
    <x v="3"/>
    <s v="Expansion"/>
    <n v="149000"/>
    <n v="0.11600000000000001"/>
    <n v="0.8"/>
    <s v="Commit"/>
    <m/>
    <n v="112"/>
    <n v="10970.43"/>
    <n v="119200"/>
  </r>
  <r>
    <s v="OPP-00214"/>
    <d v="2026-01-23T00:00:00"/>
    <x v="84"/>
    <s v="Account 0618"/>
    <s v="EdTech"/>
    <s v="Mid-Market"/>
    <x v="3"/>
    <x v="4"/>
    <s v="Webinar"/>
    <x v="0"/>
    <x v="1"/>
    <s v="New Business"/>
    <n v="55400"/>
    <n v="7.8E-2"/>
    <n v="0.1"/>
    <s v="Pipeline"/>
    <m/>
    <n v="47"/>
    <n v="4255.9799999999996"/>
    <n v="5540"/>
  </r>
  <r>
    <s v="OPP-00215"/>
    <d v="2026-04-03T00:00:00"/>
    <x v="149"/>
    <s v="Account 0467"/>
    <s v="EdTech"/>
    <s v="Enterprise"/>
    <x v="2"/>
    <x v="1"/>
    <s v="Referral"/>
    <x v="4"/>
    <x v="4"/>
    <s v="Renewal"/>
    <n v="119200"/>
    <n v="0.151"/>
    <n v="0.55000000000000004"/>
    <s v="Best Case"/>
    <m/>
    <n v="34"/>
    <n v="8434.34"/>
    <n v="65560"/>
  </r>
  <r>
    <s v="OPP-00216"/>
    <d v="2025-11-12T00:00:00"/>
    <x v="150"/>
    <s v="Account 0078"/>
    <s v="FinTech"/>
    <s v="Enterprise"/>
    <x v="4"/>
    <x v="6"/>
    <s v="Referral"/>
    <x v="2"/>
    <x v="6"/>
    <s v="New Business"/>
    <n v="274700"/>
    <n v="9.0999999999999998E-2"/>
    <n v="0.25"/>
    <s v="Pipeline"/>
    <m/>
    <n v="45"/>
    <n v="20799.419999999998"/>
    <n v="68675"/>
  </r>
  <r>
    <s v="OPP-00217"/>
    <d v="2026-08-08T00:00:00"/>
    <x v="21"/>
    <s v="Account 0225"/>
    <s v="SaaS"/>
    <s v="Mid-Market"/>
    <x v="4"/>
    <x v="3"/>
    <s v="Referral"/>
    <x v="0"/>
    <x v="5"/>
    <s v="Renewal"/>
    <n v="51900"/>
    <n v="0.11799999999999999"/>
    <n v="0.35"/>
    <s v="Pipeline"/>
    <m/>
    <n v="71"/>
    <n v="3812.66"/>
    <n v="18165"/>
  </r>
  <r>
    <s v="OPP-00218"/>
    <d v="2026-01-07T00:00:00"/>
    <x v="151"/>
    <s v="Account 0604"/>
    <s v="FinTech"/>
    <s v="SMB"/>
    <x v="0"/>
    <x v="4"/>
    <s v="Webinar"/>
    <x v="2"/>
    <x v="6"/>
    <s v="Expansion"/>
    <n v="22200"/>
    <n v="0.20699999999999999"/>
    <n v="0.2"/>
    <s v="Pipeline"/>
    <m/>
    <n v="146"/>
    <n v="1467.13"/>
    <n v="4440"/>
  </r>
  <r>
    <s v="OPP-00219"/>
    <d v="2026-06-22T00:00:00"/>
    <x v="27"/>
    <s v="Account 0688"/>
    <s v="EdTech"/>
    <s v="Mid-Market"/>
    <x v="1"/>
    <x v="1"/>
    <s v="Referral"/>
    <x v="2"/>
    <x v="5"/>
    <s v="Renewal"/>
    <n v="42600"/>
    <n v="0.13500000000000001"/>
    <n v="0.4"/>
    <s v="Pipeline"/>
    <m/>
    <n v="25"/>
    <n v="3072.03"/>
    <n v="17040"/>
  </r>
  <r>
    <s v="OPP-00220"/>
    <d v="2025-12-30T00:00:00"/>
    <x v="84"/>
    <s v="Account 0519"/>
    <s v="Logistics"/>
    <s v="SMB"/>
    <x v="0"/>
    <x v="2"/>
    <s v="Partner"/>
    <x v="2"/>
    <x v="3"/>
    <s v="Expansion"/>
    <n v="29900"/>
    <n v="0.14099999999999999"/>
    <n v="0.75"/>
    <s v="Commit"/>
    <m/>
    <n v="71"/>
    <n v="2140.15"/>
    <n v="22425"/>
  </r>
  <r>
    <s v="OPP-00221"/>
    <d v="2026-06-06T00:00:00"/>
    <x v="21"/>
    <s v="Account 0693"/>
    <s v="EdTech"/>
    <s v="SMB"/>
    <x v="1"/>
    <x v="4"/>
    <s v="Product-Led"/>
    <x v="4"/>
    <x v="4"/>
    <s v="New Business"/>
    <n v="22200"/>
    <n v="0.23"/>
    <n v="0.55000000000000004"/>
    <s v="Best Case"/>
    <m/>
    <n v="134"/>
    <n v="1424.31"/>
    <n v="12210.000000000002"/>
  </r>
  <r>
    <s v="OPP-00222"/>
    <d v="2025-12-01T00:00:00"/>
    <x v="152"/>
    <s v="Account 0039"/>
    <s v="E-commerce"/>
    <s v="SMB"/>
    <x v="1"/>
    <x v="11"/>
    <s v="Referral"/>
    <x v="3"/>
    <x v="1"/>
    <s v="Renewal"/>
    <n v="27000"/>
    <n v="5.0999999999999997E-2"/>
    <n v="0.1"/>
    <s v="Pipeline"/>
    <m/>
    <n v="132"/>
    <n v="2135.4899999999998"/>
    <n v="2700"/>
  </r>
  <r>
    <s v="OPP-00223"/>
    <d v="2025-10-24T00:00:00"/>
    <x v="153"/>
    <s v="Account 0352"/>
    <s v="Logistics"/>
    <s v="Mid-Market"/>
    <x v="0"/>
    <x v="7"/>
    <s v="Webinar"/>
    <x v="3"/>
    <x v="2"/>
    <s v="Expansion"/>
    <n v="71600"/>
    <n v="0.19"/>
    <n v="1"/>
    <s v="Closed"/>
    <m/>
    <n v="28"/>
    <n v="4832.96"/>
    <n v="71600"/>
  </r>
  <r>
    <s v="OPP-00224"/>
    <d v="2025-12-28T00:00:00"/>
    <x v="100"/>
    <s v="Account 0495"/>
    <s v="IT Services"/>
    <s v="SMB"/>
    <x v="2"/>
    <x v="8"/>
    <s v="Referral"/>
    <x v="4"/>
    <x v="2"/>
    <s v="Expansion"/>
    <n v="12600"/>
    <n v="0.14099999999999999"/>
    <n v="1"/>
    <s v="Closed"/>
    <m/>
    <n v="100"/>
    <n v="902.31"/>
    <n v="12600"/>
  </r>
  <r>
    <s v="OPP-00225"/>
    <d v="2026-02-19T00:00:00"/>
    <x v="56"/>
    <s v="Account 0608"/>
    <s v="Manufacturing"/>
    <s v="SMB"/>
    <x v="2"/>
    <x v="6"/>
    <s v="Referral"/>
    <x v="1"/>
    <x v="4"/>
    <s v="Expansion"/>
    <n v="25700"/>
    <n v="0.12"/>
    <n v="0.55000000000000004"/>
    <s v="Best Case"/>
    <m/>
    <n v="139"/>
    <n v="1884.98"/>
    <n v="14135.000000000002"/>
  </r>
  <r>
    <s v="OPP-00226"/>
    <d v="2025-12-21T00:00:00"/>
    <x v="77"/>
    <s v="Account 0462"/>
    <s v="EdTech"/>
    <s v="SMB"/>
    <x v="4"/>
    <x v="10"/>
    <s v="Referral"/>
    <x v="3"/>
    <x v="0"/>
    <s v="Renewal"/>
    <n v="6400"/>
    <n v="7.6999999999999999E-2"/>
    <n v="0"/>
    <s v="Closed"/>
    <s v="Budget"/>
    <n v="114"/>
    <n v="492.15"/>
    <n v="0"/>
  </r>
  <r>
    <s v="OPP-00227"/>
    <d v="2026-05-11T00:00:00"/>
    <x v="6"/>
    <s v="Account 0736"/>
    <s v="Logistics"/>
    <s v="Mid-Market"/>
    <x v="1"/>
    <x v="3"/>
    <s v="Product-Led"/>
    <x v="1"/>
    <x v="4"/>
    <s v="Renewal"/>
    <n v="34500"/>
    <n v="0.107"/>
    <n v="0.5"/>
    <s v="Best Case"/>
    <m/>
    <n v="124"/>
    <n v="2567.23"/>
    <n v="17250"/>
  </r>
  <r>
    <s v="OPP-00228"/>
    <d v="2025-11-29T00:00:00"/>
    <x v="154"/>
    <s v="Account 0489"/>
    <s v="Manufacturing"/>
    <s v="Mid-Market"/>
    <x v="0"/>
    <x v="9"/>
    <s v="Outbound"/>
    <x v="1"/>
    <x v="4"/>
    <s v="Expansion"/>
    <n v="90100"/>
    <n v="0.182"/>
    <n v="0.55000000000000004"/>
    <s v="Best Case"/>
    <m/>
    <n v="119"/>
    <n v="6144.88"/>
    <n v="49555.000000000007"/>
  </r>
  <r>
    <s v="OPP-00229"/>
    <d v="2026-02-27T00:00:00"/>
    <x v="143"/>
    <s v="Account 0153"/>
    <s v="IT Services"/>
    <s v="SMB"/>
    <x v="0"/>
    <x v="9"/>
    <s v="Outbound"/>
    <x v="2"/>
    <x v="2"/>
    <s v="Expansion"/>
    <n v="12500"/>
    <n v="0.20499999999999999"/>
    <n v="1"/>
    <s v="Closed"/>
    <m/>
    <n v="30"/>
    <n v="827.78"/>
    <n v="12500"/>
  </r>
  <r>
    <s v="OPP-00230"/>
    <d v="2026-05-07T00:00:00"/>
    <x v="155"/>
    <s v="Account 0001"/>
    <s v="IT Services"/>
    <s v="SMB"/>
    <x v="3"/>
    <x v="9"/>
    <s v="Referral"/>
    <x v="4"/>
    <x v="4"/>
    <s v="Expansion"/>
    <n v="8900"/>
    <n v="3.2000000000000001E-2"/>
    <n v="0.5"/>
    <s v="Best Case"/>
    <m/>
    <n v="137"/>
    <n v="718.05"/>
    <n v="4450"/>
  </r>
  <r>
    <s v="OPP-00231"/>
    <d v="2026-07-28T00:00:00"/>
    <x v="156"/>
    <s v="Account 0048"/>
    <s v="FinTech"/>
    <s v="Mid-Market"/>
    <x v="2"/>
    <x v="11"/>
    <s v="Product-Led"/>
    <x v="2"/>
    <x v="4"/>
    <s v="Expansion"/>
    <n v="47800"/>
    <n v="0.04"/>
    <n v="0.55000000000000004"/>
    <s v="Best Case"/>
    <m/>
    <n v="67"/>
    <n v="3822.05"/>
    <n v="26290.000000000004"/>
  </r>
  <r>
    <s v="OPP-00232"/>
    <d v="2026-01-25T00:00:00"/>
    <x v="140"/>
    <s v="Account 0198"/>
    <s v="FinTech"/>
    <s v="Enterprise"/>
    <x v="3"/>
    <x v="1"/>
    <s v="Product-Led"/>
    <x v="2"/>
    <x v="6"/>
    <s v="Renewal"/>
    <n v="96900"/>
    <n v="0.20799999999999999"/>
    <n v="0.2"/>
    <s v="Pipeline"/>
    <m/>
    <n v="123"/>
    <n v="6393.44"/>
    <n v="19380"/>
  </r>
  <r>
    <s v="OPP-00233"/>
    <d v="2026-05-29T00:00:00"/>
    <x v="6"/>
    <s v="Account 0118"/>
    <s v="IT Services"/>
    <s v="SMB"/>
    <x v="3"/>
    <x v="7"/>
    <s v="Referral"/>
    <x v="4"/>
    <x v="0"/>
    <s v="Expansion"/>
    <n v="24600"/>
    <n v="0.151"/>
    <n v="0"/>
    <s v="Closed"/>
    <s v="No Decision"/>
    <n v="106"/>
    <n v="1739.82"/>
    <n v="0"/>
  </r>
  <r>
    <s v="OPP-00234"/>
    <d v="2026-04-21T00:00:00"/>
    <x v="157"/>
    <s v="Account 0657"/>
    <s v="Manufacturing"/>
    <s v="SMB"/>
    <x v="4"/>
    <x v="3"/>
    <s v="Outbound"/>
    <x v="2"/>
    <x v="0"/>
    <s v="Expansion"/>
    <n v="14600"/>
    <n v="0.129"/>
    <n v="0.05"/>
    <s v="Closed"/>
    <s v="Champion Left"/>
    <n v="131"/>
    <n v="1059.1300000000001"/>
    <n v="730"/>
  </r>
  <r>
    <s v="OPP-00235"/>
    <d v="2025-11-21T00:00:00"/>
    <x v="63"/>
    <s v="Account 0913"/>
    <s v="E-commerce"/>
    <s v="Enterprise"/>
    <x v="1"/>
    <x v="6"/>
    <s v="Partner"/>
    <x v="3"/>
    <x v="1"/>
    <s v="Renewal"/>
    <n v="110000"/>
    <n v="8.2000000000000003E-2"/>
    <n v="0.15"/>
    <s v="Pipeline"/>
    <m/>
    <n v="91"/>
    <n v="8416.0300000000007"/>
    <n v="16500"/>
  </r>
  <r>
    <s v="OPP-00236"/>
    <d v="2025-10-16T00:00:00"/>
    <x v="158"/>
    <s v="Account 0103"/>
    <s v="FinTech"/>
    <s v="SMB"/>
    <x v="4"/>
    <x v="4"/>
    <s v="Outbound"/>
    <x v="0"/>
    <x v="0"/>
    <s v="New Business"/>
    <n v="11000"/>
    <n v="0.13100000000000001"/>
    <n v="0"/>
    <s v="Closed"/>
    <s v="Timing"/>
    <n v="111"/>
    <n v="796.57"/>
    <n v="0"/>
  </r>
  <r>
    <s v="OPP-00237"/>
    <d v="2026-06-24T00:00:00"/>
    <x v="159"/>
    <s v="Account 0355"/>
    <s v="Logistics"/>
    <s v="Mid-Market"/>
    <x v="3"/>
    <x v="5"/>
    <s v="Referral"/>
    <x v="0"/>
    <x v="0"/>
    <s v="Renewal"/>
    <n v="53000"/>
    <n v="7.6999999999999999E-2"/>
    <n v="0"/>
    <s v="Closed"/>
    <s v="Budget"/>
    <n v="77"/>
    <n v="4077.4"/>
    <n v="0"/>
  </r>
  <r>
    <s v="OPP-00238"/>
    <d v="2026-05-13T00:00:00"/>
    <x v="6"/>
    <s v="Account 0590"/>
    <s v="EdTech"/>
    <s v="SMB"/>
    <x v="3"/>
    <x v="0"/>
    <s v="Webinar"/>
    <x v="3"/>
    <x v="2"/>
    <s v="Expansion"/>
    <n v="18600"/>
    <n v="0.192"/>
    <n v="1"/>
    <s v="Closed"/>
    <m/>
    <n v="122"/>
    <n v="1251.9000000000001"/>
    <n v="18600"/>
  </r>
  <r>
    <s v="OPP-00239"/>
    <d v="2025-10-16T00:00:00"/>
    <x v="7"/>
    <s v="Account 0326"/>
    <s v="Manufacturing"/>
    <s v="SMB"/>
    <x v="0"/>
    <x v="11"/>
    <s v="Inbound"/>
    <x v="3"/>
    <x v="2"/>
    <s v="Expansion"/>
    <n v="7100"/>
    <n v="6.0999999999999999E-2"/>
    <n v="0.95"/>
    <s v="Closed"/>
    <m/>
    <n v="106"/>
    <n v="555.42999999999995"/>
    <n v="6745"/>
  </r>
  <r>
    <s v="OPP-00240"/>
    <d v="2026-04-16T00:00:00"/>
    <x v="53"/>
    <s v="Account 0392"/>
    <s v="Healthcare"/>
    <s v="Mid-Market"/>
    <x v="4"/>
    <x v="2"/>
    <s v="Partner"/>
    <x v="0"/>
    <x v="0"/>
    <s v="Renewal"/>
    <n v="58400"/>
    <n v="0"/>
    <n v="0"/>
    <s v="Closed"/>
    <s v="Security Review"/>
    <n v="139"/>
    <n v="4866.67"/>
    <n v="0"/>
  </r>
  <r>
    <s v="OPP-00241"/>
    <d v="2025-10-20T00:00:00"/>
    <x v="94"/>
    <s v="Account 0621"/>
    <s v="FinTech"/>
    <s v="Mid-Market"/>
    <x v="4"/>
    <x v="10"/>
    <s v="Product-Led"/>
    <x v="2"/>
    <x v="2"/>
    <s v="Expansion"/>
    <n v="64800"/>
    <n v="5.8999999999999997E-2"/>
    <n v="0.95"/>
    <s v="Closed"/>
    <m/>
    <n v="130"/>
    <n v="5080.33"/>
    <n v="61560"/>
  </r>
  <r>
    <s v="OPP-00242"/>
    <d v="2026-02-13T00:00:00"/>
    <x v="160"/>
    <s v="Account 0437"/>
    <s v="SaaS"/>
    <s v="Mid-Market"/>
    <x v="0"/>
    <x v="9"/>
    <s v="Outbound"/>
    <x v="3"/>
    <x v="5"/>
    <s v="Renewal"/>
    <n v="51500"/>
    <n v="0.16500000000000001"/>
    <n v="0.35"/>
    <s v="Pipeline"/>
    <m/>
    <n v="73"/>
    <n v="3583.47"/>
    <n v="18025"/>
  </r>
  <r>
    <s v="OPP-00243"/>
    <d v="2025-10-29T00:00:00"/>
    <x v="63"/>
    <s v="Account 0139"/>
    <s v="SaaS"/>
    <s v="Mid-Market"/>
    <x v="1"/>
    <x v="2"/>
    <s v="Webinar"/>
    <x v="3"/>
    <x v="0"/>
    <s v="Renewal"/>
    <n v="78600"/>
    <n v="0.13"/>
    <n v="0"/>
    <s v="Closed"/>
    <s v="Poor Fit"/>
    <n v="114"/>
    <n v="5698.56"/>
    <n v="0"/>
  </r>
  <r>
    <s v="OPP-00244"/>
    <d v="2025-10-26T00:00:00"/>
    <x v="161"/>
    <s v="Account 0289"/>
    <s v="E-commerce"/>
    <s v="SMB"/>
    <x v="2"/>
    <x v="6"/>
    <s v="Referral"/>
    <x v="4"/>
    <x v="6"/>
    <s v="New Business"/>
    <n v="18000"/>
    <n v="0.13900000000000001"/>
    <n v="0.2"/>
    <s v="Pipeline"/>
    <m/>
    <n v="35"/>
    <n v="1291.3800000000001"/>
    <n v="3600"/>
  </r>
  <r>
    <s v="OPP-00245"/>
    <d v="2025-11-11T00:00:00"/>
    <x v="162"/>
    <s v="Account 0153"/>
    <s v="SaaS"/>
    <s v="SMB"/>
    <x v="2"/>
    <x v="7"/>
    <s v="Outbound"/>
    <x v="1"/>
    <x v="2"/>
    <s v="Renewal"/>
    <n v="11400"/>
    <n v="0"/>
    <n v="1"/>
    <s v="Closed"/>
    <m/>
    <n v="41"/>
    <n v="950"/>
    <n v="11400"/>
  </r>
  <r>
    <s v="OPP-00246"/>
    <d v="2025-10-03T00:00:00"/>
    <x v="144"/>
    <s v="Account 0438"/>
    <s v="IT Services"/>
    <s v="Mid-Market"/>
    <x v="0"/>
    <x v="5"/>
    <s v="Webinar"/>
    <x v="3"/>
    <x v="0"/>
    <s v="Expansion"/>
    <n v="39100"/>
    <n v="0.16300000000000001"/>
    <n v="0"/>
    <s v="Closed"/>
    <s v="Champion Left"/>
    <n v="81"/>
    <n v="2728.36"/>
    <n v="0"/>
  </r>
  <r>
    <s v="OPP-00247"/>
    <d v="2026-02-13T00:00:00"/>
    <x v="36"/>
    <s v="Account 0573"/>
    <s v="FinTech"/>
    <s v="SMB"/>
    <x v="0"/>
    <x v="9"/>
    <s v="Outbound"/>
    <x v="0"/>
    <x v="6"/>
    <s v="New Business"/>
    <n v="21000"/>
    <n v="0.161"/>
    <n v="0.2"/>
    <s v="Pipeline"/>
    <m/>
    <n v="129"/>
    <n v="1468.09"/>
    <n v="4200"/>
  </r>
  <r>
    <s v="OPP-00248"/>
    <d v="2026-07-11T00:00:00"/>
    <x v="6"/>
    <s v="Account 0658"/>
    <s v="E-commerce"/>
    <s v="SMB"/>
    <x v="0"/>
    <x v="4"/>
    <s v="Outbound"/>
    <x v="0"/>
    <x v="0"/>
    <s v="Expansion"/>
    <n v="6300"/>
    <n v="9.8000000000000004E-2"/>
    <n v="0"/>
    <s v="Closed"/>
    <s v="Competitor"/>
    <n v="63"/>
    <n v="473.3"/>
    <n v="0"/>
  </r>
  <r>
    <s v="OPP-00249"/>
    <d v="2025-12-26T00:00:00"/>
    <x v="163"/>
    <s v="Account 0759"/>
    <s v="Manufacturing"/>
    <s v="SMB"/>
    <x v="3"/>
    <x v="7"/>
    <s v="Product-Led"/>
    <x v="4"/>
    <x v="4"/>
    <s v="Expansion"/>
    <n v="13300"/>
    <n v="6.0999999999999999E-2"/>
    <n v="0.6"/>
    <s v="Best Case"/>
    <m/>
    <n v="104"/>
    <n v="1041.06"/>
    <n v="7980"/>
  </r>
  <r>
    <s v="OPP-00250"/>
    <d v="2026-01-20T00:00:00"/>
    <x v="164"/>
    <s v="Account 0537"/>
    <s v="Manufacturing"/>
    <s v="Mid-Market"/>
    <x v="2"/>
    <x v="6"/>
    <s v="Product-Led"/>
    <x v="1"/>
    <x v="6"/>
    <s v="Renewal"/>
    <n v="62600"/>
    <n v="0.20699999999999999"/>
    <n v="0.2"/>
    <s v="Pipeline"/>
    <m/>
    <n v="69"/>
    <n v="4134.99"/>
    <n v="12520"/>
  </r>
  <r>
    <s v="OPP-00251"/>
    <d v="2025-11-07T00:00:00"/>
    <x v="165"/>
    <s v="Account 0546"/>
    <s v="E-commerce"/>
    <s v="Enterprise"/>
    <x v="3"/>
    <x v="6"/>
    <s v="Inbound"/>
    <x v="0"/>
    <x v="5"/>
    <s v="New Business"/>
    <n v="316000"/>
    <n v="0.17499999999999999"/>
    <n v="0.35"/>
    <s v="Pipeline"/>
    <m/>
    <n v="86"/>
    <n v="21731.74"/>
    <n v="110600"/>
  </r>
  <r>
    <s v="OPP-00252"/>
    <d v="2025-12-25T00:00:00"/>
    <x v="22"/>
    <s v="Account 0126"/>
    <s v="Manufacturing"/>
    <s v="Mid-Market"/>
    <x v="2"/>
    <x v="3"/>
    <s v="Product-Led"/>
    <x v="3"/>
    <x v="1"/>
    <s v="New Business"/>
    <n v="50900"/>
    <n v="0.14499999999999999"/>
    <n v="0.1"/>
    <s v="Pipeline"/>
    <m/>
    <n v="34"/>
    <n v="3627.64"/>
    <n v="5090"/>
  </r>
  <r>
    <s v="OPP-00253"/>
    <d v="2025-12-04T00:00:00"/>
    <x v="166"/>
    <s v="Account 0286"/>
    <s v="Logistics"/>
    <s v="SMB"/>
    <x v="4"/>
    <x v="7"/>
    <s v="Inbound"/>
    <x v="2"/>
    <x v="1"/>
    <s v="Renewal"/>
    <n v="16200"/>
    <n v="0.11"/>
    <n v="0.15"/>
    <s v="Pipeline"/>
    <m/>
    <n v="106"/>
    <n v="1201.83"/>
    <n v="2430"/>
  </r>
  <r>
    <s v="OPP-00254"/>
    <d v="2026-08-23T00:00:00"/>
    <x v="6"/>
    <s v="Account 0750"/>
    <s v="Logistics"/>
    <s v="SMB"/>
    <x v="2"/>
    <x v="0"/>
    <s v="Outbound"/>
    <x v="1"/>
    <x v="2"/>
    <s v="Renewal"/>
    <n v="25000"/>
    <n v="0"/>
    <n v="1"/>
    <s v="Closed"/>
    <m/>
    <n v="20"/>
    <n v="2083.33"/>
    <n v="25000"/>
  </r>
  <r>
    <s v="OPP-00255"/>
    <d v="2025-12-04T00:00:00"/>
    <x v="167"/>
    <s v="Account 0685"/>
    <s v="E-commerce"/>
    <s v="Enterprise"/>
    <x v="4"/>
    <x v="8"/>
    <s v="Outbound"/>
    <x v="0"/>
    <x v="6"/>
    <s v="Renewal"/>
    <n v="172900"/>
    <n v="4.5999999999999999E-2"/>
    <n v="0.2"/>
    <s v="Pipeline"/>
    <m/>
    <n v="118"/>
    <n v="13740.82"/>
    <n v="34580"/>
  </r>
  <r>
    <s v="OPP-00256"/>
    <d v="2026-08-31T00:00:00"/>
    <x v="155"/>
    <s v="Account 0011"/>
    <s v="SaaS"/>
    <s v="Mid-Market"/>
    <x v="3"/>
    <x v="4"/>
    <s v="Referral"/>
    <x v="2"/>
    <x v="4"/>
    <s v="Renewal"/>
    <n v="49600"/>
    <n v="0.17199999999999999"/>
    <n v="0.6"/>
    <s v="Best Case"/>
    <m/>
    <n v="21"/>
    <n v="3424.27"/>
    <n v="29760"/>
  </r>
  <r>
    <s v="OPP-00257"/>
    <d v="2026-04-22T00:00:00"/>
    <x v="50"/>
    <s v="Account 0052"/>
    <s v="Logistics"/>
    <s v="Enterprise"/>
    <x v="2"/>
    <x v="5"/>
    <s v="Webinar"/>
    <x v="4"/>
    <x v="2"/>
    <s v="Renewal"/>
    <n v="144300"/>
    <n v="0.1"/>
    <n v="1"/>
    <s v="Closed"/>
    <m/>
    <n v="134"/>
    <n v="10818.9"/>
    <n v="144300"/>
  </r>
  <r>
    <s v="OPP-00258"/>
    <d v="2026-03-22T00:00:00"/>
    <x v="168"/>
    <s v="Account 0522"/>
    <s v="Healthcare"/>
    <s v="Enterprise"/>
    <x v="3"/>
    <x v="0"/>
    <s v="Inbound"/>
    <x v="0"/>
    <x v="0"/>
    <s v="Renewal"/>
    <n v="179600"/>
    <n v="0.188"/>
    <n v="0"/>
    <s v="Closed"/>
    <s v="No Decision"/>
    <n v="43"/>
    <n v="12157.18"/>
    <n v="0"/>
  </r>
  <r>
    <s v="OPP-00259"/>
    <d v="2025-12-14T00:00:00"/>
    <x v="130"/>
    <s v="Account 0705"/>
    <s v="E-commerce"/>
    <s v="Mid-Market"/>
    <x v="0"/>
    <x v="11"/>
    <s v="Inbound"/>
    <x v="0"/>
    <x v="0"/>
    <s v="Renewal"/>
    <n v="67300"/>
    <n v="0.14299999999999999"/>
    <n v="0"/>
    <s v="Closed"/>
    <s v="Budget"/>
    <n v="168"/>
    <n v="4809.08"/>
    <n v="0"/>
  </r>
  <r>
    <s v="OPP-00260"/>
    <d v="2026-08-05T00:00:00"/>
    <x v="169"/>
    <s v="Account 0150"/>
    <s v="Manufacturing"/>
    <s v="SMB"/>
    <x v="3"/>
    <x v="1"/>
    <s v="Product-Led"/>
    <x v="2"/>
    <x v="6"/>
    <s v="New Business"/>
    <n v="11600"/>
    <n v="7.9000000000000001E-2"/>
    <n v="0.2"/>
    <s v="Pipeline"/>
    <m/>
    <n v="61"/>
    <n v="890.36"/>
    <n v="2320"/>
  </r>
  <r>
    <s v="OPP-00261"/>
    <d v="2026-01-25T00:00:00"/>
    <x v="170"/>
    <s v="Account 0549"/>
    <s v="IT Services"/>
    <s v="SMB"/>
    <x v="2"/>
    <x v="3"/>
    <s v="Product-Led"/>
    <x v="4"/>
    <x v="3"/>
    <s v="New Business"/>
    <n v="23600"/>
    <n v="0.16300000000000001"/>
    <n v="0.75"/>
    <s v="Commit"/>
    <m/>
    <n v="69"/>
    <n v="1645.65"/>
    <n v="17700"/>
  </r>
  <r>
    <s v="OPP-00262"/>
    <d v="2026-01-07T00:00:00"/>
    <x v="171"/>
    <s v="Account 0858"/>
    <s v="SaaS"/>
    <s v="SMB"/>
    <x v="3"/>
    <x v="8"/>
    <s v="Outbound"/>
    <x v="4"/>
    <x v="3"/>
    <s v="New Business"/>
    <n v="16600"/>
    <n v="5.3999999999999999E-2"/>
    <n v="0.75"/>
    <s v="Commit"/>
    <m/>
    <n v="94"/>
    <n v="1308.31"/>
    <n v="12450"/>
  </r>
  <r>
    <s v="OPP-00263"/>
    <d v="2026-07-27T00:00:00"/>
    <x v="172"/>
    <s v="Account 0073"/>
    <s v="Healthcare"/>
    <s v="SMB"/>
    <x v="1"/>
    <x v="7"/>
    <s v="Inbound"/>
    <x v="2"/>
    <x v="0"/>
    <s v="Renewal"/>
    <n v="20700"/>
    <n v="0.126"/>
    <n v="0"/>
    <s v="Closed"/>
    <s v="Champion Left"/>
    <n v="27"/>
    <n v="1507.58"/>
    <n v="0"/>
  </r>
  <r>
    <s v="OPP-00264"/>
    <d v="2025-10-03T00:00:00"/>
    <x v="173"/>
    <s v="Account 0653"/>
    <s v="Healthcare"/>
    <s v="SMB"/>
    <x v="4"/>
    <x v="10"/>
    <s v="Product-Led"/>
    <x v="2"/>
    <x v="3"/>
    <s v="New Business"/>
    <n v="25300"/>
    <n v="0.16200000000000001"/>
    <n v="0.75"/>
    <s v="Commit"/>
    <m/>
    <n v="39"/>
    <n v="1766.07"/>
    <n v="18975"/>
  </r>
  <r>
    <s v="OPP-00265"/>
    <d v="2025-12-06T00:00:00"/>
    <x v="174"/>
    <s v="Account 0091"/>
    <s v="EdTech"/>
    <s v="SMB"/>
    <x v="3"/>
    <x v="0"/>
    <s v="Product-Led"/>
    <x v="2"/>
    <x v="5"/>
    <s v="New Business"/>
    <n v="28000"/>
    <n v="0.248"/>
    <n v="0.35"/>
    <s v="Pipeline"/>
    <m/>
    <n v="102"/>
    <n v="1754.39"/>
    <n v="9800"/>
  </r>
  <r>
    <s v="OPP-00266"/>
    <d v="2026-04-14T00:00:00"/>
    <x v="175"/>
    <s v="Account 0283"/>
    <s v="E-commerce"/>
    <s v="SMB"/>
    <x v="4"/>
    <x v="2"/>
    <s v="Inbound"/>
    <x v="3"/>
    <x v="6"/>
    <s v="New Business"/>
    <n v="14200"/>
    <n v="2.9000000000000001E-2"/>
    <n v="0.25"/>
    <s v="Pipeline"/>
    <m/>
    <n v="89"/>
    <n v="1149.03"/>
    <n v="3550"/>
  </r>
  <r>
    <s v="OPP-00267"/>
    <d v="2025-10-25T00:00:00"/>
    <x v="26"/>
    <s v="Account 0391"/>
    <s v="Logistics"/>
    <s v="SMB"/>
    <x v="1"/>
    <x v="3"/>
    <s v="Webinar"/>
    <x v="0"/>
    <x v="3"/>
    <s v="Expansion"/>
    <n v="12500"/>
    <n v="0.24"/>
    <n v="0.7"/>
    <s v="Commit"/>
    <m/>
    <n v="72"/>
    <n v="791.95"/>
    <n v="8750"/>
  </r>
  <r>
    <s v="OPP-00268"/>
    <d v="2026-03-31T00:00:00"/>
    <x v="125"/>
    <s v="Account 0821"/>
    <s v="FinTech"/>
    <s v="Mid-Market"/>
    <x v="0"/>
    <x v="9"/>
    <s v="Product-Led"/>
    <x v="2"/>
    <x v="1"/>
    <s v="Renewal"/>
    <n v="55700"/>
    <n v="0.126"/>
    <n v="0.1"/>
    <s v="Pipeline"/>
    <m/>
    <n v="138"/>
    <n v="4055.51"/>
    <n v="5570"/>
  </r>
  <r>
    <s v="OPP-00269"/>
    <d v="2026-09-08T00:00:00"/>
    <x v="16"/>
    <s v="Account 0161"/>
    <s v="E-commerce"/>
    <s v="SMB"/>
    <x v="2"/>
    <x v="7"/>
    <s v="Inbound"/>
    <x v="3"/>
    <x v="6"/>
    <s v="New Business"/>
    <n v="26700"/>
    <n v="0.19"/>
    <n v="0.2"/>
    <s v="Pipeline"/>
    <m/>
    <n v="44"/>
    <n v="1802.13"/>
    <n v="5340"/>
  </r>
  <r>
    <s v="OPP-00270"/>
    <d v="2025-10-21T00:00:00"/>
    <x v="176"/>
    <s v="Account 0666"/>
    <s v="EdTech"/>
    <s v="Mid-Market"/>
    <x v="0"/>
    <x v="0"/>
    <s v="Inbound"/>
    <x v="0"/>
    <x v="6"/>
    <s v="New Business"/>
    <n v="83300"/>
    <n v="4.9000000000000002E-2"/>
    <n v="0.15"/>
    <s v="Pipeline"/>
    <m/>
    <n v="57"/>
    <n v="6600.29"/>
    <n v="12495"/>
  </r>
  <r>
    <s v="OPP-00271"/>
    <d v="2025-12-30T00:00:00"/>
    <x v="177"/>
    <s v="Account 0323"/>
    <s v="FinTech"/>
    <s v="SMB"/>
    <x v="4"/>
    <x v="10"/>
    <s v="Referral"/>
    <x v="1"/>
    <x v="1"/>
    <s v="Expansion"/>
    <n v="11100"/>
    <n v="8.1000000000000003E-2"/>
    <n v="0.1"/>
    <s v="Pipeline"/>
    <m/>
    <n v="136"/>
    <n v="849.83"/>
    <n v="1110"/>
  </r>
  <r>
    <s v="OPP-00272"/>
    <d v="2026-03-18T00:00:00"/>
    <x v="178"/>
    <s v="Account 0713"/>
    <s v="IT Services"/>
    <s v="SMB"/>
    <x v="1"/>
    <x v="2"/>
    <s v="Inbound"/>
    <x v="2"/>
    <x v="3"/>
    <s v="Renewal"/>
    <n v="24700"/>
    <n v="0.26500000000000001"/>
    <n v="0.75"/>
    <s v="Commit"/>
    <m/>
    <n v="33"/>
    <n v="1513.66"/>
    <n v="18525"/>
  </r>
  <r>
    <s v="OPP-00273"/>
    <d v="2026-09-11T00:00:00"/>
    <x v="179"/>
    <s v="Account 0096"/>
    <s v="SaaS"/>
    <s v="Enterprise"/>
    <x v="4"/>
    <x v="6"/>
    <s v="Product-Led"/>
    <x v="0"/>
    <x v="1"/>
    <s v="Renewal"/>
    <n v="153300"/>
    <n v="3.4000000000000002E-2"/>
    <n v="0.1"/>
    <s v="Pipeline"/>
    <m/>
    <n v="8"/>
    <n v="12344.37"/>
    <n v="15330"/>
  </r>
  <r>
    <s v="OPP-00274"/>
    <d v="2026-05-28T00:00:00"/>
    <x v="6"/>
    <s v="Account 0198"/>
    <s v="E-commerce"/>
    <s v="SMB"/>
    <x v="1"/>
    <x v="7"/>
    <s v="Webinar"/>
    <x v="4"/>
    <x v="0"/>
    <s v="New Business"/>
    <n v="22500"/>
    <n v="0.158"/>
    <n v="0.05"/>
    <s v="Closed"/>
    <s v="Budget"/>
    <n v="107"/>
    <n v="1579.23"/>
    <n v="1125"/>
  </r>
  <r>
    <s v="OPP-00275"/>
    <d v="2026-04-28T00:00:00"/>
    <x v="51"/>
    <s v="Account 0815"/>
    <s v="Manufacturing"/>
    <s v="Mid-Market"/>
    <x v="0"/>
    <x v="4"/>
    <s v="Partner"/>
    <x v="1"/>
    <x v="4"/>
    <s v="Expansion"/>
    <n v="34600"/>
    <n v="0"/>
    <n v="0.55000000000000004"/>
    <s v="Best Case"/>
    <m/>
    <n v="123"/>
    <n v="2883.33"/>
    <n v="19030"/>
  </r>
  <r>
    <s v="OPP-00276"/>
    <d v="2026-01-26T00:00:00"/>
    <x v="180"/>
    <s v="Account 0592"/>
    <s v="Manufacturing"/>
    <s v="Mid-Market"/>
    <x v="2"/>
    <x v="8"/>
    <s v="Referral"/>
    <x v="4"/>
    <x v="6"/>
    <s v="New Business"/>
    <n v="40000"/>
    <n v="0.129"/>
    <n v="0.15"/>
    <s v="Pipeline"/>
    <m/>
    <n v="64"/>
    <n v="2903.87"/>
    <n v="6000"/>
  </r>
  <r>
    <s v="OPP-00277"/>
    <d v="2026-07-11T00:00:00"/>
    <x v="125"/>
    <s v="Account 0559"/>
    <s v="Logistics"/>
    <s v="SMB"/>
    <x v="3"/>
    <x v="0"/>
    <s v="Webinar"/>
    <x v="1"/>
    <x v="3"/>
    <s v="Expansion"/>
    <n v="27600"/>
    <n v="0.16200000000000001"/>
    <n v="0.75"/>
    <s v="Commit"/>
    <m/>
    <n v="36"/>
    <n v="1928.41"/>
    <n v="20700"/>
  </r>
  <r>
    <s v="OPP-00278"/>
    <d v="2025-12-30T00:00:00"/>
    <x v="181"/>
    <s v="Account 0197"/>
    <s v="FinTech"/>
    <s v="Mid-Market"/>
    <x v="3"/>
    <x v="4"/>
    <s v="Webinar"/>
    <x v="0"/>
    <x v="2"/>
    <s v="Expansion"/>
    <n v="95900"/>
    <n v="0.113"/>
    <n v="1"/>
    <s v="Closed"/>
    <m/>
    <n v="16"/>
    <n v="7088.08"/>
    <n v="95900"/>
  </r>
  <r>
    <s v="OPP-00279"/>
    <d v="2026-07-28T00:00:00"/>
    <x v="81"/>
    <s v="Account 0072"/>
    <s v="SaaS"/>
    <s v="Enterprise"/>
    <x v="4"/>
    <x v="5"/>
    <s v="Partner"/>
    <x v="2"/>
    <x v="4"/>
    <s v="Renewal"/>
    <n v="233400"/>
    <n v="7.0000000000000007E-2"/>
    <n v="0.55000000000000004"/>
    <s v="Best Case"/>
    <m/>
    <n v="75"/>
    <n v="18097.89"/>
    <n v="128370.00000000001"/>
  </r>
  <r>
    <s v="OPP-00280"/>
    <d v="2026-07-21T00:00:00"/>
    <x v="115"/>
    <s v="Account 0916"/>
    <s v="EdTech"/>
    <s v="SMB"/>
    <x v="0"/>
    <x v="9"/>
    <s v="Partner"/>
    <x v="0"/>
    <x v="1"/>
    <s v="New Business"/>
    <n v="22700"/>
    <n v="6.5000000000000002E-2"/>
    <n v="0.05"/>
    <s v="Pipeline"/>
    <m/>
    <n v="46"/>
    <n v="1769.06"/>
    <n v="1135"/>
  </r>
  <r>
    <s v="OPP-00281"/>
    <d v="2025-12-18T00:00:00"/>
    <x v="168"/>
    <s v="Account 0806"/>
    <s v="E-commerce"/>
    <s v="SMB"/>
    <x v="0"/>
    <x v="8"/>
    <s v="Referral"/>
    <x v="4"/>
    <x v="1"/>
    <s v="Renewal"/>
    <n v="27900"/>
    <n v="6.3E-2"/>
    <n v="0.05"/>
    <s v="Pipeline"/>
    <m/>
    <n v="137"/>
    <n v="2179.5"/>
    <n v="1395"/>
  </r>
  <r>
    <s v="OPP-00282"/>
    <d v="2025-12-05T00:00:00"/>
    <x v="94"/>
    <s v="Account 0114"/>
    <s v="Healthcare"/>
    <s v="Enterprise"/>
    <x v="1"/>
    <x v="6"/>
    <s v="Webinar"/>
    <x v="0"/>
    <x v="6"/>
    <s v="New Business"/>
    <n v="128300"/>
    <n v="0.05"/>
    <n v="0.2"/>
    <s v="Pipeline"/>
    <m/>
    <n v="84"/>
    <n v="10153.74"/>
    <n v="25660"/>
  </r>
  <r>
    <s v="OPP-00283"/>
    <d v="2026-03-27T00:00:00"/>
    <x v="182"/>
    <s v="Account 0647"/>
    <s v="Healthcare"/>
    <s v="SMB"/>
    <x v="0"/>
    <x v="10"/>
    <s v="Product-Led"/>
    <x v="4"/>
    <x v="4"/>
    <s v="Renewal"/>
    <n v="24300"/>
    <n v="7.3999999999999996E-2"/>
    <n v="0.55000000000000004"/>
    <s v="Best Case"/>
    <m/>
    <n v="130"/>
    <n v="1875.23"/>
    <n v="13365.000000000002"/>
  </r>
  <r>
    <s v="OPP-00284"/>
    <d v="2026-07-06T00:00:00"/>
    <x v="183"/>
    <s v="Account 0743"/>
    <s v="FinTech"/>
    <s v="SMB"/>
    <x v="0"/>
    <x v="7"/>
    <s v="Webinar"/>
    <x v="2"/>
    <x v="4"/>
    <s v="New Business"/>
    <n v="20300"/>
    <n v="3.3000000000000002E-2"/>
    <n v="0.55000000000000004"/>
    <s v="Best Case"/>
    <m/>
    <n v="38"/>
    <n v="1636.43"/>
    <n v="11165"/>
  </r>
  <r>
    <s v="OPP-00285"/>
    <d v="2026-06-14T00:00:00"/>
    <x v="184"/>
    <s v="Account 0479"/>
    <s v="E-commerce"/>
    <s v="SMB"/>
    <x v="3"/>
    <x v="2"/>
    <s v="Referral"/>
    <x v="2"/>
    <x v="0"/>
    <s v="Expansion"/>
    <n v="13200"/>
    <n v="0.20599999999999999"/>
    <n v="0"/>
    <s v="Closed"/>
    <s v="Budget"/>
    <n v="61"/>
    <n v="872.9"/>
    <n v="0"/>
  </r>
  <r>
    <s v="OPP-00286"/>
    <d v="2025-12-17T00:00:00"/>
    <x v="116"/>
    <s v="Account 0422"/>
    <s v="Logistics"/>
    <s v="Enterprise"/>
    <x v="4"/>
    <x v="6"/>
    <s v="Referral"/>
    <x v="3"/>
    <x v="3"/>
    <s v="New Business"/>
    <n v="321300"/>
    <n v="0.151"/>
    <n v="0.75"/>
    <s v="Commit"/>
    <m/>
    <n v="30"/>
    <n v="22740.05"/>
    <n v="240975"/>
  </r>
  <r>
    <s v="OPP-00287"/>
    <d v="2026-09-06T00:00:00"/>
    <x v="185"/>
    <s v="Account 0640"/>
    <s v="EdTech"/>
    <s v="SMB"/>
    <x v="0"/>
    <x v="10"/>
    <s v="Partner"/>
    <x v="4"/>
    <x v="1"/>
    <s v="Renewal"/>
    <n v="10200"/>
    <n v="4.5999999999999999E-2"/>
    <n v="0.1"/>
    <s v="Pipeline"/>
    <m/>
    <n v="44"/>
    <n v="810.63"/>
    <n v="1020"/>
  </r>
  <r>
    <s v="OPP-00288"/>
    <d v="2025-12-23T00:00:00"/>
    <x v="186"/>
    <s v="Account 0317"/>
    <s v="FinTech"/>
    <s v="SMB"/>
    <x v="2"/>
    <x v="2"/>
    <s v="Inbound"/>
    <x v="0"/>
    <x v="2"/>
    <s v="New Business"/>
    <n v="19700"/>
    <n v="0.14899999999999999"/>
    <n v="1"/>
    <s v="Closed"/>
    <m/>
    <n v="113"/>
    <n v="1397.63"/>
    <n v="19700"/>
  </r>
  <r>
    <s v="OPP-00289"/>
    <d v="2026-01-02T00:00:00"/>
    <x v="174"/>
    <s v="Account 0413"/>
    <s v="SaaS"/>
    <s v="SMB"/>
    <x v="3"/>
    <x v="10"/>
    <s v="Partner"/>
    <x v="0"/>
    <x v="4"/>
    <s v="Renewal"/>
    <n v="11000"/>
    <n v="0.112"/>
    <n v="0.55000000000000004"/>
    <s v="Best Case"/>
    <m/>
    <n v="75"/>
    <n v="814.28"/>
    <n v="6050.0000000000009"/>
  </r>
  <r>
    <s v="OPP-00290"/>
    <d v="2026-09-05T00:00:00"/>
    <x v="187"/>
    <s v="Account 0154"/>
    <s v="Logistics"/>
    <s v="Enterprise"/>
    <x v="0"/>
    <x v="1"/>
    <s v="Partner"/>
    <x v="2"/>
    <x v="4"/>
    <s v="Expansion"/>
    <n v="314100"/>
    <n v="0.10299999999999999"/>
    <n v="0.5"/>
    <s v="Best Case"/>
    <m/>
    <n v="50"/>
    <n v="23479.25"/>
    <n v="157050"/>
  </r>
  <r>
    <s v="OPP-00291"/>
    <d v="2026-05-13T00:00:00"/>
    <x v="188"/>
    <s v="Account 0787"/>
    <s v="Logistics"/>
    <s v="Enterprise"/>
    <x v="3"/>
    <x v="5"/>
    <s v="Webinar"/>
    <x v="4"/>
    <x v="1"/>
    <s v="New Business"/>
    <n v="237000"/>
    <n v="0.17499999999999999"/>
    <n v="0.15"/>
    <s v="Pipeline"/>
    <m/>
    <n v="97"/>
    <n v="16294.12"/>
    <n v="35550"/>
  </r>
  <r>
    <s v="OPP-00292"/>
    <d v="2025-12-05T00:00:00"/>
    <x v="189"/>
    <s v="Account 0660"/>
    <s v="FinTech"/>
    <s v="SMB"/>
    <x v="4"/>
    <x v="1"/>
    <s v="Webinar"/>
    <x v="3"/>
    <x v="2"/>
    <s v="Renewal"/>
    <n v="23500"/>
    <n v="0.05"/>
    <n v="1"/>
    <s v="Closed"/>
    <m/>
    <n v="88"/>
    <n v="1861.09"/>
    <n v="23500"/>
  </r>
  <r>
    <s v="OPP-00293"/>
    <d v="2026-06-28T00:00:00"/>
    <x v="108"/>
    <s v="Account 0509"/>
    <s v="EdTech"/>
    <s v="SMB"/>
    <x v="3"/>
    <x v="1"/>
    <s v="Inbound"/>
    <x v="0"/>
    <x v="5"/>
    <s v="Renewal"/>
    <n v="11400"/>
    <n v="1.2999999999999999E-2"/>
    <n v="0.35"/>
    <s v="Pipeline"/>
    <m/>
    <n v="34"/>
    <n v="937.75"/>
    <n v="3989.9999999999995"/>
  </r>
  <r>
    <s v="OPP-00294"/>
    <d v="2026-02-05T00:00:00"/>
    <x v="84"/>
    <s v="Account 0351"/>
    <s v="Logistics"/>
    <s v="Mid-Market"/>
    <x v="4"/>
    <x v="9"/>
    <s v="Inbound"/>
    <x v="3"/>
    <x v="2"/>
    <s v="Expansion"/>
    <n v="46800"/>
    <n v="5.8999999999999997E-2"/>
    <n v="1"/>
    <s v="Closed"/>
    <m/>
    <n v="34"/>
    <n v="3669.49"/>
    <n v="46800"/>
  </r>
  <r>
    <s v="OPP-00295"/>
    <d v="2026-04-02T00:00:00"/>
    <x v="114"/>
    <s v="Account 0002"/>
    <s v="FinTech"/>
    <s v="SMB"/>
    <x v="4"/>
    <x v="7"/>
    <s v="Partner"/>
    <x v="1"/>
    <x v="6"/>
    <s v="Renewal"/>
    <n v="28200"/>
    <n v="0.216"/>
    <n v="0.2"/>
    <s v="Pipeline"/>
    <m/>
    <n v="141"/>
    <n v="1842.67"/>
    <n v="5640"/>
  </r>
  <r>
    <s v="OPP-00296"/>
    <d v="2026-01-21T00:00:00"/>
    <x v="34"/>
    <s v="Account 0194"/>
    <s v="Healthcare"/>
    <s v="Enterprise"/>
    <x v="4"/>
    <x v="6"/>
    <s v="Product-Led"/>
    <x v="1"/>
    <x v="2"/>
    <s v="Renewal"/>
    <n v="292400"/>
    <n v="0"/>
    <n v="1"/>
    <s v="Closed"/>
    <m/>
    <n v="165"/>
    <n v="24366.67"/>
    <n v="292400"/>
  </r>
  <r>
    <s v="OPP-00297"/>
    <d v="2025-12-06T00:00:00"/>
    <x v="24"/>
    <s v="Account 0887"/>
    <s v="FinTech"/>
    <s v="SMB"/>
    <x v="2"/>
    <x v="7"/>
    <s v="Inbound"/>
    <x v="1"/>
    <x v="1"/>
    <s v="Expansion"/>
    <n v="16300"/>
    <n v="0.17199999999999999"/>
    <n v="0.1"/>
    <s v="Pipeline"/>
    <m/>
    <n v="121"/>
    <n v="1125.24"/>
    <n v="1630"/>
  </r>
  <r>
    <s v="OPP-00298"/>
    <d v="2026-01-22T00:00:00"/>
    <x v="174"/>
    <s v="Account 0027"/>
    <s v="SaaS"/>
    <s v="Mid-Market"/>
    <x v="2"/>
    <x v="8"/>
    <s v="Outbound"/>
    <x v="2"/>
    <x v="4"/>
    <s v="Renewal"/>
    <n v="55700"/>
    <n v="8.6999999999999994E-2"/>
    <n v="0.6"/>
    <s v="Best Case"/>
    <m/>
    <n v="55"/>
    <n v="4239.8999999999996"/>
    <n v="33420"/>
  </r>
  <r>
    <s v="OPP-00299"/>
    <d v="2026-06-07T00:00:00"/>
    <x v="190"/>
    <s v="Account 0897"/>
    <s v="SaaS"/>
    <s v="SMB"/>
    <x v="4"/>
    <x v="4"/>
    <s v="Partner"/>
    <x v="3"/>
    <x v="4"/>
    <s v="Expansion"/>
    <n v="14300"/>
    <n v="8.6999999999999994E-2"/>
    <n v="0.6"/>
    <s v="Best Case"/>
    <m/>
    <n v="27"/>
    <n v="1087.46"/>
    <n v="8580"/>
  </r>
  <r>
    <s v="OPP-00300"/>
    <d v="2026-03-19T00:00:00"/>
    <x v="191"/>
    <s v="Account 0292"/>
    <s v="E-commerce"/>
    <s v="Mid-Market"/>
    <x v="2"/>
    <x v="0"/>
    <s v="Product-Led"/>
    <x v="0"/>
    <x v="1"/>
    <s v="Expansion"/>
    <n v="64100"/>
    <n v="0.10199999999999999"/>
    <n v="0.1"/>
    <s v="Pipeline"/>
    <m/>
    <n v="38"/>
    <n v="4798.3599999999997"/>
    <n v="6410"/>
  </r>
  <r>
    <s v="OPP-00301"/>
    <d v="2025-10-01T00:00:00"/>
    <x v="192"/>
    <s v="Account 0589"/>
    <s v="FinTech"/>
    <s v="SMB"/>
    <x v="0"/>
    <x v="7"/>
    <s v="Product-Led"/>
    <x v="0"/>
    <x v="4"/>
    <s v="Expansion"/>
    <n v="25700"/>
    <n v="0.24399999999999999"/>
    <n v="0.6"/>
    <s v="Best Case"/>
    <m/>
    <n v="38"/>
    <n v="1619.69"/>
    <n v="15420"/>
  </r>
  <r>
    <s v="OPP-00302"/>
    <d v="2025-11-01T00:00:00"/>
    <x v="193"/>
    <s v="Account 0272"/>
    <s v="EdTech"/>
    <s v="Enterprise"/>
    <x v="1"/>
    <x v="10"/>
    <s v="Partner"/>
    <x v="1"/>
    <x v="1"/>
    <s v="Renewal"/>
    <n v="167900"/>
    <n v="0.151"/>
    <n v="0.1"/>
    <s v="Pipeline"/>
    <m/>
    <n v="43"/>
    <n v="11885.1"/>
    <n v="16790"/>
  </r>
  <r>
    <s v="OPP-00303"/>
    <d v="2025-12-14T00:00:00"/>
    <x v="194"/>
    <s v="Account 0014"/>
    <s v="IT Services"/>
    <s v="Enterprise"/>
    <x v="0"/>
    <x v="0"/>
    <s v="Outbound"/>
    <x v="2"/>
    <x v="4"/>
    <s v="Renewal"/>
    <n v="326600"/>
    <n v="0.21"/>
    <n v="0.55000000000000004"/>
    <s v="Best Case"/>
    <m/>
    <n v="130"/>
    <n v="21489.67"/>
    <n v="179630"/>
  </r>
  <r>
    <s v="OPP-00304"/>
    <d v="2026-07-21T00:00:00"/>
    <x v="195"/>
    <s v="Account 0739"/>
    <s v="Manufacturing"/>
    <s v="Mid-Market"/>
    <x v="1"/>
    <x v="4"/>
    <s v="Referral"/>
    <x v="1"/>
    <x v="1"/>
    <s v="Expansion"/>
    <n v="61000"/>
    <n v="0.128"/>
    <n v="0.15"/>
    <s v="Pipeline"/>
    <m/>
    <n v="66"/>
    <n v="4433.88"/>
    <n v="9150"/>
  </r>
  <r>
    <s v="OPP-00305"/>
    <d v="2026-08-01T00:00:00"/>
    <x v="35"/>
    <s v="Account 0532"/>
    <s v="Manufacturing"/>
    <s v="SMB"/>
    <x v="0"/>
    <x v="2"/>
    <s v="Outbound"/>
    <x v="0"/>
    <x v="3"/>
    <s v="Renewal"/>
    <n v="25600"/>
    <n v="0.161"/>
    <n v="0.75"/>
    <s v="Commit"/>
    <m/>
    <n v="38"/>
    <n v="1789.22"/>
    <n v="19200"/>
  </r>
  <r>
    <s v="OPP-00306"/>
    <d v="2026-08-06T00:00:00"/>
    <x v="6"/>
    <s v="Account 0498"/>
    <s v="SaaS"/>
    <s v="Mid-Market"/>
    <x v="3"/>
    <x v="3"/>
    <s v="Product-Led"/>
    <x v="0"/>
    <x v="2"/>
    <s v="Renewal"/>
    <n v="94000"/>
    <n v="0.22600000000000001"/>
    <n v="1"/>
    <s v="Closed"/>
    <m/>
    <n v="37"/>
    <n v="6060.22"/>
    <n v="94000"/>
  </r>
  <r>
    <s v="OPP-00307"/>
    <d v="2026-04-01T00:00:00"/>
    <x v="196"/>
    <s v="Account 0394"/>
    <s v="Healthcare"/>
    <s v="SMB"/>
    <x v="0"/>
    <x v="9"/>
    <s v="Webinar"/>
    <x v="1"/>
    <x v="2"/>
    <s v="Expansion"/>
    <n v="29300"/>
    <n v="0.152"/>
    <n v="1"/>
    <s v="Closed"/>
    <m/>
    <n v="65"/>
    <n v="2070.7800000000002"/>
    <n v="29300"/>
  </r>
  <r>
    <s v="OPP-00308"/>
    <d v="2026-04-29T00:00:00"/>
    <x v="197"/>
    <s v="Account 0595"/>
    <s v="FinTech"/>
    <s v="Mid-Market"/>
    <x v="4"/>
    <x v="11"/>
    <s v="Inbound"/>
    <x v="2"/>
    <x v="6"/>
    <s v="New Business"/>
    <n v="57300"/>
    <n v="1.9E-2"/>
    <n v="0.2"/>
    <s v="Pipeline"/>
    <m/>
    <n v="119"/>
    <n v="4685.43"/>
    <n v="11460"/>
  </r>
  <r>
    <s v="OPP-00309"/>
    <d v="2026-05-27T00:00:00"/>
    <x v="6"/>
    <s v="Account 0497"/>
    <s v="IT Services"/>
    <s v="Mid-Market"/>
    <x v="0"/>
    <x v="3"/>
    <s v="Outbound"/>
    <x v="2"/>
    <x v="0"/>
    <s v="Expansion"/>
    <n v="78200"/>
    <n v="0.14799999999999999"/>
    <n v="0.05"/>
    <s v="Closed"/>
    <s v="Budget"/>
    <n v="108"/>
    <n v="5553.38"/>
    <n v="3910"/>
  </r>
  <r>
    <s v="OPP-00310"/>
    <d v="2025-12-05T00:00:00"/>
    <x v="198"/>
    <s v="Account 0718"/>
    <s v="FinTech"/>
    <s v="Mid-Market"/>
    <x v="3"/>
    <x v="10"/>
    <s v="Referral"/>
    <x v="1"/>
    <x v="3"/>
    <s v="Expansion"/>
    <n v="42100"/>
    <n v="5.7000000000000002E-2"/>
    <n v="0.7"/>
    <s v="Commit"/>
    <m/>
    <n v="121"/>
    <n v="3307.06"/>
    <n v="29469.999999999996"/>
  </r>
  <r>
    <s v="OPP-00311"/>
    <d v="2026-07-19T00:00:00"/>
    <x v="6"/>
    <s v="Account 0069"/>
    <s v="Logistics"/>
    <s v="Mid-Market"/>
    <x v="3"/>
    <x v="7"/>
    <s v="Webinar"/>
    <x v="1"/>
    <x v="2"/>
    <s v="Renewal"/>
    <n v="99700"/>
    <n v="9.8000000000000004E-2"/>
    <n v="1"/>
    <s v="Closed"/>
    <m/>
    <n v="55"/>
    <n v="7498.03"/>
    <n v="99700"/>
  </r>
  <r>
    <s v="OPP-00312"/>
    <d v="2026-02-13T00:00:00"/>
    <x v="199"/>
    <s v="Account 0611"/>
    <s v="Logistics"/>
    <s v="Enterprise"/>
    <x v="3"/>
    <x v="10"/>
    <s v="Inbound"/>
    <x v="0"/>
    <x v="3"/>
    <s v="Renewal"/>
    <n v="185900"/>
    <n v="0.122"/>
    <n v="0.75"/>
    <s v="Commit"/>
    <m/>
    <n v="128"/>
    <n v="13594.8"/>
    <n v="139425"/>
  </r>
  <r>
    <s v="OPP-00313"/>
    <d v="2026-01-15T00:00:00"/>
    <x v="25"/>
    <s v="Account 0076"/>
    <s v="E-commerce"/>
    <s v="SMB"/>
    <x v="1"/>
    <x v="4"/>
    <s v="Partner"/>
    <x v="0"/>
    <x v="6"/>
    <s v="Expansion"/>
    <n v="27400"/>
    <n v="7.3999999999999996E-2"/>
    <n v="0.25"/>
    <s v="Pipeline"/>
    <m/>
    <n v="100"/>
    <n v="2113.35"/>
    <n v="6850"/>
  </r>
  <r>
    <s v="OPP-00314"/>
    <d v="2026-01-26T00:00:00"/>
    <x v="72"/>
    <s v="Account 0867"/>
    <s v="Manufacturing"/>
    <s v="SMB"/>
    <x v="0"/>
    <x v="0"/>
    <s v="Product-Led"/>
    <x v="0"/>
    <x v="6"/>
    <s v="Renewal"/>
    <n v="20500"/>
    <n v="0.158"/>
    <n v="0.2"/>
    <s v="Pipeline"/>
    <m/>
    <n v="37"/>
    <n v="1437.95"/>
    <n v="4100"/>
  </r>
  <r>
    <s v="OPP-00315"/>
    <d v="2025-11-21T00:00:00"/>
    <x v="166"/>
    <s v="Account 0679"/>
    <s v="Manufacturing"/>
    <s v="SMB"/>
    <x v="1"/>
    <x v="2"/>
    <s v="Product-Led"/>
    <x v="3"/>
    <x v="3"/>
    <s v="Expansion"/>
    <n v="27800"/>
    <n v="0.104"/>
    <n v="0.75"/>
    <s v="Commit"/>
    <m/>
    <n v="119"/>
    <n v="2076.67"/>
    <n v="20850"/>
  </r>
  <r>
    <s v="OPP-00316"/>
    <d v="2025-11-08T00:00:00"/>
    <x v="200"/>
    <s v="Account 0645"/>
    <s v="FinTech"/>
    <s v="Mid-Market"/>
    <x v="4"/>
    <x v="11"/>
    <s v="Product-Led"/>
    <x v="2"/>
    <x v="2"/>
    <s v="Expansion"/>
    <n v="93500"/>
    <n v="0.06"/>
    <n v="0.95"/>
    <s v="Closed"/>
    <m/>
    <n v="76"/>
    <n v="7321.44"/>
    <n v="88825"/>
  </r>
  <r>
    <s v="OPP-00317"/>
    <d v="2025-10-08T00:00:00"/>
    <x v="161"/>
    <s v="Account 0496"/>
    <s v="Healthcare"/>
    <s v="Mid-Market"/>
    <x v="3"/>
    <x v="4"/>
    <s v="Product-Led"/>
    <x v="1"/>
    <x v="0"/>
    <s v="Renewal"/>
    <n v="72900"/>
    <n v="0.128"/>
    <n v="0.05"/>
    <s v="Closed"/>
    <s v="No Decision"/>
    <n v="53"/>
    <n v="5299.46"/>
    <n v="3645"/>
  </r>
  <r>
    <s v="OPP-00318"/>
    <d v="2026-06-05T00:00:00"/>
    <x v="201"/>
    <s v="Account 0630"/>
    <s v="E-commerce"/>
    <s v="SMB"/>
    <x v="1"/>
    <x v="5"/>
    <s v="Partner"/>
    <x v="3"/>
    <x v="4"/>
    <s v="Expansion"/>
    <n v="26000"/>
    <n v="0.218"/>
    <n v="0.55000000000000004"/>
    <s v="Best Case"/>
    <m/>
    <n v="64"/>
    <n v="1695.25"/>
    <n v="14300.000000000002"/>
  </r>
  <r>
    <s v="OPP-00319"/>
    <d v="2025-11-26T00:00:00"/>
    <x v="26"/>
    <s v="Account 0268"/>
    <s v="SaaS"/>
    <s v="SMB"/>
    <x v="1"/>
    <x v="1"/>
    <s v="Inbound"/>
    <x v="0"/>
    <x v="5"/>
    <s v="Renewal"/>
    <n v="11400"/>
    <n v="6.0000000000000001E-3"/>
    <n v="0.3"/>
    <s v="Pipeline"/>
    <m/>
    <n v="40"/>
    <n v="944.39"/>
    <n v="3420"/>
  </r>
  <r>
    <s v="OPP-00320"/>
    <d v="2026-07-16T00:00:00"/>
    <x v="202"/>
    <s v="Account 0021"/>
    <s v="Manufacturing"/>
    <s v="Enterprise"/>
    <x v="3"/>
    <x v="3"/>
    <s v="Webinar"/>
    <x v="0"/>
    <x v="6"/>
    <s v="New Business"/>
    <n v="293600"/>
    <n v="0.114"/>
    <n v="0.2"/>
    <s v="Pipeline"/>
    <m/>
    <n v="60"/>
    <n v="21670.720000000001"/>
    <n v="58720"/>
  </r>
  <r>
    <s v="OPP-00321"/>
    <d v="2026-09-08T00:00:00"/>
    <x v="203"/>
    <s v="Account 0464"/>
    <s v="FinTech"/>
    <s v="Mid-Market"/>
    <x v="4"/>
    <x v="6"/>
    <s v="Partner"/>
    <x v="3"/>
    <x v="6"/>
    <s v="New Business"/>
    <n v="74300"/>
    <n v="0.09"/>
    <n v="0.2"/>
    <s v="Pipeline"/>
    <m/>
    <n v="51"/>
    <n v="5633.59"/>
    <n v="14860"/>
  </r>
  <r>
    <s v="OPP-00322"/>
    <d v="2026-03-26T00:00:00"/>
    <x v="204"/>
    <s v="Account 0624"/>
    <s v="EdTech"/>
    <s v="Mid-Market"/>
    <x v="0"/>
    <x v="6"/>
    <s v="Webinar"/>
    <x v="3"/>
    <x v="6"/>
    <s v="Renewal"/>
    <n v="41900"/>
    <n v="0.26600000000000001"/>
    <n v="0.25"/>
    <s v="Pipeline"/>
    <m/>
    <n v="34"/>
    <n v="2563.4299999999998"/>
    <n v="10475"/>
  </r>
  <r>
    <s v="OPP-00323"/>
    <d v="2026-02-13T00:00:00"/>
    <x v="133"/>
    <s v="Account 0949"/>
    <s v="Logistics"/>
    <s v="Enterprise"/>
    <x v="0"/>
    <x v="0"/>
    <s v="Outbound"/>
    <x v="4"/>
    <x v="5"/>
    <s v="Expansion"/>
    <n v="141700"/>
    <n v="0.10100000000000001"/>
    <n v="0.35"/>
    <s v="Pipeline"/>
    <m/>
    <n v="105"/>
    <n v="10616.75"/>
    <n v="49595"/>
  </r>
  <r>
    <s v="OPP-00324"/>
    <d v="2026-08-27T00:00:00"/>
    <x v="46"/>
    <s v="Account 0008"/>
    <s v="Logistics"/>
    <s v="Enterprise"/>
    <x v="1"/>
    <x v="2"/>
    <s v="Partner"/>
    <x v="4"/>
    <x v="3"/>
    <s v="Expansion"/>
    <n v="130900"/>
    <n v="7.0000000000000007E-2"/>
    <n v="0.75"/>
    <s v="Commit"/>
    <m/>
    <n v="31"/>
    <n v="10141.030000000001"/>
    <n v="98175"/>
  </r>
  <r>
    <s v="OPP-00325"/>
    <d v="2026-05-12T00:00:00"/>
    <x v="125"/>
    <s v="Account 0770"/>
    <s v="Manufacturing"/>
    <s v="Enterprise"/>
    <x v="4"/>
    <x v="3"/>
    <s v="Partner"/>
    <x v="4"/>
    <x v="5"/>
    <s v="Expansion"/>
    <n v="96000"/>
    <n v="0.19400000000000001"/>
    <n v="0.3"/>
    <s v="Pipeline"/>
    <m/>
    <n v="96"/>
    <n v="6450.84"/>
    <n v="28800"/>
  </r>
  <r>
    <s v="OPP-00326"/>
    <d v="2025-12-23T00:00:00"/>
    <x v="205"/>
    <s v="Account 0668"/>
    <s v="IT Services"/>
    <s v="SMB"/>
    <x v="4"/>
    <x v="10"/>
    <s v="Product-Led"/>
    <x v="4"/>
    <x v="1"/>
    <s v="Expansion"/>
    <n v="23600"/>
    <n v="0.112"/>
    <n v="0.05"/>
    <s v="Pipeline"/>
    <m/>
    <n v="149"/>
    <n v="1746.39"/>
    <n v="1180"/>
  </r>
  <r>
    <s v="OPP-00327"/>
    <d v="2026-01-21T00:00:00"/>
    <x v="194"/>
    <s v="Account 0296"/>
    <s v="Healthcare"/>
    <s v="Mid-Market"/>
    <x v="0"/>
    <x v="11"/>
    <s v="Outbound"/>
    <x v="2"/>
    <x v="2"/>
    <s v="Expansion"/>
    <n v="51800"/>
    <n v="0.19400000000000001"/>
    <n v="1"/>
    <s v="Closed"/>
    <m/>
    <n v="92"/>
    <n v="3478.75"/>
    <n v="51800"/>
  </r>
  <r>
    <s v="OPP-00328"/>
    <d v="2025-11-12T00:00:00"/>
    <x v="206"/>
    <s v="Account 0774"/>
    <s v="Logistics"/>
    <s v="Mid-Market"/>
    <x v="3"/>
    <x v="4"/>
    <s v="Product-Led"/>
    <x v="3"/>
    <x v="1"/>
    <s v="Expansion"/>
    <n v="43600"/>
    <n v="0.16"/>
    <n v="0.05"/>
    <s v="Pipeline"/>
    <m/>
    <n v="115"/>
    <n v="3053.16"/>
    <n v="2180"/>
  </r>
  <r>
    <s v="OPP-00329"/>
    <d v="2026-03-08T00:00:00"/>
    <x v="207"/>
    <s v="Account 0008"/>
    <s v="FinTech"/>
    <s v="SMB"/>
    <x v="0"/>
    <x v="10"/>
    <s v="Webinar"/>
    <x v="0"/>
    <x v="0"/>
    <s v="Renewal"/>
    <n v="27600"/>
    <n v="0.13100000000000001"/>
    <n v="0.05"/>
    <s v="Closed"/>
    <s v="Security Review"/>
    <n v="80"/>
    <n v="1999.51"/>
    <n v="1380"/>
  </r>
  <r>
    <s v="OPP-00330"/>
    <d v="2026-06-30T00:00:00"/>
    <x v="208"/>
    <s v="Account 0908"/>
    <s v="IT Services"/>
    <s v="SMB"/>
    <x v="3"/>
    <x v="3"/>
    <s v="Webinar"/>
    <x v="4"/>
    <x v="3"/>
    <s v="New Business"/>
    <n v="18100"/>
    <n v="0.121"/>
    <n v="0.8"/>
    <s v="Commit"/>
    <m/>
    <n v="51"/>
    <n v="1325.39"/>
    <n v="14480"/>
  </r>
  <r>
    <s v="OPP-00331"/>
    <d v="2026-08-06T00:00:00"/>
    <x v="185"/>
    <s v="Account 0792"/>
    <s v="SaaS"/>
    <s v="Mid-Market"/>
    <x v="2"/>
    <x v="10"/>
    <s v="Referral"/>
    <x v="2"/>
    <x v="3"/>
    <s v="New Business"/>
    <n v="48200"/>
    <n v="0.17499999999999999"/>
    <n v="0.75"/>
    <s v="Commit"/>
    <m/>
    <n v="75"/>
    <n v="3312.45"/>
    <n v="36150"/>
  </r>
  <r>
    <s v="OPP-00332"/>
    <d v="2026-04-10T00:00:00"/>
    <x v="209"/>
    <s v="Account 0320"/>
    <s v="Manufacturing"/>
    <s v="Mid-Market"/>
    <x v="4"/>
    <x v="2"/>
    <s v="Partner"/>
    <x v="1"/>
    <x v="3"/>
    <s v="Expansion"/>
    <n v="76700"/>
    <n v="8.2000000000000003E-2"/>
    <n v="0.75"/>
    <s v="Commit"/>
    <m/>
    <n v="58"/>
    <n v="5869.44"/>
    <n v="57525"/>
  </r>
  <r>
    <s v="OPP-00333"/>
    <d v="2025-12-10T00:00:00"/>
    <x v="24"/>
    <s v="Account 0230"/>
    <s v="Healthcare"/>
    <s v="SMB"/>
    <x v="1"/>
    <x v="6"/>
    <s v="Referral"/>
    <x v="2"/>
    <x v="0"/>
    <s v="Expansion"/>
    <n v="19000"/>
    <n v="0"/>
    <n v="0"/>
    <s v="Closed"/>
    <s v="Competitor"/>
    <n v="117"/>
    <n v="1583.33"/>
    <n v="0"/>
  </r>
  <r>
    <s v="OPP-00334"/>
    <d v="2026-07-20T00:00:00"/>
    <x v="159"/>
    <s v="Account 0049"/>
    <s v="SaaS"/>
    <s v="SMB"/>
    <x v="0"/>
    <x v="11"/>
    <s v="Product-Led"/>
    <x v="4"/>
    <x v="3"/>
    <s v="Renewal"/>
    <n v="7900"/>
    <n v="0.2"/>
    <n v="0.75"/>
    <s v="Commit"/>
    <m/>
    <n v="51"/>
    <n v="526.6"/>
    <n v="5925"/>
  </r>
  <r>
    <s v="OPP-00335"/>
    <d v="2026-03-16T00:00:00"/>
    <x v="33"/>
    <s v="Account 0349"/>
    <s v="Healthcare"/>
    <s v="SMB"/>
    <x v="1"/>
    <x v="11"/>
    <s v="Inbound"/>
    <x v="4"/>
    <x v="5"/>
    <s v="Renewal"/>
    <n v="13300"/>
    <n v="2.4E-2"/>
    <n v="0.35"/>
    <s v="Pipeline"/>
    <m/>
    <n v="149"/>
    <n v="1081.3399999999999"/>
    <n v="4655"/>
  </r>
  <r>
    <s v="OPP-00336"/>
    <d v="2025-12-10T00:00:00"/>
    <x v="210"/>
    <s v="Account 0337"/>
    <s v="Healthcare"/>
    <s v="SMB"/>
    <x v="0"/>
    <x v="0"/>
    <s v="Product-Led"/>
    <x v="2"/>
    <x v="5"/>
    <s v="Expansion"/>
    <n v="29500"/>
    <n v="0.183"/>
    <n v="0.3"/>
    <s v="Pipeline"/>
    <m/>
    <n v="73"/>
    <n v="2008.34"/>
    <n v="8850"/>
  </r>
  <r>
    <s v="OPP-00337"/>
    <d v="2025-10-26T00:00:00"/>
    <x v="211"/>
    <s v="Account 0914"/>
    <s v="FinTech"/>
    <s v="SMB"/>
    <x v="4"/>
    <x v="10"/>
    <s v="Outbound"/>
    <x v="3"/>
    <x v="1"/>
    <s v="Renewal"/>
    <n v="21000"/>
    <n v="8.8999999999999996E-2"/>
    <n v="0.1"/>
    <s v="Pipeline"/>
    <m/>
    <n v="148"/>
    <n v="1593.84"/>
    <n v="2100"/>
  </r>
  <r>
    <s v="OPP-00338"/>
    <d v="2026-02-03T00:00:00"/>
    <x v="212"/>
    <s v="Account 0631"/>
    <s v="SaaS"/>
    <s v="SMB"/>
    <x v="1"/>
    <x v="9"/>
    <s v="Referral"/>
    <x v="3"/>
    <x v="4"/>
    <s v="New Business"/>
    <n v="9400"/>
    <n v="7.8E-2"/>
    <n v="0.55000000000000004"/>
    <s v="Best Case"/>
    <m/>
    <n v="47"/>
    <n v="722.35"/>
    <n v="5170"/>
  </r>
  <r>
    <s v="OPP-00339"/>
    <d v="2026-01-14T00:00:00"/>
    <x v="213"/>
    <s v="Account 0413"/>
    <s v="SaaS"/>
    <s v="Mid-Market"/>
    <x v="2"/>
    <x v="11"/>
    <s v="Partner"/>
    <x v="0"/>
    <x v="5"/>
    <s v="Renewal"/>
    <n v="47900"/>
    <n v="9.6000000000000002E-2"/>
    <n v="0.3"/>
    <s v="Pipeline"/>
    <m/>
    <n v="27"/>
    <n v="3606.85"/>
    <n v="14370"/>
  </r>
  <r>
    <s v="OPP-00340"/>
    <d v="2026-07-04T00:00:00"/>
    <x v="179"/>
    <s v="Account 0620"/>
    <s v="Logistics"/>
    <s v="Enterprise"/>
    <x v="2"/>
    <x v="11"/>
    <s v="Outbound"/>
    <x v="0"/>
    <x v="5"/>
    <s v="Expansion"/>
    <n v="219400"/>
    <n v="0.114"/>
    <n v="0.35"/>
    <s v="Pipeline"/>
    <m/>
    <n v="77"/>
    <n v="16205.25"/>
    <n v="76790"/>
  </r>
  <r>
    <s v="OPP-00341"/>
    <d v="2026-01-21T00:00:00"/>
    <x v="214"/>
    <s v="Account 0305"/>
    <s v="E-commerce"/>
    <s v="Enterprise"/>
    <x v="1"/>
    <x v="11"/>
    <s v="Referral"/>
    <x v="3"/>
    <x v="2"/>
    <s v="New Business"/>
    <n v="304500"/>
    <n v="0.27800000000000002"/>
    <n v="0.95"/>
    <s v="Closed"/>
    <m/>
    <n v="18"/>
    <n v="18308.75"/>
    <n v="289275"/>
  </r>
  <r>
    <s v="OPP-00342"/>
    <d v="2026-03-13T00:00:00"/>
    <x v="106"/>
    <s v="Account 0879"/>
    <s v="Manufacturing"/>
    <s v="SMB"/>
    <x v="0"/>
    <x v="8"/>
    <s v="Referral"/>
    <x v="2"/>
    <x v="1"/>
    <s v="New Business"/>
    <n v="13500"/>
    <n v="0.19800000000000001"/>
    <n v="0.1"/>
    <s v="Pipeline"/>
    <m/>
    <n v="111"/>
    <n v="901.74"/>
    <n v="1350"/>
  </r>
  <r>
    <s v="OPP-00343"/>
    <d v="2026-04-15T00:00:00"/>
    <x v="215"/>
    <s v="Account 0828"/>
    <s v="IT Services"/>
    <s v="SMB"/>
    <x v="3"/>
    <x v="5"/>
    <s v="Webinar"/>
    <x v="0"/>
    <x v="4"/>
    <s v="Renewal"/>
    <n v="20100"/>
    <n v="0.10199999999999999"/>
    <n v="0.55000000000000004"/>
    <s v="Best Case"/>
    <m/>
    <n v="92"/>
    <n v="1504.75"/>
    <n v="11055"/>
  </r>
  <r>
    <s v="OPP-00344"/>
    <d v="2025-11-23T00:00:00"/>
    <x v="216"/>
    <s v="Account 0396"/>
    <s v="Healthcare"/>
    <s v="Mid-Market"/>
    <x v="2"/>
    <x v="4"/>
    <s v="Inbound"/>
    <x v="2"/>
    <x v="2"/>
    <s v="New Business"/>
    <n v="87400"/>
    <n v="0.08"/>
    <n v="0.95"/>
    <s v="Closed"/>
    <m/>
    <n v="41"/>
    <n v="6698.57"/>
    <n v="83030"/>
  </r>
  <r>
    <s v="OPP-00345"/>
    <d v="2026-05-03T00:00:00"/>
    <x v="151"/>
    <s v="Account 0854"/>
    <s v="FinTech"/>
    <s v="Mid-Market"/>
    <x v="4"/>
    <x v="9"/>
    <s v="Referral"/>
    <x v="2"/>
    <x v="2"/>
    <s v="Expansion"/>
    <n v="40100"/>
    <n v="7.8E-2"/>
    <n v="1"/>
    <s v="Closed"/>
    <m/>
    <n v="30"/>
    <n v="3080.07"/>
    <n v="40100"/>
  </r>
  <r>
    <s v="OPP-00346"/>
    <d v="2026-01-16T00:00:00"/>
    <x v="41"/>
    <s v="Account 0558"/>
    <s v="FinTech"/>
    <s v="Enterprise"/>
    <x v="0"/>
    <x v="2"/>
    <s v="Referral"/>
    <x v="0"/>
    <x v="5"/>
    <s v="New Business"/>
    <n v="332900"/>
    <n v="0.107"/>
    <n v="0.4"/>
    <s v="Pipeline"/>
    <m/>
    <n v="126"/>
    <n v="24783.49"/>
    <n v="133160"/>
  </r>
  <r>
    <s v="OPP-00347"/>
    <d v="2026-07-14T00:00:00"/>
    <x v="6"/>
    <s v="Account 0487"/>
    <s v="FinTech"/>
    <s v="Enterprise"/>
    <x v="4"/>
    <x v="10"/>
    <s v="Inbound"/>
    <x v="2"/>
    <x v="0"/>
    <s v="Expansion"/>
    <n v="154700"/>
    <n v="5.8999999999999997E-2"/>
    <n v="0"/>
    <s v="Closed"/>
    <s v="Champion Left"/>
    <n v="60"/>
    <n v="12129.96"/>
    <n v="0"/>
  </r>
  <r>
    <s v="OPP-00348"/>
    <d v="2025-11-05T00:00:00"/>
    <x v="206"/>
    <s v="Account 0882"/>
    <s v="SaaS"/>
    <s v="Mid-Market"/>
    <x v="0"/>
    <x v="3"/>
    <s v="Outbound"/>
    <x v="4"/>
    <x v="3"/>
    <s v="Renewal"/>
    <n v="53100"/>
    <n v="2.8000000000000001E-2"/>
    <n v="0.8"/>
    <s v="Commit"/>
    <m/>
    <n v="122"/>
    <n v="4302.92"/>
    <n v="42480"/>
  </r>
  <r>
    <s v="OPP-00349"/>
    <d v="2026-03-19T00:00:00"/>
    <x v="13"/>
    <s v="Account 0140"/>
    <s v="SaaS"/>
    <s v="SMB"/>
    <x v="2"/>
    <x v="0"/>
    <s v="Outbound"/>
    <x v="4"/>
    <x v="1"/>
    <s v="New Business"/>
    <n v="14800"/>
    <n v="6.3E-2"/>
    <n v="0.05"/>
    <s v="Pipeline"/>
    <m/>
    <n v="89"/>
    <n v="1155.3499999999999"/>
    <n v="740"/>
  </r>
  <r>
    <s v="OPP-00350"/>
    <d v="2026-07-19T00:00:00"/>
    <x v="6"/>
    <s v="Account 0344"/>
    <s v="Healthcare"/>
    <s v="Mid-Market"/>
    <x v="4"/>
    <x v="8"/>
    <s v="Outbound"/>
    <x v="4"/>
    <x v="2"/>
    <s v="Renewal"/>
    <n v="35700"/>
    <n v="9.4E-2"/>
    <n v="1"/>
    <s v="Closed"/>
    <m/>
    <n v="55"/>
    <n v="2696.64"/>
    <n v="35700"/>
  </r>
  <r>
    <s v="OPP-00351"/>
    <d v="2026-05-05T00:00:00"/>
    <x v="205"/>
    <s v="Account 0695"/>
    <s v="SaaS"/>
    <s v="Mid-Market"/>
    <x v="0"/>
    <x v="1"/>
    <s v="Outbound"/>
    <x v="3"/>
    <x v="0"/>
    <s v="Renewal"/>
    <n v="50200"/>
    <n v="9.0999999999999998E-2"/>
    <n v="0"/>
    <s v="Closed"/>
    <s v="Security Review"/>
    <n v="16"/>
    <n v="3802.77"/>
    <n v="0"/>
  </r>
  <r>
    <s v="OPP-00352"/>
    <d v="2026-07-15T00:00:00"/>
    <x v="81"/>
    <s v="Account 0234"/>
    <s v="Manufacturing"/>
    <s v="SMB"/>
    <x v="0"/>
    <x v="2"/>
    <s v="Inbound"/>
    <x v="2"/>
    <x v="3"/>
    <s v="New Business"/>
    <n v="11100"/>
    <n v="7.4999999999999997E-2"/>
    <n v="0.75"/>
    <s v="Commit"/>
    <m/>
    <n v="88"/>
    <n v="855.33"/>
    <n v="8325"/>
  </r>
  <r>
    <s v="OPP-00353"/>
    <d v="2026-07-26T00:00:00"/>
    <x v="156"/>
    <s v="Account 0940"/>
    <s v="IT Services"/>
    <s v="Mid-Market"/>
    <x v="0"/>
    <x v="6"/>
    <s v="Inbound"/>
    <x v="4"/>
    <x v="4"/>
    <s v="New Business"/>
    <n v="78300"/>
    <n v="0.17199999999999999"/>
    <n v="0.5"/>
    <s v="Best Case"/>
    <m/>
    <n v="69"/>
    <n v="5403.46"/>
    <n v="39150"/>
  </r>
  <r>
    <s v="OPP-00354"/>
    <d v="2026-06-17T00:00:00"/>
    <x v="6"/>
    <s v="Account 0351"/>
    <s v="FinTech"/>
    <s v="SMB"/>
    <x v="0"/>
    <x v="11"/>
    <s v="Partner"/>
    <x v="0"/>
    <x v="0"/>
    <s v="New Business"/>
    <n v="16400"/>
    <n v="6.8000000000000005E-2"/>
    <n v="0"/>
    <s v="Closed"/>
    <s v="Timing"/>
    <n v="87"/>
    <n v="1273.55"/>
    <n v="0"/>
  </r>
  <r>
    <s v="OPP-00355"/>
    <d v="2025-10-13T00:00:00"/>
    <x v="217"/>
    <s v="Account 0294"/>
    <s v="Logistics"/>
    <s v="Enterprise"/>
    <x v="4"/>
    <x v="5"/>
    <s v="Product-Led"/>
    <x v="1"/>
    <x v="1"/>
    <s v="New Business"/>
    <n v="201200"/>
    <n v="0.114"/>
    <n v="0.15"/>
    <s v="Pipeline"/>
    <m/>
    <n v="31"/>
    <n v="14858.55"/>
    <n v="30180"/>
  </r>
  <r>
    <s v="OPP-00356"/>
    <d v="2025-11-26T00:00:00"/>
    <x v="0"/>
    <s v="Account 0353"/>
    <s v="Manufacturing"/>
    <s v="SMB"/>
    <x v="0"/>
    <x v="2"/>
    <s v="Referral"/>
    <x v="3"/>
    <x v="3"/>
    <s v="Expansion"/>
    <n v="22100"/>
    <n v="0.248"/>
    <n v="0.75"/>
    <s v="Commit"/>
    <m/>
    <n v="102"/>
    <n v="1384.07"/>
    <n v="16575"/>
  </r>
  <r>
    <s v="OPP-00357"/>
    <d v="2025-12-18T00:00:00"/>
    <x v="189"/>
    <s v="Account 0408"/>
    <s v="Manufacturing"/>
    <s v="Mid-Market"/>
    <x v="4"/>
    <x v="5"/>
    <s v="Inbound"/>
    <x v="2"/>
    <x v="6"/>
    <s v="Expansion"/>
    <n v="59500"/>
    <n v="3.2000000000000001E-2"/>
    <n v="0.2"/>
    <s v="Pipeline"/>
    <m/>
    <n v="75"/>
    <n v="4799.8100000000004"/>
    <n v="11900"/>
  </r>
  <r>
    <s v="OPP-00358"/>
    <d v="2025-12-04T00:00:00"/>
    <x v="94"/>
    <s v="Account 0339"/>
    <s v="Manufacturing"/>
    <s v="Mid-Market"/>
    <x v="1"/>
    <x v="0"/>
    <s v="Partner"/>
    <x v="1"/>
    <x v="2"/>
    <s v="Renewal"/>
    <n v="80000"/>
    <n v="0.184"/>
    <n v="1"/>
    <s v="Closed"/>
    <m/>
    <n v="85"/>
    <n v="5442.83"/>
    <n v="80000"/>
  </r>
  <r>
    <s v="OPP-00359"/>
    <d v="2026-05-11T00:00:00"/>
    <x v="119"/>
    <s v="Account 0920"/>
    <s v="E-commerce"/>
    <s v="Mid-Market"/>
    <x v="1"/>
    <x v="9"/>
    <s v="Partner"/>
    <x v="2"/>
    <x v="2"/>
    <s v="Renewal"/>
    <n v="29400"/>
    <n v="0.13500000000000001"/>
    <n v="0.95"/>
    <s v="Closed"/>
    <m/>
    <n v="118"/>
    <n v="2118.7800000000002"/>
    <n v="27930"/>
  </r>
  <r>
    <s v="OPP-00360"/>
    <d v="2026-08-27T00:00:00"/>
    <x v="187"/>
    <s v="Account 0177"/>
    <s v="Healthcare"/>
    <s v="SMB"/>
    <x v="2"/>
    <x v="4"/>
    <s v="Partner"/>
    <x v="0"/>
    <x v="3"/>
    <s v="New Business"/>
    <n v="6100"/>
    <n v="0.16800000000000001"/>
    <n v="0.75"/>
    <s v="Commit"/>
    <m/>
    <n v="59"/>
    <n v="422.72"/>
    <n v="4575"/>
  </r>
  <r>
    <s v="OPP-00361"/>
    <d v="2026-08-26T00:00:00"/>
    <x v="155"/>
    <s v="Account 0875"/>
    <s v="IT Services"/>
    <s v="SMB"/>
    <x v="4"/>
    <x v="4"/>
    <s v="Inbound"/>
    <x v="1"/>
    <x v="5"/>
    <s v="New Business"/>
    <n v="16900"/>
    <n v="6.9000000000000006E-2"/>
    <n v="0.4"/>
    <s v="Pipeline"/>
    <m/>
    <n v="26"/>
    <n v="1310.82"/>
    <n v="6760"/>
  </r>
  <r>
    <s v="OPP-00362"/>
    <d v="2026-06-16T00:00:00"/>
    <x v="50"/>
    <s v="Account 0111"/>
    <s v="E-commerce"/>
    <s v="Enterprise"/>
    <x v="0"/>
    <x v="11"/>
    <s v="Outbound"/>
    <x v="4"/>
    <x v="5"/>
    <s v="Renewal"/>
    <n v="237600"/>
    <n v="0.17199999999999999"/>
    <n v="0.35"/>
    <s v="Pipeline"/>
    <m/>
    <n v="79"/>
    <n v="16398.62"/>
    <n v="83160"/>
  </r>
  <r>
    <s v="OPP-00363"/>
    <d v="2026-06-13T00:00:00"/>
    <x v="215"/>
    <s v="Account 0849"/>
    <s v="E-commerce"/>
    <s v="SMB"/>
    <x v="0"/>
    <x v="3"/>
    <s v="Referral"/>
    <x v="3"/>
    <x v="0"/>
    <s v="New Business"/>
    <n v="11200"/>
    <n v="0.26"/>
    <n v="0"/>
    <s v="Closed"/>
    <s v="Timing"/>
    <n v="33"/>
    <n v="691.05"/>
    <n v="0"/>
  </r>
  <r>
    <s v="OPP-00364"/>
    <d v="2026-04-17T00:00:00"/>
    <x v="6"/>
    <s v="Account 0827"/>
    <s v="Manufacturing"/>
    <s v="Mid-Market"/>
    <x v="4"/>
    <x v="4"/>
    <s v="Product-Led"/>
    <x v="2"/>
    <x v="2"/>
    <s v="Expansion"/>
    <n v="31600"/>
    <n v="8.7999999999999995E-2"/>
    <n v="1"/>
    <s v="Closed"/>
    <m/>
    <n v="148"/>
    <n v="2401.59"/>
    <n v="31600"/>
  </r>
  <r>
    <s v="OPP-00365"/>
    <d v="2026-05-30T00:00:00"/>
    <x v="8"/>
    <s v="Account 0789"/>
    <s v="Logistics"/>
    <s v="Enterprise"/>
    <x v="2"/>
    <x v="0"/>
    <s v="Referral"/>
    <x v="0"/>
    <x v="6"/>
    <s v="Expansion"/>
    <n v="94900"/>
    <n v="0.17599999999999999"/>
    <n v="0.15"/>
    <s v="Pipeline"/>
    <m/>
    <n v="57"/>
    <n v="6517.82"/>
    <n v="14235"/>
  </r>
  <r>
    <s v="OPP-00366"/>
    <d v="2026-01-02T00:00:00"/>
    <x v="166"/>
    <s v="Account 0051"/>
    <s v="SaaS"/>
    <s v="SMB"/>
    <x v="4"/>
    <x v="10"/>
    <s v="Webinar"/>
    <x v="2"/>
    <x v="3"/>
    <s v="New Business"/>
    <n v="24700"/>
    <n v="6.4000000000000001E-2"/>
    <n v="0.8"/>
    <s v="Commit"/>
    <m/>
    <n v="77"/>
    <n v="1927.4"/>
    <n v="19760"/>
  </r>
  <r>
    <s v="OPP-00367"/>
    <d v="2026-09-10T00:00:00"/>
    <x v="6"/>
    <s v="Account 0030"/>
    <s v="IT Services"/>
    <s v="Enterprise"/>
    <x v="2"/>
    <x v="11"/>
    <s v="Referral"/>
    <x v="4"/>
    <x v="0"/>
    <s v="Renewal"/>
    <n v="212100"/>
    <n v="0.14099999999999999"/>
    <n v="0"/>
    <s v="Closed"/>
    <s v="Timing"/>
    <n v="2"/>
    <n v="15191.56"/>
    <n v="0"/>
  </r>
  <r>
    <s v="OPP-00368"/>
    <d v="2026-09-12T00:00:00"/>
    <x v="109"/>
    <s v="Account 0093"/>
    <s v="SaaS"/>
    <s v="Mid-Market"/>
    <x v="4"/>
    <x v="2"/>
    <s v="Inbound"/>
    <x v="4"/>
    <x v="1"/>
    <s v="New Business"/>
    <n v="65800"/>
    <n v="2.8000000000000001E-2"/>
    <n v="0.1"/>
    <s v="Pipeline"/>
    <m/>
    <n v="4"/>
    <n v="5330.72"/>
    <n v="6580"/>
  </r>
  <r>
    <s v="OPP-00369"/>
    <d v="2025-11-14T00:00:00"/>
    <x v="218"/>
    <s v="Account 0643"/>
    <s v="Logistics"/>
    <s v="Enterprise"/>
    <x v="2"/>
    <x v="3"/>
    <s v="Webinar"/>
    <x v="3"/>
    <x v="0"/>
    <s v="New Business"/>
    <n v="149500"/>
    <n v="5.3999999999999999E-2"/>
    <n v="0"/>
    <s v="Closed"/>
    <s v="Timing"/>
    <n v="40"/>
    <n v="11779.53"/>
    <n v="0"/>
  </r>
  <r>
    <s v="OPP-00370"/>
    <d v="2026-07-25T00:00:00"/>
    <x v="109"/>
    <s v="Account 0074"/>
    <s v="E-commerce"/>
    <s v="Mid-Market"/>
    <x v="2"/>
    <x v="7"/>
    <s v="Inbound"/>
    <x v="2"/>
    <x v="1"/>
    <s v="Renewal"/>
    <n v="84800"/>
    <n v="0.17699999999999999"/>
    <n v="0.15"/>
    <s v="Pipeline"/>
    <m/>
    <n v="53"/>
    <n v="5816.02"/>
    <n v="12720"/>
  </r>
  <r>
    <s v="OPP-00371"/>
    <d v="2026-08-22T00:00:00"/>
    <x v="6"/>
    <s v="Account 0689"/>
    <s v="E-commerce"/>
    <s v="SMB"/>
    <x v="2"/>
    <x v="4"/>
    <s v="Webinar"/>
    <x v="4"/>
    <x v="2"/>
    <s v="New Business"/>
    <n v="26100"/>
    <n v="0"/>
    <n v="0.95"/>
    <s v="Closed"/>
    <m/>
    <n v="21"/>
    <n v="2175"/>
    <n v="24795"/>
  </r>
  <r>
    <s v="OPP-00372"/>
    <d v="2025-10-25T00:00:00"/>
    <x v="219"/>
    <s v="Account 0859"/>
    <s v="SaaS"/>
    <s v="SMB"/>
    <x v="1"/>
    <x v="0"/>
    <s v="Webinar"/>
    <x v="4"/>
    <x v="1"/>
    <s v="Expansion"/>
    <n v="15400"/>
    <n v="0.161"/>
    <n v="0.05"/>
    <s v="Pipeline"/>
    <m/>
    <n v="66"/>
    <n v="1076.6300000000001"/>
    <n v="770"/>
  </r>
  <r>
    <s v="OPP-00373"/>
    <d v="2026-02-16T00:00:00"/>
    <x v="118"/>
    <s v="Account 0818"/>
    <s v="Manufacturing"/>
    <s v="SMB"/>
    <x v="2"/>
    <x v="11"/>
    <s v="Outbound"/>
    <x v="1"/>
    <x v="2"/>
    <s v="Renewal"/>
    <n v="23600"/>
    <n v="0.161"/>
    <n v="1"/>
    <s v="Closed"/>
    <m/>
    <n v="86"/>
    <n v="1650.89"/>
    <n v="23600"/>
  </r>
  <r>
    <s v="OPP-00374"/>
    <d v="2026-01-15T00:00:00"/>
    <x v="95"/>
    <s v="Account 0902"/>
    <s v="EdTech"/>
    <s v="Enterprise"/>
    <x v="3"/>
    <x v="4"/>
    <s v="Inbound"/>
    <x v="3"/>
    <x v="5"/>
    <s v="Renewal"/>
    <n v="170600"/>
    <n v="0.107"/>
    <n v="0.4"/>
    <s v="Pipeline"/>
    <m/>
    <n v="63"/>
    <n v="12695.25"/>
    <n v="68240"/>
  </r>
  <r>
    <s v="OPP-00375"/>
    <d v="2026-04-27T00:00:00"/>
    <x v="91"/>
    <s v="Account 0227"/>
    <s v="Logistics"/>
    <s v="SMB"/>
    <x v="2"/>
    <x v="9"/>
    <s v="Product-Led"/>
    <x v="2"/>
    <x v="2"/>
    <s v="Expansion"/>
    <n v="29600"/>
    <n v="5.8999999999999997E-2"/>
    <n v="1"/>
    <s v="Closed"/>
    <m/>
    <n v="91"/>
    <n v="2320.34"/>
    <n v="29600"/>
  </r>
  <r>
    <s v="OPP-00376"/>
    <d v="2026-08-24T00:00:00"/>
    <x v="15"/>
    <s v="Account 0686"/>
    <s v="IT Services"/>
    <s v="Mid-Market"/>
    <x v="2"/>
    <x v="7"/>
    <s v="Product-Led"/>
    <x v="1"/>
    <x v="4"/>
    <s v="Renewal"/>
    <n v="72600"/>
    <n v="3.3000000000000002E-2"/>
    <n v="0.55000000000000004"/>
    <s v="Best Case"/>
    <m/>
    <n v="49"/>
    <n v="5848.17"/>
    <n v="39930"/>
  </r>
  <r>
    <s v="OPP-00377"/>
    <d v="2026-04-23T00:00:00"/>
    <x v="207"/>
    <s v="Account 0273"/>
    <s v="FinTech"/>
    <s v="SMB"/>
    <x v="2"/>
    <x v="9"/>
    <s v="Outbound"/>
    <x v="0"/>
    <x v="1"/>
    <s v="Expansion"/>
    <n v="26600"/>
    <n v="3.2000000000000001E-2"/>
    <n v="0.1"/>
    <s v="Pipeline"/>
    <m/>
    <n v="34"/>
    <n v="2145.71"/>
    <n v="2660"/>
  </r>
  <r>
    <s v="OPP-00378"/>
    <d v="2025-12-08T00:00:00"/>
    <x v="220"/>
    <s v="Account 0166"/>
    <s v="IT Services"/>
    <s v="SMB"/>
    <x v="1"/>
    <x v="3"/>
    <s v="Outbound"/>
    <x v="0"/>
    <x v="5"/>
    <s v="New Business"/>
    <n v="7300"/>
    <n v="0.19"/>
    <n v="0.35"/>
    <s v="Pipeline"/>
    <m/>
    <n v="91"/>
    <n v="492.88"/>
    <n v="2555"/>
  </r>
  <r>
    <s v="OPP-00379"/>
    <d v="2026-04-19T00:00:00"/>
    <x v="29"/>
    <s v="Account 0483"/>
    <s v="Manufacturing"/>
    <s v="Mid-Market"/>
    <x v="1"/>
    <x v="11"/>
    <s v="Webinar"/>
    <x v="3"/>
    <x v="1"/>
    <s v="Expansion"/>
    <n v="98100"/>
    <n v="0.16700000000000001"/>
    <n v="0.1"/>
    <s v="Pipeline"/>
    <m/>
    <n v="109"/>
    <n v="6807.61"/>
    <n v="9810"/>
  </r>
  <r>
    <s v="OPP-00380"/>
    <d v="2026-08-17T00:00:00"/>
    <x v="6"/>
    <s v="Account 0419"/>
    <s v="IT Services"/>
    <s v="SMB"/>
    <x v="3"/>
    <x v="10"/>
    <s v="Webinar"/>
    <x v="4"/>
    <x v="2"/>
    <s v="Expansion"/>
    <n v="9400"/>
    <n v="0.159"/>
    <n v="1"/>
    <s v="Closed"/>
    <m/>
    <n v="26"/>
    <n v="658.65"/>
    <n v="9400"/>
  </r>
  <r>
    <s v="OPP-00381"/>
    <d v="2025-12-14T00:00:00"/>
    <x v="170"/>
    <s v="Account 0558"/>
    <s v="E-commerce"/>
    <s v="Enterprise"/>
    <x v="3"/>
    <x v="5"/>
    <s v="Webinar"/>
    <x v="3"/>
    <x v="6"/>
    <s v="Expansion"/>
    <n v="279300"/>
    <n v="1.4E-2"/>
    <n v="0.2"/>
    <s v="Pipeline"/>
    <m/>
    <n v="111"/>
    <n v="22945.97"/>
    <n v="55860"/>
  </r>
  <r>
    <s v="OPP-00382"/>
    <d v="2026-03-17T00:00:00"/>
    <x v="44"/>
    <s v="Account 0282"/>
    <s v="Manufacturing"/>
    <s v="SMB"/>
    <x v="4"/>
    <x v="10"/>
    <s v="Outbound"/>
    <x v="1"/>
    <x v="2"/>
    <s v="New Business"/>
    <n v="16000"/>
    <n v="8.8999999999999996E-2"/>
    <n v="1"/>
    <s v="Closed"/>
    <m/>
    <n v="45"/>
    <n v="1214.1600000000001"/>
    <n v="16000"/>
  </r>
  <r>
    <s v="OPP-00383"/>
    <d v="2026-02-06T00:00:00"/>
    <x v="118"/>
    <s v="Account 0776"/>
    <s v="FinTech"/>
    <s v="SMB"/>
    <x v="3"/>
    <x v="4"/>
    <s v="Partner"/>
    <x v="3"/>
    <x v="1"/>
    <s v="Expansion"/>
    <n v="18400"/>
    <n v="0.19700000000000001"/>
    <n v="0.05"/>
    <s v="Pipeline"/>
    <m/>
    <n v="96"/>
    <n v="1231.19"/>
    <n v="920"/>
  </r>
  <r>
    <s v="OPP-00384"/>
    <d v="2025-10-24T00:00:00"/>
    <x v="221"/>
    <s v="Account 0267"/>
    <s v="E-commerce"/>
    <s v="Mid-Market"/>
    <x v="3"/>
    <x v="1"/>
    <s v="Partner"/>
    <x v="2"/>
    <x v="5"/>
    <s v="Renewal"/>
    <n v="34700"/>
    <n v="2E-3"/>
    <n v="0.35"/>
    <s v="Pipeline"/>
    <m/>
    <n v="47"/>
    <n v="2886.26"/>
    <n v="12145"/>
  </r>
  <r>
    <s v="OPP-00385"/>
    <d v="2025-12-02T00:00:00"/>
    <x v="7"/>
    <s v="Account 0065"/>
    <s v="Healthcare"/>
    <s v="SMB"/>
    <x v="3"/>
    <x v="0"/>
    <s v="Partner"/>
    <x v="2"/>
    <x v="2"/>
    <s v="Renewal"/>
    <n v="20300"/>
    <n v="0.121"/>
    <n v="1"/>
    <s v="Closed"/>
    <m/>
    <n v="59"/>
    <n v="1486.81"/>
    <n v="20300"/>
  </r>
  <r>
    <s v="OPP-00386"/>
    <d v="2025-12-10T00:00:00"/>
    <x v="116"/>
    <s v="Account 0374"/>
    <s v="E-commerce"/>
    <s v="Mid-Market"/>
    <x v="3"/>
    <x v="11"/>
    <s v="Referral"/>
    <x v="3"/>
    <x v="5"/>
    <s v="Expansion"/>
    <n v="38900"/>
    <n v="0.13"/>
    <n v="0.35"/>
    <s v="Pipeline"/>
    <m/>
    <n v="37"/>
    <n v="2820.57"/>
    <n v="13615"/>
  </r>
  <r>
    <s v="OPP-00387"/>
    <d v="2026-03-14T00:00:00"/>
    <x v="77"/>
    <s v="Account 0867"/>
    <s v="EdTech"/>
    <s v="Mid-Market"/>
    <x v="1"/>
    <x v="10"/>
    <s v="Referral"/>
    <x v="4"/>
    <x v="2"/>
    <s v="New Business"/>
    <n v="50900"/>
    <n v="0.16900000000000001"/>
    <n v="1"/>
    <s v="Closed"/>
    <m/>
    <n v="31"/>
    <n v="3526.17"/>
    <n v="50900"/>
  </r>
  <r>
    <s v="OPP-00388"/>
    <d v="2025-12-05T00:00:00"/>
    <x v="222"/>
    <s v="Account 0095"/>
    <s v="EdTech"/>
    <s v="SMB"/>
    <x v="1"/>
    <x v="4"/>
    <s v="Webinar"/>
    <x v="2"/>
    <x v="0"/>
    <s v="New Business"/>
    <n v="7400"/>
    <n v="9.9000000000000005E-2"/>
    <n v="0.05"/>
    <s v="Closed"/>
    <s v="Poor Fit"/>
    <n v="48"/>
    <n v="555.5"/>
    <n v="370"/>
  </r>
  <r>
    <s v="OPP-00389"/>
    <d v="2025-11-24T00:00:00"/>
    <x v="66"/>
    <s v="Account 0337"/>
    <s v="FinTech"/>
    <s v="SMB"/>
    <x v="2"/>
    <x v="4"/>
    <s v="Referral"/>
    <x v="1"/>
    <x v="5"/>
    <s v="New Business"/>
    <n v="18500"/>
    <n v="0.1"/>
    <n v="0.3"/>
    <s v="Pipeline"/>
    <m/>
    <n v="43"/>
    <n v="1387.57"/>
    <n v="5550"/>
  </r>
  <r>
    <s v="OPP-00390"/>
    <d v="2026-03-21T00:00:00"/>
    <x v="215"/>
    <s v="Account 0606"/>
    <s v="Healthcare"/>
    <s v="Enterprise"/>
    <x v="2"/>
    <x v="3"/>
    <s v="Referral"/>
    <x v="0"/>
    <x v="6"/>
    <s v="Expansion"/>
    <n v="282900"/>
    <n v="0.129"/>
    <n v="0.25"/>
    <s v="Pipeline"/>
    <m/>
    <n v="117"/>
    <n v="20535.46"/>
    <n v="70725"/>
  </r>
  <r>
    <s v="OPP-00391"/>
    <d v="2025-10-16T00:00:00"/>
    <x v="223"/>
    <s v="Account 0069"/>
    <s v="Logistics"/>
    <s v="Mid-Market"/>
    <x v="2"/>
    <x v="9"/>
    <s v="Referral"/>
    <x v="4"/>
    <x v="3"/>
    <s v="Renewal"/>
    <n v="99400"/>
    <n v="0.121"/>
    <n v="0.7"/>
    <s v="Commit"/>
    <m/>
    <n v="31"/>
    <n v="7283.9"/>
    <n v="69580"/>
  </r>
  <r>
    <s v="OPP-00392"/>
    <d v="2026-01-17T00:00:00"/>
    <x v="198"/>
    <s v="Account 0574"/>
    <s v="Manufacturing"/>
    <s v="SMB"/>
    <x v="1"/>
    <x v="3"/>
    <s v="Webinar"/>
    <x v="3"/>
    <x v="2"/>
    <s v="Renewal"/>
    <n v="12600"/>
    <n v="0.19400000000000001"/>
    <n v="1"/>
    <s v="Closed"/>
    <m/>
    <n v="78"/>
    <n v="846.28"/>
    <n v="12600"/>
  </r>
  <r>
    <s v="OPP-00393"/>
    <d v="2026-04-20T00:00:00"/>
    <x v="224"/>
    <s v="Account 0479"/>
    <s v="FinTech"/>
    <s v="Enterprise"/>
    <x v="0"/>
    <x v="10"/>
    <s v="Referral"/>
    <x v="2"/>
    <x v="3"/>
    <s v="Renewal"/>
    <n v="349100"/>
    <n v="2.5999999999999999E-2"/>
    <n v="0.8"/>
    <s v="Commit"/>
    <m/>
    <n v="44"/>
    <n v="28347.87"/>
    <n v="279280"/>
  </r>
  <r>
    <s v="OPP-00394"/>
    <d v="2026-07-20T00:00:00"/>
    <x v="126"/>
    <s v="Account 0024"/>
    <s v="IT Services"/>
    <s v="SMB"/>
    <x v="2"/>
    <x v="0"/>
    <s v="Partner"/>
    <x v="4"/>
    <x v="4"/>
    <s v="New Business"/>
    <n v="10800"/>
    <n v="0.14899999999999999"/>
    <n v="0.5"/>
    <s v="Best Case"/>
    <m/>
    <n v="35"/>
    <n v="765.5"/>
    <n v="5400"/>
  </r>
  <r>
    <s v="OPP-00395"/>
    <d v="2026-07-22T00:00:00"/>
    <x v="33"/>
    <s v="Account 0805"/>
    <s v="Manufacturing"/>
    <s v="SMB"/>
    <x v="1"/>
    <x v="7"/>
    <s v="Webinar"/>
    <x v="4"/>
    <x v="2"/>
    <s v="New Business"/>
    <n v="27400"/>
    <n v="0.158"/>
    <n v="1"/>
    <s v="Closed"/>
    <m/>
    <n v="21"/>
    <n v="1921.91"/>
    <n v="27400"/>
  </r>
  <r>
    <s v="OPP-00396"/>
    <d v="2026-08-18T00:00:00"/>
    <x v="6"/>
    <s v="Account 0915"/>
    <s v="FinTech"/>
    <s v="SMB"/>
    <x v="1"/>
    <x v="3"/>
    <s v="Referral"/>
    <x v="2"/>
    <x v="2"/>
    <s v="New Business"/>
    <n v="6900"/>
    <n v="5.8999999999999997E-2"/>
    <n v="0.95"/>
    <s v="Closed"/>
    <m/>
    <n v="25"/>
    <n v="541.25"/>
    <n v="6555"/>
  </r>
  <r>
    <s v="OPP-00397"/>
    <d v="2025-12-10T00:00:00"/>
    <x v="84"/>
    <s v="Account 0646"/>
    <s v="IT Services"/>
    <s v="Mid-Market"/>
    <x v="2"/>
    <x v="8"/>
    <s v="Referral"/>
    <x v="4"/>
    <x v="3"/>
    <s v="Renewal"/>
    <n v="87200"/>
    <n v="0.14699999999999999"/>
    <n v="0.8"/>
    <s v="Commit"/>
    <m/>
    <n v="91"/>
    <n v="6199.96"/>
    <n v="69760"/>
  </r>
  <r>
    <s v="OPP-00398"/>
    <d v="2026-03-21T00:00:00"/>
    <x v="225"/>
    <s v="Account 0283"/>
    <s v="Logistics"/>
    <s v="SMB"/>
    <x v="0"/>
    <x v="0"/>
    <s v="Outbound"/>
    <x v="2"/>
    <x v="1"/>
    <s v="Expansion"/>
    <n v="17500"/>
    <n v="0.13200000000000001"/>
    <n v="0.1"/>
    <s v="Pipeline"/>
    <m/>
    <n v="43"/>
    <n v="1266.43"/>
    <n v="1750"/>
  </r>
  <r>
    <s v="OPP-00399"/>
    <d v="2026-06-16T00:00:00"/>
    <x v="37"/>
    <s v="Account 0036"/>
    <s v="Healthcare"/>
    <s v="Enterprise"/>
    <x v="4"/>
    <x v="9"/>
    <s v="Outbound"/>
    <x v="0"/>
    <x v="4"/>
    <s v="Expansion"/>
    <n v="270600"/>
    <n v="7.2999999999999995E-2"/>
    <n v="0.55000000000000004"/>
    <s v="Best Case"/>
    <m/>
    <n v="54"/>
    <n v="20900"/>
    <n v="148830"/>
  </r>
  <r>
    <s v="OPP-00400"/>
    <d v="2026-06-05T00:00:00"/>
    <x v="106"/>
    <s v="Account 0832"/>
    <s v="FinTech"/>
    <s v="SMB"/>
    <x v="2"/>
    <x v="8"/>
    <s v="Product-Led"/>
    <x v="0"/>
    <x v="1"/>
    <s v="Expansion"/>
    <n v="17700"/>
    <n v="0.14799999999999999"/>
    <n v="0.1"/>
    <s v="Pipeline"/>
    <m/>
    <n v="27"/>
    <n v="1257.1300000000001"/>
    <n v="1770"/>
  </r>
  <r>
    <s v="OPP-00401"/>
    <d v="2026-04-20T00:00:00"/>
    <x v="56"/>
    <s v="Account 0138"/>
    <s v="IT Services"/>
    <s v="SMB"/>
    <x v="1"/>
    <x v="2"/>
    <s v="Referral"/>
    <x v="3"/>
    <x v="5"/>
    <s v="Renewal"/>
    <n v="9600"/>
    <n v="9.8000000000000004E-2"/>
    <n v="0.3"/>
    <s v="Pipeline"/>
    <m/>
    <n v="79"/>
    <n v="721.62"/>
    <n v="2880"/>
  </r>
  <r>
    <s v="OPP-00402"/>
    <d v="2026-02-10T00:00:00"/>
    <x v="84"/>
    <s v="Account 0849"/>
    <s v="EdTech"/>
    <s v="Mid-Market"/>
    <x v="3"/>
    <x v="5"/>
    <s v="Inbound"/>
    <x v="1"/>
    <x v="3"/>
    <s v="Renewal"/>
    <n v="60500"/>
    <n v="5.2999999999999999E-2"/>
    <n v="0.75"/>
    <s v="Commit"/>
    <m/>
    <n v="29"/>
    <n v="4773.97"/>
    <n v="45375"/>
  </r>
  <r>
    <s v="OPP-00403"/>
    <d v="2026-04-18T00:00:00"/>
    <x v="226"/>
    <s v="Account 0148"/>
    <s v="FinTech"/>
    <s v="SMB"/>
    <x v="1"/>
    <x v="4"/>
    <s v="Inbound"/>
    <x v="4"/>
    <x v="4"/>
    <s v="Expansion"/>
    <n v="29400"/>
    <n v="0.14699999999999999"/>
    <n v="0.55000000000000004"/>
    <s v="Best Case"/>
    <m/>
    <n v="63"/>
    <n v="2090.6799999999998"/>
    <n v="16170.000000000002"/>
  </r>
  <r>
    <s v="OPP-00404"/>
    <d v="2026-04-25T00:00:00"/>
    <x v="16"/>
    <s v="Account 0280"/>
    <s v="Manufacturing"/>
    <s v="SMB"/>
    <x v="4"/>
    <x v="3"/>
    <s v="Partner"/>
    <x v="0"/>
    <x v="3"/>
    <s v="Expansion"/>
    <n v="13300"/>
    <n v="9.4E-2"/>
    <n v="0.8"/>
    <s v="Commit"/>
    <m/>
    <n v="180"/>
    <n v="1003.66"/>
    <n v="10640"/>
  </r>
  <r>
    <s v="OPP-00405"/>
    <d v="2026-01-17T00:00:00"/>
    <x v="227"/>
    <s v="Account 0489"/>
    <s v="EdTech"/>
    <s v="Mid-Market"/>
    <x v="1"/>
    <x v="6"/>
    <s v="Referral"/>
    <x v="3"/>
    <x v="3"/>
    <s v="New Business"/>
    <n v="42400"/>
    <n v="1.4999999999999999E-2"/>
    <n v="0.7"/>
    <s v="Commit"/>
    <m/>
    <n v="91"/>
    <n v="3479.03"/>
    <n v="29679.999999999996"/>
  </r>
  <r>
    <s v="OPP-00406"/>
    <d v="2025-10-08T00:00:00"/>
    <x v="228"/>
    <s v="Account 0589"/>
    <s v="Logistics"/>
    <s v="Mid-Market"/>
    <x v="1"/>
    <x v="11"/>
    <s v="Outbound"/>
    <x v="0"/>
    <x v="6"/>
    <s v="Expansion"/>
    <n v="57500"/>
    <n v="5.7000000000000002E-2"/>
    <n v="0.25"/>
    <s v="Pipeline"/>
    <m/>
    <n v="74"/>
    <n v="4516.8500000000004"/>
    <n v="14375"/>
  </r>
  <r>
    <s v="OPP-00407"/>
    <d v="2025-10-14T00:00:00"/>
    <x v="229"/>
    <s v="Account 0928"/>
    <s v="IT Services"/>
    <s v="SMB"/>
    <x v="0"/>
    <x v="11"/>
    <s v="Outbound"/>
    <x v="1"/>
    <x v="5"/>
    <s v="Renewal"/>
    <n v="15600"/>
    <n v="0.14199999999999999"/>
    <n v="0.35"/>
    <s v="Pipeline"/>
    <m/>
    <n v="134"/>
    <n v="1115.27"/>
    <n v="5460"/>
  </r>
  <r>
    <s v="OPP-00408"/>
    <d v="2025-11-05T00:00:00"/>
    <x v="178"/>
    <s v="Account 0309"/>
    <s v="FinTech"/>
    <s v="SMB"/>
    <x v="1"/>
    <x v="2"/>
    <s v="Partner"/>
    <x v="3"/>
    <x v="2"/>
    <s v="Expansion"/>
    <n v="11200"/>
    <n v="0"/>
    <n v="1"/>
    <s v="Closed"/>
    <m/>
    <n v="166"/>
    <n v="933.33"/>
    <n v="11200"/>
  </r>
  <r>
    <s v="OPP-00409"/>
    <d v="2025-11-18T00:00:00"/>
    <x v="230"/>
    <s v="Account 0011"/>
    <s v="Manufacturing"/>
    <s v="SMB"/>
    <x v="3"/>
    <x v="4"/>
    <s v="Referral"/>
    <x v="0"/>
    <x v="6"/>
    <s v="New Business"/>
    <n v="21500"/>
    <n v="0.14799999999999999"/>
    <n v="0.2"/>
    <s v="Pipeline"/>
    <m/>
    <n v="51"/>
    <n v="1526.88"/>
    <n v="4300"/>
  </r>
  <r>
    <s v="OPP-00410"/>
    <d v="2026-02-28T00:00:00"/>
    <x v="152"/>
    <s v="Account 0167"/>
    <s v="IT Services"/>
    <s v="SMB"/>
    <x v="1"/>
    <x v="2"/>
    <s v="Outbound"/>
    <x v="0"/>
    <x v="0"/>
    <s v="New Business"/>
    <n v="6200"/>
    <n v="4.1000000000000002E-2"/>
    <n v="0"/>
    <s v="Closed"/>
    <s v="No Decision"/>
    <n v="43"/>
    <n v="495.59"/>
    <n v="0"/>
  </r>
  <r>
    <s v="OPP-00411"/>
    <d v="2026-06-11T00:00:00"/>
    <x v="33"/>
    <s v="Account 0026"/>
    <s v="E-commerce"/>
    <s v="Mid-Market"/>
    <x v="0"/>
    <x v="4"/>
    <s v="Outbound"/>
    <x v="1"/>
    <x v="5"/>
    <s v="New Business"/>
    <n v="69700"/>
    <n v="6.3E-2"/>
    <n v="0.35"/>
    <s v="Pipeline"/>
    <m/>
    <n v="62"/>
    <n v="5444.46"/>
    <n v="24395"/>
  </r>
  <r>
    <s v="OPP-00412"/>
    <d v="2026-08-23T00:00:00"/>
    <x v="46"/>
    <s v="Account 0614"/>
    <s v="FinTech"/>
    <s v="Mid-Market"/>
    <x v="4"/>
    <x v="7"/>
    <s v="Inbound"/>
    <x v="4"/>
    <x v="6"/>
    <s v="Renewal"/>
    <n v="53100"/>
    <n v="0.27100000000000002"/>
    <n v="0.2"/>
    <s v="Pipeline"/>
    <m/>
    <n v="35"/>
    <n v="3226.93"/>
    <n v="10620"/>
  </r>
  <r>
    <s v="OPP-00413"/>
    <d v="2025-12-24T00:00:00"/>
    <x v="231"/>
    <s v="Account 0503"/>
    <s v="Manufacturing"/>
    <s v="SMB"/>
    <x v="4"/>
    <x v="11"/>
    <s v="Webinar"/>
    <x v="0"/>
    <x v="2"/>
    <s v="Expansion"/>
    <n v="6200"/>
    <n v="0.14199999999999999"/>
    <n v="1"/>
    <s v="Closed"/>
    <m/>
    <n v="53"/>
    <n v="443.42"/>
    <n v="6200"/>
  </r>
  <r>
    <s v="OPP-00414"/>
    <d v="2026-08-15T00:00:00"/>
    <x v="6"/>
    <s v="Account 0585"/>
    <s v="Healthcare"/>
    <s v="SMB"/>
    <x v="4"/>
    <x v="10"/>
    <s v="Partner"/>
    <x v="0"/>
    <x v="0"/>
    <s v="New Business"/>
    <n v="28500"/>
    <n v="6.6000000000000003E-2"/>
    <n v="0"/>
    <s v="Closed"/>
    <s v="Poor Fit"/>
    <n v="28"/>
    <n v="2217.63"/>
    <n v="0"/>
  </r>
  <r>
    <s v="OPP-00415"/>
    <d v="2026-03-23T00:00:00"/>
    <x v="232"/>
    <s v="Account 0580"/>
    <s v="Healthcare"/>
    <s v="Mid-Market"/>
    <x v="2"/>
    <x v="6"/>
    <s v="Product-Led"/>
    <x v="3"/>
    <x v="4"/>
    <s v="Expansion"/>
    <n v="95700"/>
    <n v="0.16300000000000001"/>
    <n v="0.55000000000000004"/>
    <s v="Best Case"/>
    <m/>
    <n v="130"/>
    <n v="6678.05"/>
    <n v="52635.000000000007"/>
  </r>
  <r>
    <s v="OPP-00416"/>
    <d v="2026-04-27T00:00:00"/>
    <x v="117"/>
    <s v="Account 0306"/>
    <s v="Logistics"/>
    <s v="Enterprise"/>
    <x v="4"/>
    <x v="5"/>
    <s v="Referral"/>
    <x v="0"/>
    <x v="2"/>
    <s v="New Business"/>
    <n v="227900"/>
    <n v="6.0999999999999999E-2"/>
    <n v="1"/>
    <s v="Closed"/>
    <m/>
    <n v="94"/>
    <n v="17835.87"/>
    <n v="227900"/>
  </r>
  <r>
    <s v="OPP-00417"/>
    <d v="2026-02-23T00:00:00"/>
    <x v="171"/>
    <s v="Account 0288"/>
    <s v="FinTech"/>
    <s v="Mid-Market"/>
    <x v="2"/>
    <x v="6"/>
    <s v="Webinar"/>
    <x v="1"/>
    <x v="2"/>
    <s v="New Business"/>
    <n v="62300"/>
    <n v="8.7999999999999995E-2"/>
    <n v="1"/>
    <s v="Closed"/>
    <m/>
    <n v="47"/>
    <n v="4735.2700000000004"/>
    <n v="62300"/>
  </r>
  <r>
    <s v="OPP-00418"/>
    <d v="2026-07-22T00:00:00"/>
    <x v="89"/>
    <s v="Account 0282"/>
    <s v="EdTech"/>
    <s v="Mid-Market"/>
    <x v="4"/>
    <x v="2"/>
    <s v="Outbound"/>
    <x v="1"/>
    <x v="3"/>
    <s v="Renewal"/>
    <n v="34100"/>
    <n v="0.14699999999999999"/>
    <n v="0.7"/>
    <s v="Commit"/>
    <m/>
    <n v="109"/>
    <n v="2424.5"/>
    <n v="23870"/>
  </r>
  <r>
    <s v="OPP-00419"/>
    <d v="2026-04-07T00:00:00"/>
    <x v="184"/>
    <s v="Account 0182"/>
    <s v="IT Services"/>
    <s v="SMB"/>
    <x v="1"/>
    <x v="4"/>
    <s v="Inbound"/>
    <x v="1"/>
    <x v="1"/>
    <s v="New Business"/>
    <n v="28000"/>
    <n v="7.5999999999999998E-2"/>
    <n v="0.1"/>
    <s v="Pipeline"/>
    <m/>
    <n v="129"/>
    <n v="2156.4699999999998"/>
    <n v="2800"/>
  </r>
  <r>
    <s v="OPP-00420"/>
    <d v="2026-02-01T00:00:00"/>
    <x v="233"/>
    <s v="Account 0927"/>
    <s v="E-commerce"/>
    <s v="Mid-Market"/>
    <x v="1"/>
    <x v="7"/>
    <s v="Partner"/>
    <x v="1"/>
    <x v="1"/>
    <s v="Renewal"/>
    <n v="45000"/>
    <n v="0.17799999999999999"/>
    <n v="0.1"/>
    <s v="Pipeline"/>
    <m/>
    <n v="39"/>
    <n v="3082.95"/>
    <n v="4500"/>
  </r>
  <r>
    <s v="OPP-00421"/>
    <d v="2025-11-02T00:00:00"/>
    <x v="84"/>
    <s v="Account 0877"/>
    <s v="FinTech"/>
    <s v="Enterprise"/>
    <x v="3"/>
    <x v="8"/>
    <s v="Product-Led"/>
    <x v="0"/>
    <x v="1"/>
    <s v="Expansion"/>
    <n v="151000"/>
    <n v="8.4000000000000005E-2"/>
    <n v="0.1"/>
    <s v="Pipeline"/>
    <m/>
    <n v="129"/>
    <n v="11520.64"/>
    <n v="15100"/>
  </r>
  <r>
    <s v="OPP-00422"/>
    <d v="2025-12-24T00:00:00"/>
    <x v="23"/>
    <s v="Account 0624"/>
    <s v="Healthcare"/>
    <s v="Mid-Market"/>
    <x v="0"/>
    <x v="8"/>
    <s v="Outbound"/>
    <x v="0"/>
    <x v="3"/>
    <s v="Expansion"/>
    <n v="87900"/>
    <n v="0.15"/>
    <n v="0.8"/>
    <s v="Commit"/>
    <m/>
    <n v="150"/>
    <n v="6227.38"/>
    <n v="70320"/>
  </r>
  <r>
    <s v="OPP-00423"/>
    <d v="2025-10-23T00:00:00"/>
    <x v="222"/>
    <s v="Account 0252"/>
    <s v="Manufacturing"/>
    <s v="SMB"/>
    <x v="2"/>
    <x v="9"/>
    <s v="Referral"/>
    <x v="1"/>
    <x v="5"/>
    <s v="Renewal"/>
    <n v="17000"/>
    <n v="0.18099999999999999"/>
    <n v="0.3"/>
    <s v="Pipeline"/>
    <m/>
    <n v="91"/>
    <n v="1160.18"/>
    <n v="5100"/>
  </r>
  <r>
    <s v="OPP-00424"/>
    <d v="2026-04-27T00:00:00"/>
    <x v="234"/>
    <s v="Account 0794"/>
    <s v="EdTech"/>
    <s v="SMB"/>
    <x v="2"/>
    <x v="0"/>
    <s v="Inbound"/>
    <x v="1"/>
    <x v="3"/>
    <s v="Renewal"/>
    <n v="16700"/>
    <n v="6.2E-2"/>
    <n v="0.7"/>
    <s v="Commit"/>
    <m/>
    <n v="177"/>
    <n v="1305.27"/>
    <n v="11690"/>
  </r>
  <r>
    <s v="OPP-00425"/>
    <d v="2026-02-26T00:00:00"/>
    <x v="235"/>
    <s v="Account 0916"/>
    <s v="IT Services"/>
    <s v="Mid-Market"/>
    <x v="2"/>
    <x v="0"/>
    <s v="Inbound"/>
    <x v="0"/>
    <x v="4"/>
    <s v="New Business"/>
    <n v="82000"/>
    <n v="7.9000000000000001E-2"/>
    <n v="0.55000000000000004"/>
    <s v="Best Case"/>
    <m/>
    <n v="149"/>
    <n v="6295.11"/>
    <n v="45100.000000000007"/>
  </r>
  <r>
    <s v="OPP-00426"/>
    <d v="2026-01-09T00:00:00"/>
    <x v="122"/>
    <s v="Account 0817"/>
    <s v="E-commerce"/>
    <s v="Mid-Market"/>
    <x v="0"/>
    <x v="10"/>
    <s v="Product-Led"/>
    <x v="1"/>
    <x v="1"/>
    <s v="Expansion"/>
    <n v="27100"/>
    <n v="0.17299999999999999"/>
    <n v="0.05"/>
    <s v="Pipeline"/>
    <m/>
    <n v="34"/>
    <n v="1867.87"/>
    <n v="1355"/>
  </r>
  <r>
    <s v="OPP-00427"/>
    <d v="2025-11-24T00:00:00"/>
    <x v="164"/>
    <s v="Account 0190"/>
    <s v="Manufacturing"/>
    <s v="SMB"/>
    <x v="0"/>
    <x v="8"/>
    <s v="Inbound"/>
    <x v="0"/>
    <x v="6"/>
    <s v="Renewal"/>
    <n v="11300"/>
    <n v="7.9000000000000001E-2"/>
    <n v="0.15"/>
    <s v="Pipeline"/>
    <m/>
    <n v="126"/>
    <n v="866.91"/>
    <n v="1695"/>
  </r>
  <r>
    <s v="OPP-00428"/>
    <d v="2026-07-18T00:00:00"/>
    <x v="15"/>
    <s v="Account 0267"/>
    <s v="Logistics"/>
    <s v="SMB"/>
    <x v="2"/>
    <x v="10"/>
    <s v="Inbound"/>
    <x v="2"/>
    <x v="1"/>
    <s v="New Business"/>
    <n v="29800"/>
    <n v="0.18099999999999999"/>
    <n v="0.15"/>
    <s v="Pipeline"/>
    <m/>
    <n v="86"/>
    <n v="2033.02"/>
    <n v="4470"/>
  </r>
  <r>
    <s v="OPP-00429"/>
    <d v="2025-11-24T00:00:00"/>
    <x v="218"/>
    <s v="Account 0791"/>
    <s v="SaaS"/>
    <s v="SMB"/>
    <x v="0"/>
    <x v="5"/>
    <s v="Partner"/>
    <x v="2"/>
    <x v="0"/>
    <s v="New Business"/>
    <n v="23000"/>
    <n v="9.2999999999999999E-2"/>
    <n v="0"/>
    <s v="Closed"/>
    <s v="Competitor"/>
    <n v="30"/>
    <n v="1738.13"/>
    <n v="0"/>
  </r>
  <r>
    <s v="OPP-00430"/>
    <d v="2026-01-11T00:00:00"/>
    <x v="236"/>
    <s v="Account 0103"/>
    <s v="FinTech"/>
    <s v="Mid-Market"/>
    <x v="1"/>
    <x v="4"/>
    <s v="Webinar"/>
    <x v="0"/>
    <x v="0"/>
    <s v="Expansion"/>
    <n v="95400"/>
    <n v="0.184"/>
    <n v="0"/>
    <s v="Closed"/>
    <s v="Champion Left"/>
    <n v="123"/>
    <n v="6486.85"/>
    <n v="0"/>
  </r>
  <r>
    <s v="OPP-00431"/>
    <d v="2025-12-16T00:00:00"/>
    <x v="65"/>
    <s v="Account 0173"/>
    <s v="IT Services"/>
    <s v="SMB"/>
    <x v="3"/>
    <x v="2"/>
    <s v="Webinar"/>
    <x v="3"/>
    <x v="4"/>
    <s v="Renewal"/>
    <n v="10200"/>
    <n v="0.11799999999999999"/>
    <n v="0.5"/>
    <s v="Best Case"/>
    <m/>
    <n v="70"/>
    <n v="749.63"/>
    <n v="5100"/>
  </r>
  <r>
    <s v="OPP-00432"/>
    <d v="2026-06-05T00:00:00"/>
    <x v="99"/>
    <s v="Account 0777"/>
    <s v="Healthcare"/>
    <s v="Enterprise"/>
    <x v="3"/>
    <x v="2"/>
    <s v="Referral"/>
    <x v="2"/>
    <x v="4"/>
    <s v="Expansion"/>
    <n v="145100"/>
    <n v="0.112"/>
    <n v="0.55000000000000004"/>
    <s v="Best Case"/>
    <m/>
    <n v="48"/>
    <n v="10743.23"/>
    <n v="79805"/>
  </r>
  <r>
    <s v="OPP-00433"/>
    <d v="2026-02-04T00:00:00"/>
    <x v="237"/>
    <s v="Account 0329"/>
    <s v="Manufacturing"/>
    <s v="Enterprise"/>
    <x v="2"/>
    <x v="0"/>
    <s v="Outbound"/>
    <x v="2"/>
    <x v="4"/>
    <s v="Expansion"/>
    <n v="99900"/>
    <n v="9.4E-2"/>
    <n v="0.55000000000000004"/>
    <s v="Best Case"/>
    <m/>
    <n v="57"/>
    <n v="7545.27"/>
    <n v="54945.000000000007"/>
  </r>
  <r>
    <s v="OPP-00434"/>
    <d v="2026-08-22T00:00:00"/>
    <x v="6"/>
    <s v="Account 0123"/>
    <s v="FinTech"/>
    <s v="SMB"/>
    <x v="2"/>
    <x v="7"/>
    <s v="Inbound"/>
    <x v="2"/>
    <x v="0"/>
    <s v="Expansion"/>
    <n v="19000"/>
    <n v="0.14199999999999999"/>
    <n v="0"/>
    <s v="Closed"/>
    <s v="Security Review"/>
    <n v="21"/>
    <n v="1358.57"/>
    <n v="0"/>
  </r>
  <r>
    <s v="OPP-00435"/>
    <d v="2026-01-07T00:00:00"/>
    <x v="48"/>
    <s v="Account 0064"/>
    <s v="Healthcare"/>
    <s v="Enterprise"/>
    <x v="2"/>
    <x v="9"/>
    <s v="Partner"/>
    <x v="3"/>
    <x v="1"/>
    <s v="Renewal"/>
    <n v="249000"/>
    <n v="0.17499999999999999"/>
    <n v="0.1"/>
    <s v="Pipeline"/>
    <m/>
    <n v="133"/>
    <n v="17118.11"/>
    <n v="24900"/>
  </r>
  <r>
    <s v="OPP-00436"/>
    <d v="2026-01-01T00:00:00"/>
    <x v="194"/>
    <s v="Account 0531"/>
    <s v="EdTech"/>
    <s v="Enterprise"/>
    <x v="0"/>
    <x v="2"/>
    <s v="Inbound"/>
    <x v="0"/>
    <x v="3"/>
    <s v="New Business"/>
    <n v="168800"/>
    <n v="0.17799999999999999"/>
    <n v="0.75"/>
    <s v="Commit"/>
    <m/>
    <n v="112"/>
    <n v="11565.57"/>
    <n v="126600"/>
  </r>
  <r>
    <s v="OPP-00437"/>
    <d v="2025-11-07T00:00:00"/>
    <x v="145"/>
    <s v="Account 0936"/>
    <s v="Manufacturing"/>
    <s v="SMB"/>
    <x v="1"/>
    <x v="0"/>
    <s v="Outbound"/>
    <x v="0"/>
    <x v="3"/>
    <s v="Renewal"/>
    <n v="16800"/>
    <n v="8.1000000000000003E-2"/>
    <n v="0.75"/>
    <s v="Commit"/>
    <m/>
    <n v="147"/>
    <n v="1286.77"/>
    <n v="12600"/>
  </r>
  <r>
    <s v="OPP-00438"/>
    <d v="2026-05-23T00:00:00"/>
    <x v="103"/>
    <s v="Account 0942"/>
    <s v="Logistics"/>
    <s v="SMB"/>
    <x v="0"/>
    <x v="2"/>
    <s v="Outbound"/>
    <x v="4"/>
    <x v="0"/>
    <s v="Renewal"/>
    <n v="22000"/>
    <n v="0.16"/>
    <n v="0"/>
    <s v="Closed"/>
    <s v="Poor Fit"/>
    <n v="66"/>
    <n v="1539.67"/>
    <n v="0"/>
  </r>
  <r>
    <s v="OPP-00439"/>
    <d v="2025-10-02T00:00:00"/>
    <x v="88"/>
    <s v="Account 0638"/>
    <s v="IT Services"/>
    <s v="SMB"/>
    <x v="1"/>
    <x v="5"/>
    <s v="Inbound"/>
    <x v="3"/>
    <x v="4"/>
    <s v="Renewal"/>
    <n v="26200"/>
    <n v="6.0999999999999999E-2"/>
    <n v="0.55000000000000004"/>
    <s v="Best Case"/>
    <m/>
    <n v="128"/>
    <n v="2050.38"/>
    <n v="14410.000000000002"/>
  </r>
  <r>
    <s v="OPP-00440"/>
    <d v="2026-03-18T00:00:00"/>
    <x v="238"/>
    <s v="Account 0702"/>
    <s v="IT Services"/>
    <s v="SMB"/>
    <x v="3"/>
    <x v="11"/>
    <s v="Product-Led"/>
    <x v="3"/>
    <x v="0"/>
    <s v="New Business"/>
    <n v="24400"/>
    <n v="0.127"/>
    <n v="0"/>
    <s v="Closed"/>
    <s v="Champion Left"/>
    <n v="61"/>
    <n v="1774.18"/>
    <n v="0"/>
  </r>
  <r>
    <s v="OPP-00441"/>
    <d v="2026-06-05T00:00:00"/>
    <x v="31"/>
    <s v="Account 0747"/>
    <s v="Healthcare"/>
    <s v="Enterprise"/>
    <x v="4"/>
    <x v="2"/>
    <s v="Partner"/>
    <x v="2"/>
    <x v="1"/>
    <s v="Renewal"/>
    <n v="175500"/>
    <n v="0.123"/>
    <n v="0.1"/>
    <s v="Pipeline"/>
    <m/>
    <n v="54"/>
    <n v="12827.91"/>
    <n v="17550"/>
  </r>
  <r>
    <s v="OPP-00442"/>
    <d v="2026-08-05T00:00:00"/>
    <x v="109"/>
    <s v="Account 0160"/>
    <s v="FinTech"/>
    <s v="SMB"/>
    <x v="1"/>
    <x v="11"/>
    <s v="Inbound"/>
    <x v="1"/>
    <x v="6"/>
    <s v="Expansion"/>
    <n v="22200"/>
    <n v="9.9000000000000005E-2"/>
    <n v="0.15"/>
    <s v="Pipeline"/>
    <m/>
    <n v="42"/>
    <n v="1666.45"/>
    <n v="3330"/>
  </r>
  <r>
    <s v="OPP-00443"/>
    <d v="2025-12-02T00:00:00"/>
    <x v="194"/>
    <s v="Account 0737"/>
    <s v="Logistics"/>
    <s v="Enterprise"/>
    <x v="3"/>
    <x v="6"/>
    <s v="Outbound"/>
    <x v="2"/>
    <x v="1"/>
    <s v="New Business"/>
    <n v="244500"/>
    <n v="8.5999999999999993E-2"/>
    <n v="0.1"/>
    <s v="Pipeline"/>
    <m/>
    <n v="142"/>
    <n v="18616.78"/>
    <n v="24450"/>
  </r>
  <r>
    <s v="OPP-00444"/>
    <d v="2026-05-28T00:00:00"/>
    <x v="239"/>
    <s v="Account 0570"/>
    <s v="FinTech"/>
    <s v="Enterprise"/>
    <x v="0"/>
    <x v="4"/>
    <s v="Webinar"/>
    <x v="3"/>
    <x v="4"/>
    <s v="New Business"/>
    <n v="227800"/>
    <n v="0.109"/>
    <n v="0.5"/>
    <s v="Best Case"/>
    <m/>
    <n v="83"/>
    <n v="16907.32"/>
    <n v="113900"/>
  </r>
  <r>
    <s v="OPP-00445"/>
    <d v="2025-10-30T00:00:00"/>
    <x v="0"/>
    <s v="Account 0030"/>
    <s v="Logistics"/>
    <s v="SMB"/>
    <x v="3"/>
    <x v="7"/>
    <s v="Referral"/>
    <x v="0"/>
    <x v="2"/>
    <s v="New Business"/>
    <n v="19700"/>
    <n v="0.10100000000000001"/>
    <n v="1"/>
    <s v="Closed"/>
    <m/>
    <n v="129"/>
    <n v="1475.12"/>
    <n v="19700"/>
  </r>
  <r>
    <s v="OPP-00446"/>
    <d v="2026-05-22T00:00:00"/>
    <x v="42"/>
    <s v="Account 0446"/>
    <s v="E-commerce"/>
    <s v="SMB"/>
    <x v="0"/>
    <x v="2"/>
    <s v="Partner"/>
    <x v="4"/>
    <x v="5"/>
    <s v="New Business"/>
    <n v="18700"/>
    <n v="0.14000000000000001"/>
    <n v="0.3"/>
    <s v="Pipeline"/>
    <m/>
    <n v="48"/>
    <n v="1340.85"/>
    <n v="5610"/>
  </r>
  <r>
    <s v="OPP-00447"/>
    <d v="2025-11-03T00:00:00"/>
    <x v="66"/>
    <s v="Account 0780"/>
    <s v="EdTech"/>
    <s v="Enterprise"/>
    <x v="0"/>
    <x v="6"/>
    <s v="Outbound"/>
    <x v="4"/>
    <x v="1"/>
    <s v="Expansion"/>
    <n v="189300"/>
    <n v="0.125"/>
    <n v="0.05"/>
    <s v="Pipeline"/>
    <m/>
    <n v="64"/>
    <n v="13802.86"/>
    <n v="9465"/>
  </r>
  <r>
    <s v="OPP-00448"/>
    <d v="2026-08-16T00:00:00"/>
    <x v="240"/>
    <s v="Account 0851"/>
    <s v="E-commerce"/>
    <s v="Mid-Market"/>
    <x v="2"/>
    <x v="6"/>
    <s v="Outbound"/>
    <x v="4"/>
    <x v="5"/>
    <s v="Expansion"/>
    <n v="72700"/>
    <n v="4.9000000000000002E-2"/>
    <n v="0.35"/>
    <s v="Pipeline"/>
    <m/>
    <n v="33"/>
    <n v="5762.54"/>
    <n v="25445"/>
  </r>
  <r>
    <s v="OPP-00449"/>
    <d v="2026-02-09T00:00:00"/>
    <x v="241"/>
    <s v="Account 0664"/>
    <s v="SaaS"/>
    <s v="SMB"/>
    <x v="1"/>
    <x v="3"/>
    <s v="Inbound"/>
    <x v="3"/>
    <x v="2"/>
    <s v="Expansion"/>
    <n v="8000"/>
    <n v="0.109"/>
    <n v="1"/>
    <s v="Closed"/>
    <m/>
    <n v="35"/>
    <n v="594"/>
    <n v="8000"/>
  </r>
  <r>
    <s v="OPP-00450"/>
    <d v="2026-01-30T00:00:00"/>
    <x v="196"/>
    <s v="Account 0223"/>
    <s v="IT Services"/>
    <s v="Enterprise"/>
    <x v="0"/>
    <x v="7"/>
    <s v="Webinar"/>
    <x v="2"/>
    <x v="1"/>
    <s v="Expansion"/>
    <n v="203500"/>
    <n v="0.214"/>
    <n v="0.05"/>
    <s v="Pipeline"/>
    <m/>
    <n v="126"/>
    <n v="13330.4"/>
    <n v="10175"/>
  </r>
  <r>
    <s v="OPP-00451"/>
    <d v="2026-02-21T00:00:00"/>
    <x v="108"/>
    <s v="Account 0789"/>
    <s v="FinTech"/>
    <s v="Enterprise"/>
    <x v="4"/>
    <x v="3"/>
    <s v="Partner"/>
    <x v="1"/>
    <x v="2"/>
    <s v="Expansion"/>
    <n v="117100"/>
    <n v="0.17100000000000001"/>
    <n v="1"/>
    <s v="Closed"/>
    <m/>
    <n v="161"/>
    <n v="8089.54"/>
    <n v="117100"/>
  </r>
  <r>
    <s v="OPP-00452"/>
    <d v="2026-04-07T00:00:00"/>
    <x v="48"/>
    <s v="Account 0598"/>
    <s v="Logistics"/>
    <s v="SMB"/>
    <x v="2"/>
    <x v="11"/>
    <s v="Inbound"/>
    <x v="2"/>
    <x v="3"/>
    <s v="Renewal"/>
    <n v="15200"/>
    <n v="5.7000000000000002E-2"/>
    <n v="0.75"/>
    <s v="Commit"/>
    <m/>
    <n v="43"/>
    <n v="1194.3900000000001"/>
    <n v="11400"/>
  </r>
  <r>
    <s v="OPP-00453"/>
    <d v="2026-03-23T00:00:00"/>
    <x v="191"/>
    <s v="Account 0778"/>
    <s v="SaaS"/>
    <s v="Enterprise"/>
    <x v="3"/>
    <x v="5"/>
    <s v="Partner"/>
    <x v="2"/>
    <x v="6"/>
    <s v="New Business"/>
    <n v="289900"/>
    <n v="7.1999999999999995E-2"/>
    <n v="0.2"/>
    <s v="Pipeline"/>
    <m/>
    <n v="34"/>
    <n v="22422.43"/>
    <n v="57980"/>
  </r>
  <r>
    <s v="OPP-00454"/>
    <d v="2026-05-28T00:00:00"/>
    <x v="242"/>
    <s v="Account 0297"/>
    <s v="IT Services"/>
    <s v="SMB"/>
    <x v="2"/>
    <x v="1"/>
    <s v="Outbound"/>
    <x v="4"/>
    <x v="0"/>
    <s v="Expansion"/>
    <n v="29000"/>
    <n v="0.30099999999999999"/>
    <n v="0"/>
    <s v="Closed"/>
    <s v="No Decision"/>
    <n v="54"/>
    <n v="1690.36"/>
    <n v="0"/>
  </r>
  <r>
    <s v="OPP-00455"/>
    <d v="2026-06-13T00:00:00"/>
    <x v="49"/>
    <s v="Account 0551"/>
    <s v="EdTech"/>
    <s v="Mid-Market"/>
    <x v="4"/>
    <x v="10"/>
    <s v="Inbound"/>
    <x v="0"/>
    <x v="4"/>
    <s v="Renewal"/>
    <n v="58400"/>
    <n v="0.13400000000000001"/>
    <n v="0.55000000000000004"/>
    <s v="Best Case"/>
    <m/>
    <n v="27"/>
    <n v="4213.51"/>
    <n v="32120.000000000004"/>
  </r>
  <r>
    <s v="OPP-00456"/>
    <d v="2025-12-26T00:00:00"/>
    <x v="166"/>
    <s v="Account 0134"/>
    <s v="FinTech"/>
    <s v="Mid-Market"/>
    <x v="4"/>
    <x v="4"/>
    <s v="Product-Led"/>
    <x v="4"/>
    <x v="1"/>
    <s v="Expansion"/>
    <n v="72600"/>
    <n v="8.8999999999999996E-2"/>
    <n v="0.1"/>
    <s v="Pipeline"/>
    <m/>
    <n v="84"/>
    <n v="5513.06"/>
    <n v="7260"/>
  </r>
  <r>
    <s v="OPP-00457"/>
    <d v="2025-12-19T00:00:00"/>
    <x v="229"/>
    <s v="Account 0119"/>
    <s v="FinTech"/>
    <s v="Mid-Market"/>
    <x v="0"/>
    <x v="10"/>
    <s v="Inbound"/>
    <x v="4"/>
    <x v="6"/>
    <s v="New Business"/>
    <n v="48800"/>
    <n v="1.7000000000000001E-2"/>
    <n v="0.2"/>
    <s v="Pipeline"/>
    <m/>
    <n v="68"/>
    <n v="3997.37"/>
    <n v="9760"/>
  </r>
  <r>
    <s v="OPP-00458"/>
    <d v="2026-03-17T00:00:00"/>
    <x v="131"/>
    <s v="Account 0700"/>
    <s v="SaaS"/>
    <s v="Mid-Market"/>
    <x v="2"/>
    <x v="10"/>
    <s v="Referral"/>
    <x v="0"/>
    <x v="0"/>
    <s v="Renewal"/>
    <n v="67000"/>
    <n v="0.12"/>
    <n v="0.05"/>
    <s v="Closed"/>
    <s v="Champion Left"/>
    <n v="30"/>
    <n v="4913.53"/>
    <n v="3350"/>
  </r>
  <r>
    <s v="OPP-00459"/>
    <d v="2026-02-11T00:00:00"/>
    <x v="12"/>
    <s v="Account 0135"/>
    <s v="Manufacturing"/>
    <s v="Mid-Market"/>
    <x v="3"/>
    <x v="7"/>
    <s v="Webinar"/>
    <x v="4"/>
    <x v="3"/>
    <s v="New Business"/>
    <n v="65900"/>
    <n v="5.8999999999999997E-2"/>
    <n v="0.75"/>
    <s v="Commit"/>
    <m/>
    <n v="42"/>
    <n v="5168.0600000000004"/>
    <n v="49425"/>
  </r>
  <r>
    <s v="OPP-00460"/>
    <d v="2025-11-22T00:00:00"/>
    <x v="25"/>
    <s v="Account 0160"/>
    <s v="Healthcare"/>
    <s v="Mid-Market"/>
    <x v="4"/>
    <x v="3"/>
    <s v="Outbound"/>
    <x v="3"/>
    <x v="0"/>
    <s v="Expansion"/>
    <n v="26000"/>
    <n v="0.155"/>
    <n v="0"/>
    <s v="Closed"/>
    <s v="Competitor"/>
    <n v="154"/>
    <n v="1830.56"/>
    <n v="0"/>
  </r>
  <r>
    <s v="OPP-00461"/>
    <d v="2026-03-26T00:00:00"/>
    <x v="243"/>
    <s v="Account 0887"/>
    <s v="SaaS"/>
    <s v="Mid-Market"/>
    <x v="1"/>
    <x v="3"/>
    <s v="Outbound"/>
    <x v="3"/>
    <x v="3"/>
    <s v="Renewal"/>
    <n v="42000"/>
    <n v="0.23400000000000001"/>
    <n v="0.7"/>
    <s v="Commit"/>
    <m/>
    <n v="91"/>
    <n v="2680.6"/>
    <n v="29399.999999999996"/>
  </r>
  <r>
    <s v="OPP-00462"/>
    <d v="2026-04-11T00:00:00"/>
    <x v="67"/>
    <s v="Account 0441"/>
    <s v="EdTech"/>
    <s v="SMB"/>
    <x v="0"/>
    <x v="1"/>
    <s v="Partner"/>
    <x v="0"/>
    <x v="1"/>
    <s v="Expansion"/>
    <n v="19600"/>
    <n v="8.2000000000000003E-2"/>
    <n v="0.1"/>
    <s v="Pipeline"/>
    <m/>
    <n v="43"/>
    <n v="1499.65"/>
    <n v="1960"/>
  </r>
  <r>
    <s v="OPP-00463"/>
    <d v="2025-11-07T00:00:00"/>
    <x v="244"/>
    <s v="Account 0092"/>
    <s v="EdTech"/>
    <s v="Enterprise"/>
    <x v="2"/>
    <x v="8"/>
    <s v="Outbound"/>
    <x v="4"/>
    <x v="2"/>
    <s v="Renewal"/>
    <n v="336700"/>
    <n v="0.15"/>
    <n v="0.95"/>
    <s v="Closed"/>
    <m/>
    <n v="94"/>
    <n v="23861.279999999999"/>
    <n v="319865"/>
  </r>
  <r>
    <s v="OPP-00464"/>
    <d v="2026-05-30T00:00:00"/>
    <x v="135"/>
    <s v="Account 0055"/>
    <s v="Manufacturing"/>
    <s v="SMB"/>
    <x v="4"/>
    <x v="10"/>
    <s v="Inbound"/>
    <x v="0"/>
    <x v="6"/>
    <s v="New Business"/>
    <n v="7700"/>
    <n v="7.2999999999999995E-2"/>
    <n v="0.2"/>
    <s v="Pipeline"/>
    <m/>
    <n v="147"/>
    <n v="594.54999999999995"/>
    <n v="1540"/>
  </r>
  <r>
    <s v="OPP-00465"/>
    <d v="2026-08-28T00:00:00"/>
    <x v="107"/>
    <s v="Account 0083"/>
    <s v="FinTech"/>
    <s v="Mid-Market"/>
    <x v="3"/>
    <x v="7"/>
    <s v="Product-Led"/>
    <x v="2"/>
    <x v="6"/>
    <s v="New Business"/>
    <n v="96400"/>
    <n v="0.17499999999999999"/>
    <n v="0.2"/>
    <s v="Pipeline"/>
    <m/>
    <n v="73"/>
    <n v="6629.57"/>
    <n v="19280"/>
  </r>
  <r>
    <s v="OPP-00466"/>
    <d v="2026-02-21T00:00:00"/>
    <x v="160"/>
    <s v="Account 0776"/>
    <s v="FinTech"/>
    <s v="SMB"/>
    <x v="0"/>
    <x v="1"/>
    <s v="Partner"/>
    <x v="1"/>
    <x v="6"/>
    <s v="Renewal"/>
    <n v="6100"/>
    <n v="5.0000000000000001E-3"/>
    <n v="0.25"/>
    <s v="Pipeline"/>
    <m/>
    <n v="65"/>
    <n v="505.74"/>
    <n v="1525"/>
  </r>
  <r>
    <s v="OPP-00467"/>
    <d v="2025-12-20T00:00:00"/>
    <x v="177"/>
    <s v="Account 0825"/>
    <s v="SaaS"/>
    <s v="SMB"/>
    <x v="4"/>
    <x v="3"/>
    <s v="Referral"/>
    <x v="0"/>
    <x v="1"/>
    <s v="Renewal"/>
    <n v="6400"/>
    <n v="3.9E-2"/>
    <n v="0.1"/>
    <s v="Pipeline"/>
    <m/>
    <n v="146"/>
    <n v="512.37"/>
    <n v="640"/>
  </r>
  <r>
    <s v="OPP-00468"/>
    <d v="2026-03-16T00:00:00"/>
    <x v="232"/>
    <s v="Account 0217"/>
    <s v="Logistics"/>
    <s v="SMB"/>
    <x v="1"/>
    <x v="10"/>
    <s v="Webinar"/>
    <x v="2"/>
    <x v="1"/>
    <s v="Expansion"/>
    <n v="16900"/>
    <n v="0.151"/>
    <n v="0.15"/>
    <s v="Pipeline"/>
    <m/>
    <n v="137"/>
    <n v="1195.1300000000001"/>
    <n v="2535"/>
  </r>
  <r>
    <s v="OPP-00469"/>
    <d v="2026-08-20T00:00:00"/>
    <x v="6"/>
    <s v="Account 0580"/>
    <s v="EdTech"/>
    <s v="SMB"/>
    <x v="0"/>
    <x v="3"/>
    <s v="Webinar"/>
    <x v="3"/>
    <x v="0"/>
    <s v="Expansion"/>
    <n v="11500"/>
    <n v="0.127"/>
    <n v="0"/>
    <s v="Closed"/>
    <s v="Poor Fit"/>
    <n v="23"/>
    <n v="836.63"/>
    <n v="0"/>
  </r>
  <r>
    <s v="OPP-00470"/>
    <d v="2026-07-18T00:00:00"/>
    <x v="70"/>
    <s v="Account 0440"/>
    <s v="E-commerce"/>
    <s v="SMB"/>
    <x v="4"/>
    <x v="0"/>
    <s v="Inbound"/>
    <x v="0"/>
    <x v="1"/>
    <s v="New Business"/>
    <n v="29300"/>
    <n v="0.14099999999999999"/>
    <n v="0.1"/>
    <s v="Pipeline"/>
    <m/>
    <n v="82"/>
    <n v="2097.27"/>
    <n v="2930"/>
  </r>
  <r>
    <s v="OPP-00471"/>
    <d v="2025-12-19T00:00:00"/>
    <x v="181"/>
    <s v="Account 0178"/>
    <s v="FinTech"/>
    <s v="Mid-Market"/>
    <x v="4"/>
    <x v="7"/>
    <s v="Webinar"/>
    <x v="3"/>
    <x v="4"/>
    <s v="Expansion"/>
    <n v="95600"/>
    <n v="0.19800000000000001"/>
    <n v="0.55000000000000004"/>
    <s v="Best Case"/>
    <m/>
    <n v="27"/>
    <n v="6393.23"/>
    <n v="52580.000000000007"/>
  </r>
  <r>
    <s v="OPP-00472"/>
    <d v="2026-06-24T00:00:00"/>
    <x v="113"/>
    <s v="Account 0293"/>
    <s v="Logistics"/>
    <s v="SMB"/>
    <x v="0"/>
    <x v="10"/>
    <s v="Product-Led"/>
    <x v="1"/>
    <x v="5"/>
    <s v="New Business"/>
    <n v="27600"/>
    <n v="6.9000000000000006E-2"/>
    <n v="0.3"/>
    <s v="Pipeline"/>
    <m/>
    <n v="134"/>
    <n v="2142.19"/>
    <n v="8280"/>
  </r>
  <r>
    <s v="OPP-00473"/>
    <d v="2025-11-16T00:00:00"/>
    <x v="245"/>
    <s v="Account 0884"/>
    <s v="Healthcare"/>
    <s v="SMB"/>
    <x v="2"/>
    <x v="3"/>
    <s v="Referral"/>
    <x v="4"/>
    <x v="3"/>
    <s v="Renewal"/>
    <n v="7600"/>
    <n v="0.127"/>
    <n v="0.7"/>
    <s v="Commit"/>
    <m/>
    <n v="72"/>
    <n v="553.02"/>
    <n v="5320"/>
  </r>
  <r>
    <s v="OPP-00474"/>
    <d v="2026-06-24T00:00:00"/>
    <x v="6"/>
    <s v="Account 0410"/>
    <s v="E-commerce"/>
    <s v="Enterprise"/>
    <x v="1"/>
    <x v="1"/>
    <s v="Outbound"/>
    <x v="4"/>
    <x v="0"/>
    <s v="New Business"/>
    <n v="296700"/>
    <n v="0.124"/>
    <n v="0.05"/>
    <s v="Closed"/>
    <s v="Timing"/>
    <n v="80"/>
    <n v="21650.74"/>
    <n v="14835"/>
  </r>
  <r>
    <s v="OPP-00475"/>
    <d v="2025-12-10T00:00:00"/>
    <x v="198"/>
    <s v="Account 0485"/>
    <s v="EdTech"/>
    <s v="SMB"/>
    <x v="4"/>
    <x v="10"/>
    <s v="Webinar"/>
    <x v="3"/>
    <x v="1"/>
    <s v="Expansion"/>
    <n v="29000"/>
    <n v="0.154"/>
    <n v="0.15"/>
    <s v="Pipeline"/>
    <m/>
    <n v="116"/>
    <n v="2044.54"/>
    <n v="4350"/>
  </r>
  <r>
    <s v="OPP-00476"/>
    <d v="2026-02-20T00:00:00"/>
    <x v="237"/>
    <s v="Account 0790"/>
    <s v="Manufacturing"/>
    <s v="SMB"/>
    <x v="4"/>
    <x v="6"/>
    <s v="Inbound"/>
    <x v="1"/>
    <x v="1"/>
    <s v="Expansion"/>
    <n v="20100"/>
    <n v="6.0000000000000001E-3"/>
    <n v="0.1"/>
    <s v="Pipeline"/>
    <m/>
    <n v="41"/>
    <n v="1665.25"/>
    <n v="2010"/>
  </r>
  <r>
    <s v="OPP-00477"/>
    <d v="2025-10-16T00:00:00"/>
    <x v="231"/>
    <s v="Account 0142"/>
    <s v="EdTech"/>
    <s v="Mid-Market"/>
    <x v="1"/>
    <x v="0"/>
    <s v="Webinar"/>
    <x v="1"/>
    <x v="5"/>
    <s v="New Business"/>
    <n v="66100"/>
    <n v="4.1000000000000002E-2"/>
    <n v="0.4"/>
    <s v="Pipeline"/>
    <m/>
    <n v="122"/>
    <n v="5281.03"/>
    <n v="26440"/>
  </r>
  <r>
    <s v="OPP-00478"/>
    <d v="2026-06-29T00:00:00"/>
    <x v="202"/>
    <s v="Account 0901"/>
    <s v="IT Services"/>
    <s v="SMB"/>
    <x v="1"/>
    <x v="9"/>
    <s v="Inbound"/>
    <x v="4"/>
    <x v="5"/>
    <s v="Expansion"/>
    <n v="11900"/>
    <n v="6.7000000000000004E-2"/>
    <n v="0.35"/>
    <s v="Pipeline"/>
    <m/>
    <n v="77"/>
    <n v="925.64"/>
    <n v="4165"/>
  </r>
  <r>
    <s v="OPP-00479"/>
    <d v="2026-02-23T00:00:00"/>
    <x v="199"/>
    <s v="Account 0599"/>
    <s v="E-commerce"/>
    <s v="Mid-Market"/>
    <x v="2"/>
    <x v="11"/>
    <s v="Inbound"/>
    <x v="0"/>
    <x v="5"/>
    <s v="Renewal"/>
    <n v="97100"/>
    <n v="0.215"/>
    <n v="0.35"/>
    <s v="Pipeline"/>
    <m/>
    <n v="118"/>
    <n v="6350.9"/>
    <n v="33985"/>
  </r>
  <r>
    <s v="OPP-00480"/>
    <d v="2026-01-13T00:00:00"/>
    <x v="137"/>
    <s v="Account 0375"/>
    <s v="Healthcare"/>
    <s v="SMB"/>
    <x v="3"/>
    <x v="11"/>
    <s v="Product-Led"/>
    <x v="2"/>
    <x v="6"/>
    <s v="Expansion"/>
    <n v="17300"/>
    <n v="8.0000000000000002E-3"/>
    <n v="0.15"/>
    <s v="Pipeline"/>
    <m/>
    <n v="67"/>
    <n v="1429.41"/>
    <n v="2595"/>
  </r>
  <r>
    <s v="OPP-00481"/>
    <d v="2026-07-04T00:00:00"/>
    <x v="51"/>
    <s v="Account 0927"/>
    <s v="E-commerce"/>
    <s v="SMB"/>
    <x v="4"/>
    <x v="11"/>
    <s v="Partner"/>
    <x v="2"/>
    <x v="3"/>
    <s v="Expansion"/>
    <n v="29900"/>
    <n v="0.105"/>
    <n v="0.7"/>
    <s v="Commit"/>
    <m/>
    <n v="56"/>
    <n v="2230.4899999999998"/>
    <n v="20930"/>
  </r>
  <r>
    <s v="OPP-00482"/>
    <d v="2025-10-31T00:00:00"/>
    <x v="95"/>
    <s v="Account 0844"/>
    <s v="FinTech"/>
    <s v="SMB"/>
    <x v="2"/>
    <x v="8"/>
    <s v="Product-Led"/>
    <x v="0"/>
    <x v="2"/>
    <s v="Renewal"/>
    <n v="20000"/>
    <n v="9.7000000000000003E-2"/>
    <n v="1"/>
    <s v="Closed"/>
    <m/>
    <n v="139"/>
    <n v="1504.38"/>
    <n v="20000"/>
  </r>
  <r>
    <s v="OPP-00483"/>
    <d v="2026-05-26T00:00:00"/>
    <x v="203"/>
    <s v="Account 0492"/>
    <s v="EdTech"/>
    <s v="Enterprise"/>
    <x v="2"/>
    <x v="5"/>
    <s v="Outbound"/>
    <x v="2"/>
    <x v="4"/>
    <s v="Renewal"/>
    <n v="266500"/>
    <n v="0.18"/>
    <n v="0.55000000000000004"/>
    <s v="Best Case"/>
    <m/>
    <n v="156"/>
    <n v="18216.419999999998"/>
    <n v="146575"/>
  </r>
  <r>
    <s v="OPP-00484"/>
    <d v="2026-04-03T00:00:00"/>
    <x v="11"/>
    <s v="Account 0489"/>
    <s v="E-commerce"/>
    <s v="Mid-Market"/>
    <x v="2"/>
    <x v="7"/>
    <s v="Referral"/>
    <x v="2"/>
    <x v="5"/>
    <s v="Expansion"/>
    <n v="98600"/>
    <n v="0.13600000000000001"/>
    <n v="0.4"/>
    <s v="Pipeline"/>
    <m/>
    <n v="126"/>
    <n v="7102.94"/>
    <n v="39440"/>
  </r>
  <r>
    <s v="OPP-00485"/>
    <d v="2026-07-03T00:00:00"/>
    <x v="127"/>
    <s v="Account 0119"/>
    <s v="Manufacturing"/>
    <s v="SMB"/>
    <x v="0"/>
    <x v="1"/>
    <s v="Inbound"/>
    <x v="0"/>
    <x v="4"/>
    <s v="New Business"/>
    <n v="26200"/>
    <n v="0.112"/>
    <n v="0.5"/>
    <s v="Best Case"/>
    <m/>
    <n v="95"/>
    <n v="1937.82"/>
    <n v="13100"/>
  </r>
  <r>
    <s v="OPP-00486"/>
    <d v="2026-05-26T00:00:00"/>
    <x v="246"/>
    <s v="Account 0377"/>
    <s v="IT Services"/>
    <s v="SMB"/>
    <x v="3"/>
    <x v="1"/>
    <s v="Webinar"/>
    <x v="4"/>
    <x v="0"/>
    <s v="Expansion"/>
    <n v="20200"/>
    <n v="0.17299999999999999"/>
    <n v="0"/>
    <s v="Closed"/>
    <s v="No Decision"/>
    <n v="88"/>
    <n v="1392.32"/>
    <n v="0"/>
  </r>
  <r>
    <s v="OPP-00487"/>
    <d v="2026-05-02T00:00:00"/>
    <x v="117"/>
    <s v="Account 0885"/>
    <s v="FinTech"/>
    <s v="Mid-Market"/>
    <x v="1"/>
    <x v="9"/>
    <s v="Referral"/>
    <x v="2"/>
    <x v="5"/>
    <s v="Expansion"/>
    <n v="93000"/>
    <n v="0.21199999999999999"/>
    <n v="0.35"/>
    <s v="Pipeline"/>
    <m/>
    <n v="89"/>
    <n v="6107.39"/>
    <n v="32549.999999999996"/>
  </r>
  <r>
    <s v="OPP-00488"/>
    <d v="2026-09-11T00:00:00"/>
    <x v="6"/>
    <s v="Account 0159"/>
    <s v="SaaS"/>
    <s v="SMB"/>
    <x v="2"/>
    <x v="5"/>
    <s v="Product-Led"/>
    <x v="2"/>
    <x v="2"/>
    <s v="Renewal"/>
    <n v="17600"/>
    <n v="0.114"/>
    <n v="0.95"/>
    <s v="Closed"/>
    <m/>
    <n v="1"/>
    <n v="1298.97"/>
    <n v="16720"/>
  </r>
  <r>
    <s v="OPP-00489"/>
    <d v="2026-03-11T00:00:00"/>
    <x v="225"/>
    <s v="Account 0241"/>
    <s v="EdTech"/>
    <s v="SMB"/>
    <x v="4"/>
    <x v="10"/>
    <s v="Outbound"/>
    <x v="4"/>
    <x v="6"/>
    <s v="New Business"/>
    <n v="21900"/>
    <n v="0.189"/>
    <n v="0.25"/>
    <s v="Pipeline"/>
    <m/>
    <n v="53"/>
    <n v="1480.7"/>
    <n v="5475"/>
  </r>
  <r>
    <s v="OPP-00490"/>
    <d v="2026-02-25T00:00:00"/>
    <x v="237"/>
    <s v="Account 0186"/>
    <s v="E-commerce"/>
    <s v="SMB"/>
    <x v="3"/>
    <x v="0"/>
    <s v="Inbound"/>
    <x v="1"/>
    <x v="4"/>
    <s v="Expansion"/>
    <n v="19800"/>
    <n v="6.8000000000000005E-2"/>
    <n v="0.55000000000000004"/>
    <s v="Best Case"/>
    <m/>
    <n v="36"/>
    <n v="1537.5"/>
    <n v="10890"/>
  </r>
  <r>
    <s v="OPP-00491"/>
    <d v="2025-11-20T00:00:00"/>
    <x v="200"/>
    <s v="Account 0535"/>
    <s v="IT Services"/>
    <s v="SMB"/>
    <x v="2"/>
    <x v="5"/>
    <s v="Outbound"/>
    <x v="2"/>
    <x v="1"/>
    <s v="New Business"/>
    <n v="8400"/>
    <n v="0.124"/>
    <n v="0.15"/>
    <s v="Pipeline"/>
    <m/>
    <n v="64"/>
    <n v="613.14"/>
    <n v="1260"/>
  </r>
  <r>
    <s v="OPP-00492"/>
    <d v="2026-05-15T00:00:00"/>
    <x v="85"/>
    <s v="Account 0019"/>
    <s v="Manufacturing"/>
    <s v="Mid-Market"/>
    <x v="3"/>
    <x v="11"/>
    <s v="Outbound"/>
    <x v="0"/>
    <x v="3"/>
    <s v="Expansion"/>
    <n v="90700"/>
    <n v="0.23799999999999999"/>
    <n v="0.75"/>
    <s v="Commit"/>
    <m/>
    <n v="94"/>
    <n v="5762.56"/>
    <n v="68025"/>
  </r>
  <r>
    <s v="OPP-00493"/>
    <d v="2025-12-08T00:00:00"/>
    <x v="247"/>
    <s v="Account 0679"/>
    <s v="FinTech"/>
    <s v="SMB"/>
    <x v="3"/>
    <x v="0"/>
    <s v="Webinar"/>
    <x v="3"/>
    <x v="0"/>
    <s v="New Business"/>
    <n v="16800"/>
    <n v="0.04"/>
    <n v="0"/>
    <s v="Closed"/>
    <s v="Budget"/>
    <n v="57"/>
    <n v="1344.14"/>
    <n v="0"/>
  </r>
  <r>
    <s v="OPP-00494"/>
    <d v="2026-02-09T00:00:00"/>
    <x v="248"/>
    <s v="Account 0322"/>
    <s v="Healthcare"/>
    <s v="SMB"/>
    <x v="1"/>
    <x v="7"/>
    <s v="Referral"/>
    <x v="0"/>
    <x v="3"/>
    <s v="Expansion"/>
    <n v="20100"/>
    <n v="4.5999999999999999E-2"/>
    <n v="0.75"/>
    <s v="Commit"/>
    <m/>
    <n v="105"/>
    <n v="1597.72"/>
    <n v="15075"/>
  </r>
  <r>
    <s v="OPP-00495"/>
    <d v="2026-04-02T00:00:00"/>
    <x v="149"/>
    <s v="Account 0921"/>
    <s v="Logistics"/>
    <s v="Mid-Market"/>
    <x v="0"/>
    <x v="4"/>
    <s v="Partner"/>
    <x v="1"/>
    <x v="4"/>
    <s v="Renewal"/>
    <n v="58000"/>
    <n v="0.23499999999999999"/>
    <n v="0.55000000000000004"/>
    <s v="Best Case"/>
    <m/>
    <n v="35"/>
    <n v="3697.41"/>
    <n v="31900.000000000004"/>
  </r>
  <r>
    <s v="OPP-00496"/>
    <d v="2026-04-11T00:00:00"/>
    <x v="249"/>
    <s v="Account 0452"/>
    <s v="E-commerce"/>
    <s v="Enterprise"/>
    <x v="0"/>
    <x v="11"/>
    <s v="Partner"/>
    <x v="3"/>
    <x v="4"/>
    <s v="New Business"/>
    <n v="99700"/>
    <n v="0.217"/>
    <n v="0.55000000000000004"/>
    <s v="Best Case"/>
    <m/>
    <n v="80"/>
    <n v="6504.74"/>
    <n v="54835.000000000007"/>
  </r>
  <r>
    <s v="OPP-00497"/>
    <d v="2026-01-29T00:00:00"/>
    <x v="10"/>
    <s v="Account 0462"/>
    <s v="EdTech"/>
    <s v="Enterprise"/>
    <x v="0"/>
    <x v="1"/>
    <s v="Webinar"/>
    <x v="2"/>
    <x v="1"/>
    <s v="Expansion"/>
    <n v="125700"/>
    <n v="0.14199999999999999"/>
    <n v="0.1"/>
    <s v="Pipeline"/>
    <m/>
    <n v="107"/>
    <n v="8986.66"/>
    <n v="12570"/>
  </r>
  <r>
    <s v="OPP-00498"/>
    <d v="2026-07-24T00:00:00"/>
    <x v="250"/>
    <s v="Account 0285"/>
    <s v="Logistics"/>
    <s v="Mid-Market"/>
    <x v="3"/>
    <x v="0"/>
    <s v="Outbound"/>
    <x v="3"/>
    <x v="4"/>
    <s v="New Business"/>
    <n v="92700"/>
    <n v="0.16700000000000001"/>
    <n v="0.55000000000000004"/>
    <s v="Best Case"/>
    <m/>
    <n v="51"/>
    <n v="6435.86"/>
    <n v="50985.000000000007"/>
  </r>
  <r>
    <s v="OPP-00499"/>
    <d v="2025-11-04T00:00:00"/>
    <x v="251"/>
    <s v="Account 0543"/>
    <s v="IT Services"/>
    <s v="SMB"/>
    <x v="0"/>
    <x v="11"/>
    <s v="Inbound"/>
    <x v="0"/>
    <x v="4"/>
    <s v="Expansion"/>
    <n v="15000"/>
    <n v="3.7999999999999999E-2"/>
    <n v="0.5"/>
    <s v="Best Case"/>
    <m/>
    <n v="28"/>
    <n v="1202.3"/>
    <n v="7500"/>
  </r>
  <r>
    <s v="OPP-00500"/>
    <d v="2026-06-16T00:00:00"/>
    <x v="252"/>
    <s v="Account 0219"/>
    <s v="Healthcare"/>
    <s v="Mid-Market"/>
    <x v="3"/>
    <x v="6"/>
    <s v="Inbound"/>
    <x v="2"/>
    <x v="5"/>
    <s v="Expansion"/>
    <n v="26800"/>
    <n v="0.109"/>
    <n v="0.35"/>
    <s v="Pipeline"/>
    <m/>
    <n v="138"/>
    <n v="1990.02"/>
    <n v="9380"/>
  </r>
  <r>
    <s v="OPP-00501"/>
    <d v="2026-05-18T00:00:00"/>
    <x v="253"/>
    <s v="Account 0332"/>
    <s v="IT Services"/>
    <s v="SMB"/>
    <x v="0"/>
    <x v="1"/>
    <s v="Inbound"/>
    <x v="3"/>
    <x v="6"/>
    <s v="Expansion"/>
    <n v="12400"/>
    <n v="0.06"/>
    <n v="0.25"/>
    <s v="Pipeline"/>
    <m/>
    <n v="151"/>
    <n v="970.96"/>
    <n v="3100"/>
  </r>
  <r>
    <s v="OPP-00502"/>
    <d v="2026-05-17T00:00:00"/>
    <x v="109"/>
    <s v="Account 0852"/>
    <s v="Healthcare"/>
    <s v="Mid-Market"/>
    <x v="0"/>
    <x v="9"/>
    <s v="Referral"/>
    <x v="2"/>
    <x v="3"/>
    <s v="Expansion"/>
    <n v="54100"/>
    <n v="0.108"/>
    <n v="0.7"/>
    <s v="Commit"/>
    <m/>
    <n v="122"/>
    <n v="4022.99"/>
    <n v="37870"/>
  </r>
  <r>
    <s v="OPP-00503"/>
    <d v="2025-11-25T00:00:00"/>
    <x v="254"/>
    <s v="Account 0625"/>
    <s v="E-commerce"/>
    <s v="Mid-Market"/>
    <x v="1"/>
    <x v="6"/>
    <s v="Outbound"/>
    <x v="4"/>
    <x v="2"/>
    <s v="Renewal"/>
    <n v="69200"/>
    <n v="0.21299999999999999"/>
    <n v="1"/>
    <s v="Closed"/>
    <m/>
    <n v="95"/>
    <n v="4540.54"/>
    <n v="69200"/>
  </r>
  <r>
    <s v="OPP-00504"/>
    <d v="2025-12-23T00:00:00"/>
    <x v="189"/>
    <s v="Account 0586"/>
    <s v="EdTech"/>
    <s v="Mid-Market"/>
    <x v="1"/>
    <x v="4"/>
    <s v="Product-Led"/>
    <x v="3"/>
    <x v="0"/>
    <s v="Renewal"/>
    <n v="37700"/>
    <n v="0.22700000000000001"/>
    <n v="0"/>
    <s v="Closed"/>
    <s v="Champion Left"/>
    <n v="70"/>
    <n v="2429.6999999999998"/>
    <n v="0"/>
  </r>
  <r>
    <s v="OPP-00505"/>
    <d v="2026-03-18T00:00:00"/>
    <x v="8"/>
    <s v="Account 0031"/>
    <s v="FinTech"/>
    <s v="SMB"/>
    <x v="2"/>
    <x v="3"/>
    <s v="Webinar"/>
    <x v="0"/>
    <x v="3"/>
    <s v="New Business"/>
    <n v="23100"/>
    <n v="2.4E-2"/>
    <n v="0.7"/>
    <s v="Commit"/>
    <m/>
    <n v="130"/>
    <n v="1879.68"/>
    <n v="16169.999999999998"/>
  </r>
  <r>
    <s v="OPP-00506"/>
    <d v="2025-12-14T00:00:00"/>
    <x v="130"/>
    <s v="Account 0277"/>
    <s v="EdTech"/>
    <s v="SMB"/>
    <x v="2"/>
    <x v="0"/>
    <s v="Partner"/>
    <x v="1"/>
    <x v="2"/>
    <s v="New Business"/>
    <n v="10800"/>
    <n v="6.0999999999999999E-2"/>
    <n v="0.95"/>
    <s v="Closed"/>
    <m/>
    <n v="168"/>
    <n v="845.01"/>
    <n v="10260"/>
  </r>
  <r>
    <s v="OPP-00507"/>
    <d v="2026-05-22T00:00:00"/>
    <x v="70"/>
    <s v="Account 0950"/>
    <s v="E-commerce"/>
    <s v="Enterprise"/>
    <x v="4"/>
    <x v="9"/>
    <s v="Webinar"/>
    <x v="4"/>
    <x v="6"/>
    <s v="Renewal"/>
    <n v="326100"/>
    <n v="0.21"/>
    <n v="0.15"/>
    <s v="Pipeline"/>
    <m/>
    <n v="139"/>
    <n v="21480.42"/>
    <n v="48915"/>
  </r>
  <r>
    <s v="OPP-00508"/>
    <d v="2026-02-04T00:00:00"/>
    <x v="255"/>
    <s v="Account 0180"/>
    <s v="Logistics"/>
    <s v="Mid-Market"/>
    <x v="3"/>
    <x v="2"/>
    <s v="Referral"/>
    <x v="1"/>
    <x v="1"/>
    <s v="Expansion"/>
    <n v="59700"/>
    <n v="0.113"/>
    <n v="0.1"/>
    <s v="Pipeline"/>
    <m/>
    <n v="133"/>
    <n v="4412.3100000000004"/>
    <n v="5970"/>
  </r>
  <r>
    <s v="OPP-00509"/>
    <d v="2026-07-14T00:00:00"/>
    <x v="9"/>
    <s v="Account 0158"/>
    <s v="Logistics"/>
    <s v="Mid-Market"/>
    <x v="3"/>
    <x v="1"/>
    <s v="Partner"/>
    <x v="0"/>
    <x v="1"/>
    <s v="New Business"/>
    <n v="59200"/>
    <n v="0.23100000000000001"/>
    <n v="0.05"/>
    <s v="Pipeline"/>
    <m/>
    <n v="93"/>
    <n v="3794.99"/>
    <n v="2960"/>
  </r>
  <r>
    <s v="OPP-00510"/>
    <d v="2025-10-22T00:00:00"/>
    <x v="222"/>
    <s v="Account 0366"/>
    <s v="Manufacturing"/>
    <s v="Enterprise"/>
    <x v="0"/>
    <x v="7"/>
    <s v="Webinar"/>
    <x v="2"/>
    <x v="6"/>
    <s v="Renewal"/>
    <n v="143500"/>
    <n v="0.21299999999999999"/>
    <n v="0.2"/>
    <s v="Pipeline"/>
    <m/>
    <n v="92"/>
    <n v="9413.83"/>
    <n v="28700"/>
  </r>
  <r>
    <s v="OPP-00511"/>
    <d v="2026-01-04T00:00:00"/>
    <x v="256"/>
    <s v="Account 0832"/>
    <s v="E-commerce"/>
    <s v="SMB"/>
    <x v="1"/>
    <x v="9"/>
    <s v="Outbound"/>
    <x v="2"/>
    <x v="1"/>
    <s v="Renewal"/>
    <n v="19200"/>
    <n v="0.13600000000000001"/>
    <n v="0.1"/>
    <s v="Pipeline"/>
    <m/>
    <n v="124"/>
    <n v="1382.29"/>
    <n v="1920"/>
  </r>
  <r>
    <s v="OPP-00512"/>
    <d v="2026-09-12T00:00:00"/>
    <x v="40"/>
    <s v="Account 0465"/>
    <s v="EdTech"/>
    <s v="Mid-Market"/>
    <x v="0"/>
    <x v="1"/>
    <s v="Partner"/>
    <x v="1"/>
    <x v="4"/>
    <s v="Expansion"/>
    <n v="60000"/>
    <n v="0.05"/>
    <n v="0.5"/>
    <s v="Best Case"/>
    <m/>
    <n v="12"/>
    <n v="4749.7299999999996"/>
    <n v="30000"/>
  </r>
  <r>
    <s v="OPP-00513"/>
    <d v="2026-06-22T00:00:00"/>
    <x v="257"/>
    <s v="Account 0890"/>
    <s v="EdTech"/>
    <s v="Mid-Market"/>
    <x v="2"/>
    <x v="2"/>
    <s v="Inbound"/>
    <x v="1"/>
    <x v="5"/>
    <s v="New Business"/>
    <n v="32700"/>
    <n v="2.7E-2"/>
    <n v="0.4"/>
    <s v="Pipeline"/>
    <m/>
    <n v="67"/>
    <n v="2652.55"/>
    <n v="13080"/>
  </r>
  <r>
    <s v="OPP-00514"/>
    <d v="2026-08-08T00:00:00"/>
    <x v="258"/>
    <s v="Account 0144"/>
    <s v="E-commerce"/>
    <s v="Mid-Market"/>
    <x v="3"/>
    <x v="9"/>
    <s v="Inbound"/>
    <x v="1"/>
    <x v="5"/>
    <s v="Renewal"/>
    <n v="40000"/>
    <n v="8.4000000000000005E-2"/>
    <n v="0.35"/>
    <s v="Pipeline"/>
    <m/>
    <n v="67"/>
    <n v="3052.36"/>
    <n v="14000"/>
  </r>
  <r>
    <s v="OPP-00515"/>
    <d v="2025-12-21T00:00:00"/>
    <x v="189"/>
    <s v="Account 0622"/>
    <s v="Manufacturing"/>
    <s v="Mid-Market"/>
    <x v="2"/>
    <x v="1"/>
    <s v="Outbound"/>
    <x v="0"/>
    <x v="2"/>
    <s v="Expansion"/>
    <n v="90200"/>
    <n v="0.13700000000000001"/>
    <n v="1"/>
    <s v="Closed"/>
    <m/>
    <n v="72"/>
    <n v="6486.98"/>
    <n v="90200"/>
  </r>
  <r>
    <s v="OPP-00516"/>
    <d v="2026-09-06T00:00:00"/>
    <x v="259"/>
    <s v="Account 0173"/>
    <s v="Manufacturing"/>
    <s v="SMB"/>
    <x v="1"/>
    <x v="10"/>
    <s v="Inbound"/>
    <x v="1"/>
    <x v="3"/>
    <s v="Expansion"/>
    <n v="20000"/>
    <n v="0.19800000000000001"/>
    <n v="0.75"/>
    <s v="Commit"/>
    <m/>
    <n v="66"/>
    <n v="1336.61"/>
    <n v="15000"/>
  </r>
  <r>
    <s v="OPP-00517"/>
    <d v="2026-09-10T00:00:00"/>
    <x v="6"/>
    <s v="Account 0103"/>
    <s v="Logistics"/>
    <s v="SMB"/>
    <x v="0"/>
    <x v="9"/>
    <s v="Partner"/>
    <x v="3"/>
    <x v="2"/>
    <s v="Expansion"/>
    <n v="7700"/>
    <n v="6.7000000000000004E-2"/>
    <n v="1"/>
    <s v="Closed"/>
    <m/>
    <n v="2"/>
    <n v="598.67999999999995"/>
    <n v="7700"/>
  </r>
  <r>
    <s v="OPP-00518"/>
    <d v="2026-08-23T00:00:00"/>
    <x v="202"/>
    <s v="Account 0753"/>
    <s v="Logistics"/>
    <s v="Mid-Market"/>
    <x v="2"/>
    <x v="5"/>
    <s v="Partner"/>
    <x v="3"/>
    <x v="6"/>
    <s v="Expansion"/>
    <n v="77300"/>
    <n v="0.191"/>
    <n v="0.2"/>
    <s v="Pipeline"/>
    <m/>
    <n v="22"/>
    <n v="5209.95"/>
    <n v="15460"/>
  </r>
  <r>
    <s v="OPP-00519"/>
    <d v="2025-12-07T00:00:00"/>
    <x v="3"/>
    <s v="Account 0444"/>
    <s v="Manufacturing"/>
    <s v="Mid-Market"/>
    <x v="2"/>
    <x v="1"/>
    <s v="Product-Led"/>
    <x v="2"/>
    <x v="2"/>
    <s v="Expansion"/>
    <n v="35500"/>
    <n v="0.154"/>
    <n v="0.95"/>
    <s v="Closed"/>
    <m/>
    <n v="163"/>
    <n v="2503.75"/>
    <n v="33725"/>
  </r>
  <r>
    <s v="OPP-00520"/>
    <d v="2025-12-24T00:00:00"/>
    <x v="170"/>
    <s v="Account 0158"/>
    <s v="E-commerce"/>
    <s v="Enterprise"/>
    <x v="3"/>
    <x v="6"/>
    <s v="Inbound"/>
    <x v="1"/>
    <x v="1"/>
    <s v="Expansion"/>
    <n v="228600"/>
    <n v="0.115"/>
    <n v="0.15"/>
    <s v="Pipeline"/>
    <m/>
    <n v="101"/>
    <n v="16858.79"/>
    <n v="34290"/>
  </r>
  <r>
    <s v="OPP-00521"/>
    <d v="2026-01-03T00:00:00"/>
    <x v="212"/>
    <s v="Account 0808"/>
    <s v="Healthcare"/>
    <s v="SMB"/>
    <x v="0"/>
    <x v="11"/>
    <s v="Webinar"/>
    <x v="1"/>
    <x v="4"/>
    <s v="Expansion"/>
    <n v="23100"/>
    <n v="0.16700000000000001"/>
    <n v="0.5"/>
    <s v="Best Case"/>
    <m/>
    <n v="78"/>
    <n v="1604.46"/>
    <n v="11550"/>
  </r>
  <r>
    <s v="OPP-00522"/>
    <d v="2026-05-25T00:00:00"/>
    <x v="260"/>
    <s v="Account 0683"/>
    <s v="FinTech"/>
    <s v="Enterprise"/>
    <x v="3"/>
    <x v="5"/>
    <s v="Inbound"/>
    <x v="4"/>
    <x v="3"/>
    <s v="New Business"/>
    <n v="188000"/>
    <n v="0.19800000000000001"/>
    <n v="0.8"/>
    <s v="Commit"/>
    <m/>
    <n v="156"/>
    <n v="12565.26"/>
    <n v="150400"/>
  </r>
  <r>
    <s v="OPP-00523"/>
    <d v="2026-09-07T00:00:00"/>
    <x v="46"/>
    <s v="Account 0358"/>
    <s v="Healthcare"/>
    <s v="Mid-Market"/>
    <x v="1"/>
    <x v="11"/>
    <s v="Inbound"/>
    <x v="0"/>
    <x v="5"/>
    <s v="New Business"/>
    <n v="72000"/>
    <n v="7.2999999999999995E-2"/>
    <n v="0.35"/>
    <s v="Pipeline"/>
    <m/>
    <n v="20"/>
    <n v="5563.96"/>
    <n v="25200"/>
  </r>
  <r>
    <s v="OPP-00524"/>
    <d v="2025-11-10T00:00:00"/>
    <x v="17"/>
    <s v="Account 0855"/>
    <s v="IT Services"/>
    <s v="Mid-Market"/>
    <x v="4"/>
    <x v="6"/>
    <s v="Webinar"/>
    <x v="3"/>
    <x v="5"/>
    <s v="Renewal"/>
    <n v="92300"/>
    <n v="0.187"/>
    <n v="0.3"/>
    <s v="Pipeline"/>
    <m/>
    <n v="27"/>
    <n v="6253.86"/>
    <n v="27690"/>
  </r>
  <r>
    <s v="OPP-00525"/>
    <d v="2025-12-21T00:00:00"/>
    <x v="59"/>
    <s v="Account 0671"/>
    <s v="Logistics"/>
    <s v="Mid-Market"/>
    <x v="4"/>
    <x v="6"/>
    <s v="Product-Led"/>
    <x v="1"/>
    <x v="2"/>
    <s v="Expansion"/>
    <n v="39800"/>
    <n v="0.14499999999999999"/>
    <n v="1"/>
    <s v="Closed"/>
    <m/>
    <n v="79"/>
    <n v="2835.23"/>
    <n v="39800"/>
  </r>
  <r>
    <s v="OPP-00526"/>
    <d v="2025-12-14T00:00:00"/>
    <x v="213"/>
    <s v="Account 0346"/>
    <s v="FinTech"/>
    <s v="SMB"/>
    <x v="4"/>
    <x v="7"/>
    <s v="Partner"/>
    <x v="0"/>
    <x v="2"/>
    <s v="New Business"/>
    <n v="24800"/>
    <n v="0.182"/>
    <n v="1"/>
    <s v="Closed"/>
    <m/>
    <n v="58"/>
    <n v="1690.49"/>
    <n v="24800"/>
  </r>
  <r>
    <s v="OPP-00527"/>
    <d v="2026-02-23T00:00:00"/>
    <x v="112"/>
    <s v="Account 0360"/>
    <s v="SaaS"/>
    <s v="SMB"/>
    <x v="1"/>
    <x v="1"/>
    <s v="Partner"/>
    <x v="0"/>
    <x v="0"/>
    <s v="New Business"/>
    <n v="9700"/>
    <n v="9.7000000000000003E-2"/>
    <n v="0"/>
    <s v="Closed"/>
    <s v="Security Review"/>
    <n v="32"/>
    <n v="730.12"/>
    <n v="0"/>
  </r>
  <r>
    <s v="OPP-00528"/>
    <d v="2025-10-27T00:00:00"/>
    <x v="261"/>
    <s v="Account 0611"/>
    <s v="Manufacturing"/>
    <s v="SMB"/>
    <x v="1"/>
    <x v="1"/>
    <s v="Product-Led"/>
    <x v="4"/>
    <x v="3"/>
    <s v="New Business"/>
    <n v="18900"/>
    <n v="0.185"/>
    <n v="0.8"/>
    <s v="Commit"/>
    <m/>
    <n v="42"/>
    <n v="1283.17"/>
    <n v="15120"/>
  </r>
  <r>
    <s v="OPP-00529"/>
    <d v="2025-11-21T00:00:00"/>
    <x v="101"/>
    <s v="Account 0147"/>
    <s v="SaaS"/>
    <s v="Mid-Market"/>
    <x v="3"/>
    <x v="1"/>
    <s v="Outbound"/>
    <x v="2"/>
    <x v="0"/>
    <s v="Expansion"/>
    <n v="61900"/>
    <n v="4.7E-2"/>
    <n v="0"/>
    <s v="Closed"/>
    <s v="Poor Fit"/>
    <n v="170"/>
    <n v="4915.7"/>
    <n v="0"/>
  </r>
  <r>
    <s v="OPP-00530"/>
    <d v="2026-05-20T00:00:00"/>
    <x v="53"/>
    <s v="Account 0095"/>
    <s v="Manufacturing"/>
    <s v="Enterprise"/>
    <x v="3"/>
    <x v="3"/>
    <s v="Product-Led"/>
    <x v="3"/>
    <x v="4"/>
    <s v="Expansion"/>
    <n v="146500"/>
    <n v="6.2E-2"/>
    <n v="0.6"/>
    <s v="Best Case"/>
    <m/>
    <n v="105"/>
    <n v="11448.99"/>
    <n v="87900"/>
  </r>
  <r>
    <s v="OPP-00531"/>
    <d v="2025-12-04T00:00:00"/>
    <x v="154"/>
    <s v="Account 0540"/>
    <s v="Logistics"/>
    <s v="Mid-Market"/>
    <x v="4"/>
    <x v="6"/>
    <s v="Product-Led"/>
    <x v="4"/>
    <x v="5"/>
    <s v="Expansion"/>
    <n v="92400"/>
    <n v="0.218"/>
    <n v="0.35"/>
    <s v="Pipeline"/>
    <m/>
    <n v="114"/>
    <n v="6018.85"/>
    <n v="32339.999999999996"/>
  </r>
  <r>
    <s v="OPP-00532"/>
    <d v="2025-10-20T00:00:00"/>
    <x v="262"/>
    <s v="Account 0480"/>
    <s v="IT Services"/>
    <s v="SMB"/>
    <x v="1"/>
    <x v="7"/>
    <s v="Outbound"/>
    <x v="0"/>
    <x v="4"/>
    <s v="New Business"/>
    <n v="12600"/>
    <n v="0.114"/>
    <n v="0.6"/>
    <s v="Best Case"/>
    <m/>
    <n v="82"/>
    <n v="930.1"/>
    <n v="7560"/>
  </r>
  <r>
    <s v="OPP-00533"/>
    <d v="2026-07-29T00:00:00"/>
    <x v="259"/>
    <s v="Account 0719"/>
    <s v="EdTech"/>
    <s v="Enterprise"/>
    <x v="1"/>
    <x v="7"/>
    <s v="Webinar"/>
    <x v="3"/>
    <x v="1"/>
    <s v="New Business"/>
    <n v="170800"/>
    <n v="0.108"/>
    <n v="0.05"/>
    <s v="Pipeline"/>
    <m/>
    <n v="105"/>
    <n v="12697.23"/>
    <n v="8540"/>
  </r>
  <r>
    <s v="OPP-00534"/>
    <d v="2026-04-14T00:00:00"/>
    <x v="172"/>
    <s v="Account 0160"/>
    <s v="SaaS"/>
    <s v="SMB"/>
    <x v="4"/>
    <x v="0"/>
    <s v="Inbound"/>
    <x v="0"/>
    <x v="0"/>
    <s v="New Business"/>
    <n v="23200"/>
    <n v="6.7000000000000004E-2"/>
    <n v="0"/>
    <s v="Closed"/>
    <s v="Competitor"/>
    <n v="131"/>
    <n v="1803.17"/>
    <n v="0"/>
  </r>
  <r>
    <s v="OPP-00535"/>
    <d v="2026-05-25T00:00:00"/>
    <x v="43"/>
    <s v="Account 0225"/>
    <s v="E-commerce"/>
    <s v="SMB"/>
    <x v="4"/>
    <x v="5"/>
    <s v="Webinar"/>
    <x v="3"/>
    <x v="5"/>
    <s v="New Business"/>
    <n v="21000"/>
    <n v="0.16200000000000001"/>
    <n v="0.35"/>
    <s v="Pipeline"/>
    <m/>
    <n v="128"/>
    <n v="1466.95"/>
    <n v="7349.9999999999991"/>
  </r>
  <r>
    <s v="OPP-00536"/>
    <d v="2026-07-11T00:00:00"/>
    <x v="6"/>
    <s v="Account 0801"/>
    <s v="Manufacturing"/>
    <s v="Mid-Market"/>
    <x v="0"/>
    <x v="8"/>
    <s v="Partner"/>
    <x v="1"/>
    <x v="2"/>
    <s v="New Business"/>
    <n v="87800"/>
    <n v="3.1E-2"/>
    <n v="1"/>
    <s v="Closed"/>
    <m/>
    <n v="63"/>
    <n v="7089.18"/>
    <n v="87800"/>
  </r>
  <r>
    <s v="OPP-00537"/>
    <d v="2025-11-02T00:00:00"/>
    <x v="261"/>
    <s v="Account 0449"/>
    <s v="FinTech"/>
    <s v="Mid-Market"/>
    <x v="2"/>
    <x v="1"/>
    <s v="Referral"/>
    <x v="1"/>
    <x v="5"/>
    <s v="Expansion"/>
    <n v="34900"/>
    <n v="8.7999999999999995E-2"/>
    <n v="0.35"/>
    <s v="Pipeline"/>
    <m/>
    <n v="36"/>
    <n v="2651.16"/>
    <n v="12215"/>
  </r>
  <r>
    <s v="OPP-00538"/>
    <d v="2026-01-27T00:00:00"/>
    <x v="227"/>
    <s v="Account 0511"/>
    <s v="E-commerce"/>
    <s v="Mid-Market"/>
    <x v="2"/>
    <x v="6"/>
    <s v="Inbound"/>
    <x v="2"/>
    <x v="3"/>
    <s v="New Business"/>
    <n v="32900"/>
    <n v="8.4000000000000005E-2"/>
    <n v="0.8"/>
    <s v="Commit"/>
    <m/>
    <n v="81"/>
    <n v="2512.15"/>
    <n v="26320"/>
  </r>
  <r>
    <s v="OPP-00539"/>
    <d v="2026-03-20T00:00:00"/>
    <x v="226"/>
    <s v="Account 0893"/>
    <s v="FinTech"/>
    <s v="SMB"/>
    <x v="3"/>
    <x v="7"/>
    <s v="Outbound"/>
    <x v="1"/>
    <x v="6"/>
    <s v="Renewal"/>
    <n v="18700"/>
    <n v="0.17599999999999999"/>
    <n v="0.15"/>
    <s v="Pipeline"/>
    <m/>
    <n v="92"/>
    <n v="1284.49"/>
    <n v="2805"/>
  </r>
  <r>
    <s v="OPP-00540"/>
    <d v="2025-11-01T00:00:00"/>
    <x v="72"/>
    <s v="Account 0378"/>
    <s v="IT Services"/>
    <s v="Enterprise"/>
    <x v="1"/>
    <x v="1"/>
    <s v="Outbound"/>
    <x v="0"/>
    <x v="0"/>
    <s v="New Business"/>
    <n v="117300"/>
    <n v="0.219"/>
    <n v="0"/>
    <s v="Closed"/>
    <s v="Timing"/>
    <n v="123"/>
    <n v="7630.64"/>
    <n v="0"/>
  </r>
  <r>
    <s v="OPP-00541"/>
    <d v="2026-08-30T00:00:00"/>
    <x v="6"/>
    <s v="Account 0603"/>
    <s v="SaaS"/>
    <s v="SMB"/>
    <x v="1"/>
    <x v="10"/>
    <s v="Inbound"/>
    <x v="0"/>
    <x v="0"/>
    <s v="Expansion"/>
    <n v="11000"/>
    <n v="0.128"/>
    <n v="0"/>
    <s v="Closed"/>
    <s v="Champion Left"/>
    <n v="13"/>
    <n v="799.1"/>
    <n v="0"/>
  </r>
  <r>
    <s v="OPP-00542"/>
    <d v="2026-01-14T00:00:00"/>
    <x v="146"/>
    <s v="Account 0451"/>
    <s v="SaaS"/>
    <s v="SMB"/>
    <x v="1"/>
    <x v="1"/>
    <s v="Outbound"/>
    <x v="3"/>
    <x v="2"/>
    <s v="Renewal"/>
    <n v="19100"/>
    <n v="0.152"/>
    <n v="1"/>
    <s v="Closed"/>
    <m/>
    <n v="28"/>
    <n v="1350.03"/>
    <n v="19100"/>
  </r>
  <r>
    <s v="OPP-00543"/>
    <d v="2026-04-07T00:00:00"/>
    <x v="263"/>
    <s v="Account 0719"/>
    <s v="Healthcare"/>
    <s v="Enterprise"/>
    <x v="3"/>
    <x v="4"/>
    <s v="Inbound"/>
    <x v="2"/>
    <x v="3"/>
    <s v="Renewal"/>
    <n v="114000"/>
    <n v="3.5999999999999997E-2"/>
    <n v="0.75"/>
    <s v="Commit"/>
    <m/>
    <n v="117"/>
    <n v="9158.83"/>
    <n v="85500"/>
  </r>
  <r>
    <s v="OPP-00544"/>
    <d v="2026-02-14T00:00:00"/>
    <x v="164"/>
    <s v="Account 0543"/>
    <s v="Logistics"/>
    <s v="Mid-Market"/>
    <x v="2"/>
    <x v="9"/>
    <s v="Inbound"/>
    <x v="1"/>
    <x v="5"/>
    <s v="Renewal"/>
    <n v="34100"/>
    <n v="0.18"/>
    <n v="0.35"/>
    <s v="Pipeline"/>
    <m/>
    <n v="44"/>
    <n v="2330.7800000000002"/>
    <n v="11935"/>
  </r>
  <r>
    <s v="OPP-00545"/>
    <d v="2026-04-01T00:00:00"/>
    <x v="204"/>
    <s v="Account 0493"/>
    <s v="IT Services"/>
    <s v="SMB"/>
    <x v="2"/>
    <x v="8"/>
    <s v="Product-Led"/>
    <x v="1"/>
    <x v="0"/>
    <s v="Expansion"/>
    <n v="6100"/>
    <n v="9.5000000000000001E-2"/>
    <n v="0"/>
    <s v="Closed"/>
    <s v="No Decision"/>
    <n v="28"/>
    <n v="459.87"/>
    <n v="0"/>
  </r>
  <r>
    <s v="OPP-00546"/>
    <d v="2026-04-25T00:00:00"/>
    <x v="207"/>
    <s v="Account 0481"/>
    <s v="E-commerce"/>
    <s v="Enterprise"/>
    <x v="1"/>
    <x v="11"/>
    <s v="Partner"/>
    <x v="4"/>
    <x v="3"/>
    <s v="Renewal"/>
    <n v="215900"/>
    <n v="9.5000000000000001E-2"/>
    <n v="0.8"/>
    <s v="Commit"/>
    <m/>
    <n v="32"/>
    <n v="16276.75"/>
    <n v="172720"/>
  </r>
  <r>
    <s v="OPP-00547"/>
    <d v="2026-07-11T00:00:00"/>
    <x v="208"/>
    <s v="Account 0518"/>
    <s v="SaaS"/>
    <s v="Mid-Market"/>
    <x v="2"/>
    <x v="0"/>
    <s v="Webinar"/>
    <x v="2"/>
    <x v="5"/>
    <s v="Expansion"/>
    <n v="78700"/>
    <n v="0.124"/>
    <n v="0.35"/>
    <s v="Pipeline"/>
    <m/>
    <n v="40"/>
    <n v="5744.66"/>
    <n v="27545"/>
  </r>
  <r>
    <s v="OPP-00548"/>
    <d v="2026-03-19T00:00:00"/>
    <x v="8"/>
    <s v="Account 0519"/>
    <s v="EdTech"/>
    <s v="Enterprise"/>
    <x v="4"/>
    <x v="3"/>
    <s v="Outbound"/>
    <x v="2"/>
    <x v="1"/>
    <s v="New Business"/>
    <n v="305900"/>
    <n v="2.4E-2"/>
    <n v="0.1"/>
    <s v="Pipeline"/>
    <m/>
    <n v="129"/>
    <n v="24876.720000000001"/>
    <n v="30590"/>
  </r>
  <r>
    <s v="OPP-00549"/>
    <d v="2026-06-10T00:00:00"/>
    <x v="159"/>
    <s v="Account 0788"/>
    <s v="Manufacturing"/>
    <s v="Mid-Market"/>
    <x v="3"/>
    <x v="9"/>
    <s v="Product-Led"/>
    <x v="1"/>
    <x v="3"/>
    <s v="New Business"/>
    <n v="37200"/>
    <n v="0.10299999999999999"/>
    <n v="0.7"/>
    <s v="Commit"/>
    <m/>
    <n v="91"/>
    <n v="2780.53"/>
    <n v="26040"/>
  </r>
  <r>
    <s v="OPP-00550"/>
    <d v="2025-11-18T00:00:00"/>
    <x v="264"/>
    <s v="Account 0097"/>
    <s v="Healthcare"/>
    <s v="SMB"/>
    <x v="4"/>
    <x v="3"/>
    <s v="Product-Led"/>
    <x v="2"/>
    <x v="2"/>
    <s v="New Business"/>
    <n v="21500"/>
    <n v="5.2999999999999999E-2"/>
    <n v="1"/>
    <s v="Closed"/>
    <m/>
    <n v="163"/>
    <n v="1697.07"/>
    <n v="21500"/>
  </r>
  <r>
    <s v="OPP-00551"/>
    <d v="2025-12-24T00:00:00"/>
    <x v="72"/>
    <s v="Account 0684"/>
    <s v="SaaS"/>
    <s v="SMB"/>
    <x v="3"/>
    <x v="10"/>
    <s v="Partner"/>
    <x v="0"/>
    <x v="2"/>
    <s v="New Business"/>
    <n v="24600"/>
    <n v="0.13"/>
    <n v="1"/>
    <s v="Closed"/>
    <m/>
    <n v="70"/>
    <n v="1783.9"/>
    <n v="24600"/>
  </r>
  <r>
    <s v="OPP-00552"/>
    <d v="2026-06-16T00:00:00"/>
    <x v="6"/>
    <s v="Account 0134"/>
    <s v="SaaS"/>
    <s v="Mid-Market"/>
    <x v="1"/>
    <x v="9"/>
    <s v="Partner"/>
    <x v="3"/>
    <x v="2"/>
    <s v="Expansion"/>
    <n v="51300"/>
    <n v="0.08"/>
    <n v="1"/>
    <s v="Closed"/>
    <m/>
    <n v="88"/>
    <n v="3935.12"/>
    <n v="51300"/>
  </r>
  <r>
    <s v="OPP-00553"/>
    <d v="2026-07-28T00:00:00"/>
    <x v="135"/>
    <s v="Account 0915"/>
    <s v="Logistics"/>
    <s v="SMB"/>
    <x v="0"/>
    <x v="7"/>
    <s v="Referral"/>
    <x v="0"/>
    <x v="5"/>
    <s v="New Business"/>
    <n v="9900"/>
    <n v="0.121"/>
    <n v="0.3"/>
    <s v="Pipeline"/>
    <m/>
    <n v="88"/>
    <n v="725.52"/>
    <n v="2970"/>
  </r>
  <r>
    <s v="OPP-00554"/>
    <d v="2026-08-10T00:00:00"/>
    <x v="202"/>
    <s v="Account 0429"/>
    <s v="E-commerce"/>
    <s v="Enterprise"/>
    <x v="3"/>
    <x v="0"/>
    <s v="Product-Led"/>
    <x v="4"/>
    <x v="5"/>
    <s v="New Business"/>
    <n v="228400"/>
    <n v="0.129"/>
    <n v="0.35"/>
    <s v="Pipeline"/>
    <m/>
    <n v="35"/>
    <n v="16570.28"/>
    <n v="79940"/>
  </r>
  <r>
    <s v="OPP-00555"/>
    <d v="2025-12-01T00:00:00"/>
    <x v="166"/>
    <s v="Account 0739"/>
    <s v="FinTech"/>
    <s v="SMB"/>
    <x v="2"/>
    <x v="4"/>
    <s v="Outbound"/>
    <x v="2"/>
    <x v="4"/>
    <s v="New Business"/>
    <n v="10800"/>
    <n v="2.5999999999999999E-2"/>
    <n v="0.5"/>
    <s v="Best Case"/>
    <m/>
    <n v="109"/>
    <n v="876.7"/>
    <n v="5400"/>
  </r>
  <r>
    <s v="OPP-00556"/>
    <d v="2026-06-28T00:00:00"/>
    <x v="250"/>
    <s v="Account 0668"/>
    <s v="IT Services"/>
    <s v="Mid-Market"/>
    <x v="2"/>
    <x v="2"/>
    <s v="Partner"/>
    <x v="2"/>
    <x v="6"/>
    <s v="New Business"/>
    <n v="81600"/>
    <n v="0.14199999999999999"/>
    <n v="0.2"/>
    <s v="Pipeline"/>
    <m/>
    <n v="77"/>
    <n v="5837"/>
    <n v="16320"/>
  </r>
  <r>
    <s v="OPP-00557"/>
    <d v="2025-12-06T00:00:00"/>
    <x v="265"/>
    <s v="Account 0754"/>
    <s v="Manufacturing"/>
    <s v="SMB"/>
    <x v="0"/>
    <x v="4"/>
    <s v="Webinar"/>
    <x v="0"/>
    <x v="3"/>
    <s v="Renewal"/>
    <n v="6200"/>
    <n v="9.6000000000000002E-2"/>
    <n v="0.7"/>
    <s v="Commit"/>
    <m/>
    <n v="139"/>
    <n v="467.27"/>
    <n v="4340"/>
  </r>
  <r>
    <s v="OPP-00558"/>
    <d v="2026-09-12T00:00:00"/>
    <x v="90"/>
    <s v="Account 0431"/>
    <s v="E-commerce"/>
    <s v="Enterprise"/>
    <x v="0"/>
    <x v="10"/>
    <s v="Partner"/>
    <x v="2"/>
    <x v="3"/>
    <s v="Expansion"/>
    <n v="313400"/>
    <n v="0.23"/>
    <n v="0.7"/>
    <s v="Commit"/>
    <m/>
    <n v="49"/>
    <n v="20103.55"/>
    <n v="219380"/>
  </r>
  <r>
    <s v="OPP-00559"/>
    <d v="2025-10-10T00:00:00"/>
    <x v="223"/>
    <s v="Account 0919"/>
    <s v="E-commerce"/>
    <s v="Mid-Market"/>
    <x v="1"/>
    <x v="7"/>
    <s v="Partner"/>
    <x v="1"/>
    <x v="4"/>
    <s v="Renewal"/>
    <n v="55500"/>
    <n v="0.1"/>
    <n v="0.55000000000000004"/>
    <s v="Best Case"/>
    <m/>
    <n v="37"/>
    <n v="4162.6899999999996"/>
    <n v="30525.000000000004"/>
  </r>
  <r>
    <s v="OPP-00560"/>
    <d v="2025-10-16T00:00:00"/>
    <x v="173"/>
    <s v="Account 0036"/>
    <s v="IT Services"/>
    <s v="Mid-Market"/>
    <x v="4"/>
    <x v="2"/>
    <s v="Webinar"/>
    <x v="1"/>
    <x v="5"/>
    <s v="Renewal"/>
    <n v="96700"/>
    <n v="8.8999999999999996E-2"/>
    <n v="0.3"/>
    <s v="Pipeline"/>
    <m/>
    <n v="26"/>
    <n v="7339.8"/>
    <n v="29010"/>
  </r>
  <r>
    <s v="OPP-00561"/>
    <d v="2026-05-23T00:00:00"/>
    <x v="266"/>
    <s v="Account 0379"/>
    <s v="SaaS"/>
    <s v="Mid-Market"/>
    <x v="0"/>
    <x v="6"/>
    <s v="Outbound"/>
    <x v="2"/>
    <x v="5"/>
    <s v="Expansion"/>
    <n v="27600"/>
    <n v="3.5999999999999997E-2"/>
    <n v="0.4"/>
    <s v="Pipeline"/>
    <m/>
    <n v="52"/>
    <n v="2217.16"/>
    <n v="11040"/>
  </r>
  <r>
    <s v="OPP-00562"/>
    <d v="2025-12-14T00:00:00"/>
    <x v="229"/>
    <s v="Account 0873"/>
    <s v="IT Services"/>
    <s v="SMB"/>
    <x v="3"/>
    <x v="11"/>
    <s v="Webinar"/>
    <x v="1"/>
    <x v="2"/>
    <s v="Expansion"/>
    <n v="9200"/>
    <n v="0.127"/>
    <n v="0.95"/>
    <s v="Closed"/>
    <m/>
    <n v="73"/>
    <n v="669.45"/>
    <n v="8740"/>
  </r>
  <r>
    <s v="OPP-00563"/>
    <d v="2026-04-02T00:00:00"/>
    <x v="267"/>
    <s v="Account 0190"/>
    <s v="Healthcare"/>
    <s v="Enterprise"/>
    <x v="1"/>
    <x v="1"/>
    <s v="Partner"/>
    <x v="2"/>
    <x v="2"/>
    <s v="New Business"/>
    <n v="147900"/>
    <n v="9.8000000000000004E-2"/>
    <n v="1"/>
    <s v="Closed"/>
    <m/>
    <n v="82"/>
    <n v="11113.06"/>
    <n v="147900"/>
  </r>
  <r>
    <s v="OPP-00564"/>
    <d v="2026-04-20T00:00:00"/>
    <x v="201"/>
    <s v="Account 0688"/>
    <s v="FinTech"/>
    <s v="Mid-Market"/>
    <x v="1"/>
    <x v="10"/>
    <s v="Outbound"/>
    <x v="1"/>
    <x v="3"/>
    <s v="New Business"/>
    <n v="88900"/>
    <n v="0.129"/>
    <n v="0.75"/>
    <s v="Commit"/>
    <m/>
    <n v="110"/>
    <n v="6455.71"/>
    <n v="66675"/>
  </r>
  <r>
    <s v="OPP-00565"/>
    <d v="2025-12-29T00:00:00"/>
    <x v="268"/>
    <s v="Account 0390"/>
    <s v="Logistics"/>
    <s v="Mid-Market"/>
    <x v="3"/>
    <x v="6"/>
    <s v="Webinar"/>
    <x v="0"/>
    <x v="0"/>
    <s v="Renewal"/>
    <n v="50700"/>
    <n v="9.4E-2"/>
    <n v="0"/>
    <s v="Closed"/>
    <s v="Poor Fit"/>
    <n v="62"/>
    <n v="3828.89"/>
    <n v="0"/>
  </r>
  <r>
    <s v="OPP-00566"/>
    <d v="2026-02-05T00:00:00"/>
    <x v="57"/>
    <s v="Account 0834"/>
    <s v="SaaS"/>
    <s v="Mid-Market"/>
    <x v="4"/>
    <x v="6"/>
    <s v="Inbound"/>
    <x v="3"/>
    <x v="4"/>
    <s v="Renewal"/>
    <n v="59900"/>
    <n v="0.19500000000000001"/>
    <n v="0.55000000000000004"/>
    <s v="Best Case"/>
    <m/>
    <n v="75"/>
    <n v="4017.37"/>
    <n v="32945"/>
  </r>
  <r>
    <s v="OPP-00567"/>
    <d v="2026-04-20T00:00:00"/>
    <x v="269"/>
    <s v="Account 0026"/>
    <s v="Healthcare"/>
    <s v="Enterprise"/>
    <x v="2"/>
    <x v="8"/>
    <s v="Webinar"/>
    <x v="4"/>
    <x v="1"/>
    <s v="Renewal"/>
    <n v="344500"/>
    <n v="0.14599999999999999"/>
    <n v="0.15"/>
    <s v="Pipeline"/>
    <m/>
    <n v="65"/>
    <n v="24519.05"/>
    <n v="51675"/>
  </r>
  <r>
    <s v="OPP-00568"/>
    <d v="2026-06-29T00:00:00"/>
    <x v="270"/>
    <s v="Account 0618"/>
    <s v="E-commerce"/>
    <s v="SMB"/>
    <x v="1"/>
    <x v="3"/>
    <s v="Partner"/>
    <x v="0"/>
    <x v="5"/>
    <s v="New Business"/>
    <n v="13300"/>
    <n v="0.02"/>
    <n v="0.4"/>
    <s v="Pipeline"/>
    <m/>
    <n v="119"/>
    <n v="1085.8800000000001"/>
    <n v="5320"/>
  </r>
  <r>
    <s v="OPP-00569"/>
    <d v="2026-02-20T00:00:00"/>
    <x v="271"/>
    <s v="Account 0162"/>
    <s v="Manufacturing"/>
    <s v="Mid-Market"/>
    <x v="1"/>
    <x v="0"/>
    <s v="Webinar"/>
    <x v="3"/>
    <x v="0"/>
    <s v="New Business"/>
    <n v="29300"/>
    <n v="0.189"/>
    <n v="0"/>
    <s v="Closed"/>
    <s v="Timing"/>
    <n v="22"/>
    <n v="1980.23"/>
    <n v="0"/>
  </r>
  <r>
    <s v="OPP-00570"/>
    <d v="2026-05-21T00:00:00"/>
    <x v="234"/>
    <s v="Account 0545"/>
    <s v="SaaS"/>
    <s v="Enterprise"/>
    <x v="2"/>
    <x v="6"/>
    <s v="Partner"/>
    <x v="1"/>
    <x v="5"/>
    <s v="Expansion"/>
    <n v="216200"/>
    <n v="0.106"/>
    <n v="0.35"/>
    <s v="Pipeline"/>
    <m/>
    <n v="153"/>
    <n v="16101.03"/>
    <n v="75670"/>
  </r>
  <r>
    <s v="OPP-00571"/>
    <d v="2026-04-19T00:00:00"/>
    <x v="188"/>
    <s v="Account 0062"/>
    <s v="EdTech"/>
    <s v="Enterprise"/>
    <x v="2"/>
    <x v="1"/>
    <s v="Inbound"/>
    <x v="0"/>
    <x v="0"/>
    <s v="Renewal"/>
    <n v="259000"/>
    <n v="8.5000000000000006E-2"/>
    <n v="0.05"/>
    <s v="Closed"/>
    <s v="No Decision"/>
    <n v="121"/>
    <n v="19754.82"/>
    <n v="12950"/>
  </r>
  <r>
    <s v="OPP-00572"/>
    <d v="2025-10-15T00:00:00"/>
    <x v="272"/>
    <s v="Account 0053"/>
    <s v="Manufacturing"/>
    <s v="Mid-Market"/>
    <x v="3"/>
    <x v="0"/>
    <s v="Referral"/>
    <x v="1"/>
    <x v="2"/>
    <s v="Expansion"/>
    <n v="94200"/>
    <n v="0.20399999999999999"/>
    <n v="0.95"/>
    <s v="Closed"/>
    <m/>
    <n v="108"/>
    <n v="6245.14"/>
    <n v="89490"/>
  </r>
  <r>
    <s v="OPP-00573"/>
    <d v="2025-12-25T00:00:00"/>
    <x v="171"/>
    <s v="Account 0660"/>
    <s v="FinTech"/>
    <s v="SMB"/>
    <x v="3"/>
    <x v="9"/>
    <s v="Inbound"/>
    <x v="4"/>
    <x v="5"/>
    <s v="New Business"/>
    <n v="16600"/>
    <n v="0.113"/>
    <n v="0.4"/>
    <s v="Pipeline"/>
    <m/>
    <n v="107"/>
    <n v="1227.0999999999999"/>
    <n v="6640"/>
  </r>
  <r>
    <s v="OPP-00574"/>
    <d v="2025-12-14T00:00:00"/>
    <x v="264"/>
    <s v="Account 0049"/>
    <s v="Manufacturing"/>
    <s v="Mid-Market"/>
    <x v="3"/>
    <x v="11"/>
    <s v="Product-Led"/>
    <x v="4"/>
    <x v="2"/>
    <s v="Expansion"/>
    <n v="91000"/>
    <n v="0.20899999999999999"/>
    <n v="1"/>
    <s v="Closed"/>
    <m/>
    <n v="137"/>
    <n v="5997.26"/>
    <n v="91000"/>
  </r>
  <r>
    <s v="OPP-00575"/>
    <d v="2026-06-05T00:00:00"/>
    <x v="56"/>
    <s v="Account 0902"/>
    <s v="EdTech"/>
    <s v="Mid-Market"/>
    <x v="2"/>
    <x v="1"/>
    <s v="Product-Led"/>
    <x v="4"/>
    <x v="2"/>
    <s v="Renewal"/>
    <n v="97000"/>
    <n v="0.16500000000000001"/>
    <n v="1"/>
    <s v="Closed"/>
    <m/>
    <n v="33"/>
    <n v="6751.48"/>
    <n v="97000"/>
  </r>
  <r>
    <s v="OPP-00576"/>
    <d v="2026-01-23T00:00:00"/>
    <x v="55"/>
    <s v="Account 0415"/>
    <s v="E-commerce"/>
    <s v="Mid-Market"/>
    <x v="4"/>
    <x v="8"/>
    <s v="Outbound"/>
    <x v="0"/>
    <x v="1"/>
    <s v="Renewal"/>
    <n v="79900"/>
    <n v="9.1999999999999998E-2"/>
    <n v="0.1"/>
    <s v="Pipeline"/>
    <m/>
    <n v="86"/>
    <n v="6044.08"/>
    <n v="7990"/>
  </r>
  <r>
    <s v="OPP-00577"/>
    <d v="2026-06-11T00:00:00"/>
    <x v="56"/>
    <s v="Account 0929"/>
    <s v="IT Services"/>
    <s v="Mid-Market"/>
    <x v="0"/>
    <x v="10"/>
    <s v="Product-Led"/>
    <x v="2"/>
    <x v="6"/>
    <s v="Expansion"/>
    <n v="54900"/>
    <n v="0.185"/>
    <n v="0.15"/>
    <s v="Pipeline"/>
    <m/>
    <n v="27"/>
    <n v="3730.49"/>
    <n v="8235"/>
  </r>
  <r>
    <s v="OPP-00578"/>
    <d v="2026-07-10T00:00:00"/>
    <x v="156"/>
    <s v="Account 0859"/>
    <s v="E-commerce"/>
    <s v="SMB"/>
    <x v="3"/>
    <x v="10"/>
    <s v="Referral"/>
    <x v="4"/>
    <x v="3"/>
    <s v="New Business"/>
    <n v="13100"/>
    <n v="9.9000000000000005E-2"/>
    <n v="0.7"/>
    <s v="Commit"/>
    <m/>
    <n v="85"/>
    <n v="983.44"/>
    <n v="9170"/>
  </r>
  <r>
    <s v="OPP-00579"/>
    <d v="2026-08-30T00:00:00"/>
    <x v="273"/>
    <s v="Account 0005"/>
    <s v="Logistics"/>
    <s v="SMB"/>
    <x v="2"/>
    <x v="1"/>
    <s v="Referral"/>
    <x v="0"/>
    <x v="5"/>
    <s v="Expansion"/>
    <n v="20700"/>
    <n v="0.10299999999999999"/>
    <n v="0.35"/>
    <s v="Pipeline"/>
    <m/>
    <n v="29"/>
    <n v="1547.86"/>
    <n v="7244.9999999999991"/>
  </r>
  <r>
    <s v="OPP-00580"/>
    <d v="2025-12-06T00:00:00"/>
    <x v="94"/>
    <s v="Account 0558"/>
    <s v="IT Services"/>
    <s v="Mid-Market"/>
    <x v="1"/>
    <x v="4"/>
    <s v="Inbound"/>
    <x v="1"/>
    <x v="3"/>
    <s v="Renewal"/>
    <n v="30200"/>
    <n v="0.152"/>
    <n v="0.8"/>
    <s v="Commit"/>
    <m/>
    <n v="83"/>
    <n v="2133.87"/>
    <n v="24160"/>
  </r>
  <r>
    <s v="OPP-00581"/>
    <d v="2026-02-08T00:00:00"/>
    <x v="28"/>
    <s v="Account 0204"/>
    <s v="FinTech"/>
    <s v="Mid-Market"/>
    <x v="3"/>
    <x v="5"/>
    <s v="Inbound"/>
    <x v="1"/>
    <x v="5"/>
    <s v="Renewal"/>
    <n v="66300"/>
    <n v="7.6999999999999999E-2"/>
    <n v="0.4"/>
    <s v="Pipeline"/>
    <m/>
    <n v="148"/>
    <n v="5098.96"/>
    <n v="26520"/>
  </r>
  <r>
    <s v="OPP-00582"/>
    <d v="2026-07-18T00:00:00"/>
    <x v="6"/>
    <s v="Account 0446"/>
    <s v="Healthcare"/>
    <s v="SMB"/>
    <x v="1"/>
    <x v="3"/>
    <s v="Product-Led"/>
    <x v="4"/>
    <x v="2"/>
    <s v="Expansion"/>
    <n v="8800"/>
    <n v="0.20300000000000001"/>
    <n v="1"/>
    <s v="Closed"/>
    <m/>
    <n v="56"/>
    <n v="584.6"/>
    <n v="8800"/>
  </r>
  <r>
    <s v="OPP-00583"/>
    <d v="2026-03-16T00:00:00"/>
    <x v="103"/>
    <s v="Account 0656"/>
    <s v="Healthcare"/>
    <s v="SMB"/>
    <x v="0"/>
    <x v="2"/>
    <s v="Product-Led"/>
    <x v="1"/>
    <x v="2"/>
    <s v="Expansion"/>
    <n v="23000"/>
    <n v="0.184"/>
    <n v="1"/>
    <s v="Closed"/>
    <m/>
    <n v="134"/>
    <n v="1563.92"/>
    <n v="23000"/>
  </r>
  <r>
    <s v="OPP-00584"/>
    <d v="2026-07-14T00:00:00"/>
    <x v="73"/>
    <s v="Account 0246"/>
    <s v="FinTech"/>
    <s v="Enterprise"/>
    <x v="1"/>
    <x v="7"/>
    <s v="Partner"/>
    <x v="4"/>
    <x v="5"/>
    <s v="Renewal"/>
    <n v="308500"/>
    <n v="0.104"/>
    <n v="0.35"/>
    <s v="Pipeline"/>
    <m/>
    <n v="80"/>
    <n v="23030.29"/>
    <n v="107975"/>
  </r>
  <r>
    <s v="OPP-00585"/>
    <d v="2026-05-03T00:00:00"/>
    <x v="252"/>
    <s v="Account 0274"/>
    <s v="E-commerce"/>
    <s v="Enterprise"/>
    <x v="1"/>
    <x v="10"/>
    <s v="Outbound"/>
    <x v="0"/>
    <x v="5"/>
    <s v="Renewal"/>
    <n v="160800"/>
    <n v="8.5000000000000006E-2"/>
    <n v="0.35"/>
    <s v="Pipeline"/>
    <m/>
    <n v="182"/>
    <n v="12261.09"/>
    <n v="56280"/>
  </r>
  <r>
    <s v="OPP-00586"/>
    <d v="2026-04-11T00:00:00"/>
    <x v="87"/>
    <s v="Account 0426"/>
    <s v="E-commerce"/>
    <s v="SMB"/>
    <x v="0"/>
    <x v="2"/>
    <s v="Webinar"/>
    <x v="1"/>
    <x v="5"/>
    <s v="New Business"/>
    <n v="6200"/>
    <n v="0.08"/>
    <n v="0.35"/>
    <s v="Pipeline"/>
    <m/>
    <n v="54"/>
    <n v="475.28"/>
    <n v="2170"/>
  </r>
  <r>
    <s v="OPP-00587"/>
    <d v="2026-06-26T00:00:00"/>
    <x v="18"/>
    <s v="Account 0404"/>
    <s v="IT Services"/>
    <s v="Mid-Market"/>
    <x v="3"/>
    <x v="3"/>
    <s v="Inbound"/>
    <x v="2"/>
    <x v="5"/>
    <s v="Expansion"/>
    <n v="77700"/>
    <n v="0.14799999999999999"/>
    <n v="0.4"/>
    <s v="Pipeline"/>
    <m/>
    <n v="38"/>
    <n v="5514.43"/>
    <n v="31080"/>
  </r>
  <r>
    <s v="OPP-00588"/>
    <d v="2026-03-24T00:00:00"/>
    <x v="13"/>
    <s v="Account 0432"/>
    <s v="IT Services"/>
    <s v="Mid-Market"/>
    <x v="4"/>
    <x v="0"/>
    <s v="Webinar"/>
    <x v="0"/>
    <x v="2"/>
    <s v="New Business"/>
    <n v="53500"/>
    <n v="0.13900000000000001"/>
    <n v="0.95"/>
    <s v="Closed"/>
    <m/>
    <n v="84"/>
    <n v="3838.05"/>
    <n v="50825"/>
  </r>
  <r>
    <s v="OPP-00589"/>
    <d v="2026-07-18T00:00:00"/>
    <x v="6"/>
    <s v="Account 0278"/>
    <s v="IT Services"/>
    <s v="SMB"/>
    <x v="4"/>
    <x v="3"/>
    <s v="Referral"/>
    <x v="2"/>
    <x v="0"/>
    <s v="Renewal"/>
    <n v="12100"/>
    <n v="0.16900000000000001"/>
    <n v="0"/>
    <s v="Closed"/>
    <s v="Champion Left"/>
    <n v="56"/>
    <n v="837.79"/>
    <n v="0"/>
  </r>
  <r>
    <s v="OPP-00590"/>
    <d v="2026-07-16T00:00:00"/>
    <x v="16"/>
    <s v="Account 0160"/>
    <s v="EdTech"/>
    <s v="SMB"/>
    <x v="2"/>
    <x v="1"/>
    <s v="Referral"/>
    <x v="4"/>
    <x v="5"/>
    <s v="Expansion"/>
    <n v="19600"/>
    <n v="0.108"/>
    <n v="0.35"/>
    <s v="Pipeline"/>
    <m/>
    <n v="98"/>
    <n v="1456.82"/>
    <n v="6860"/>
  </r>
  <r>
    <s v="OPP-00591"/>
    <d v="2026-06-29T00:00:00"/>
    <x v="105"/>
    <s v="Account 0759"/>
    <s v="IT Services"/>
    <s v="SMB"/>
    <x v="0"/>
    <x v="8"/>
    <s v="Outbound"/>
    <x v="3"/>
    <x v="5"/>
    <s v="Renewal"/>
    <n v="15300"/>
    <n v="0.104"/>
    <n v="0.35"/>
    <s v="Pipeline"/>
    <m/>
    <n v="85"/>
    <n v="1141.9100000000001"/>
    <n v="5355"/>
  </r>
  <r>
    <s v="OPP-00592"/>
    <d v="2026-05-29T00:00:00"/>
    <x v="274"/>
    <s v="Account 0319"/>
    <s v="Manufacturing"/>
    <s v="SMB"/>
    <x v="1"/>
    <x v="10"/>
    <s v="Inbound"/>
    <x v="3"/>
    <x v="5"/>
    <s v="Renewal"/>
    <n v="27200"/>
    <n v="8.5999999999999993E-2"/>
    <n v="0.4"/>
    <s v="Pipeline"/>
    <m/>
    <n v="90"/>
    <n v="2071.1799999999998"/>
    <n v="10880"/>
  </r>
  <r>
    <s v="OPP-00593"/>
    <d v="2025-10-03T00:00:00"/>
    <x v="158"/>
    <s v="Account 0396"/>
    <s v="EdTech"/>
    <s v="Mid-Market"/>
    <x v="2"/>
    <x v="1"/>
    <s v="Partner"/>
    <x v="3"/>
    <x v="4"/>
    <s v="Renewal"/>
    <n v="51100"/>
    <n v="0.23499999999999999"/>
    <n v="0.55000000000000004"/>
    <s v="Best Case"/>
    <m/>
    <n v="124"/>
    <n v="3259.18"/>
    <n v="28105.000000000004"/>
  </r>
  <r>
    <s v="OPP-00594"/>
    <d v="2026-02-20T00:00:00"/>
    <x v="86"/>
    <s v="Account 0468"/>
    <s v="E-commerce"/>
    <s v="Mid-Market"/>
    <x v="2"/>
    <x v="2"/>
    <s v="Referral"/>
    <x v="0"/>
    <x v="1"/>
    <s v="Expansion"/>
    <n v="88900"/>
    <n v="8.5000000000000006E-2"/>
    <n v="0.1"/>
    <s v="Pipeline"/>
    <m/>
    <n v="141"/>
    <n v="6780.28"/>
    <n v="8890"/>
  </r>
  <r>
    <s v="OPP-00595"/>
    <d v="2026-06-16T00:00:00"/>
    <x v="93"/>
    <s v="Account 0241"/>
    <s v="E-commerce"/>
    <s v="Enterprise"/>
    <x v="0"/>
    <x v="2"/>
    <s v="Webinar"/>
    <x v="4"/>
    <x v="4"/>
    <s v="Renewal"/>
    <n v="87100"/>
    <n v="0.17899999999999999"/>
    <n v="0.6"/>
    <s v="Best Case"/>
    <m/>
    <n v="50"/>
    <n v="5957.77"/>
    <n v="52260"/>
  </r>
  <r>
    <s v="OPP-00596"/>
    <d v="2025-12-08T00:00:00"/>
    <x v="22"/>
    <s v="Account 0671"/>
    <s v="EdTech"/>
    <s v="SMB"/>
    <x v="1"/>
    <x v="6"/>
    <s v="Webinar"/>
    <x v="1"/>
    <x v="2"/>
    <s v="Expansion"/>
    <n v="17200"/>
    <n v="0.14499999999999999"/>
    <n v="1"/>
    <s v="Closed"/>
    <m/>
    <n v="51"/>
    <n v="1225.8900000000001"/>
    <n v="17200"/>
  </r>
  <r>
    <s v="OPP-00597"/>
    <d v="2025-12-25T00:00:00"/>
    <x v="256"/>
    <s v="Account 0864"/>
    <s v="SaaS"/>
    <s v="SMB"/>
    <x v="2"/>
    <x v="3"/>
    <s v="Product-Led"/>
    <x v="2"/>
    <x v="1"/>
    <s v="Renewal"/>
    <n v="14400"/>
    <n v="0.185"/>
    <n v="0.1"/>
    <s v="Pipeline"/>
    <m/>
    <n v="134"/>
    <n v="977.94"/>
    <n v="1440"/>
  </r>
  <r>
    <s v="OPP-00598"/>
    <d v="2026-05-15T00:00:00"/>
    <x v="235"/>
    <s v="Account 0743"/>
    <s v="IT Services"/>
    <s v="Mid-Market"/>
    <x v="2"/>
    <x v="9"/>
    <s v="Outbound"/>
    <x v="3"/>
    <x v="5"/>
    <s v="Renewal"/>
    <n v="71700"/>
    <n v="0.1"/>
    <n v="0.4"/>
    <s v="Pipeline"/>
    <m/>
    <n v="71"/>
    <n v="5378.72"/>
    <n v="28680"/>
  </r>
  <r>
    <s v="OPP-00599"/>
    <d v="2025-11-17T00:00:00"/>
    <x v="147"/>
    <s v="Account 0397"/>
    <s v="IT Services"/>
    <s v="Mid-Market"/>
    <x v="3"/>
    <x v="7"/>
    <s v="Webinar"/>
    <x v="3"/>
    <x v="5"/>
    <s v="New Business"/>
    <n v="43700"/>
    <n v="0.123"/>
    <n v="0.35"/>
    <s v="Pipeline"/>
    <m/>
    <n v="69"/>
    <n v="3191.94"/>
    <n v="15294.999999999998"/>
  </r>
  <r>
    <s v="OPP-00600"/>
    <d v="2026-01-12T00:00:00"/>
    <x v="129"/>
    <s v="Account 0849"/>
    <s v="E-commerce"/>
    <s v="Mid-Market"/>
    <x v="3"/>
    <x v="11"/>
    <s v="Referral"/>
    <x v="1"/>
    <x v="4"/>
    <s v="Renewal"/>
    <n v="61600"/>
    <n v="0.108"/>
    <n v="0.55000000000000004"/>
    <s v="Best Case"/>
    <m/>
    <n v="100"/>
    <n v="4580.3500000000004"/>
    <n v="33880"/>
  </r>
  <r>
    <s v="OPP-00601"/>
    <d v="2026-09-05T00:00:00"/>
    <x v="185"/>
    <s v="Account 0815"/>
    <s v="EdTech"/>
    <s v="Enterprise"/>
    <x v="3"/>
    <x v="6"/>
    <s v="Referral"/>
    <x v="4"/>
    <x v="1"/>
    <s v="Expansion"/>
    <n v="176000"/>
    <n v="0.24"/>
    <n v="0.15"/>
    <s v="Pipeline"/>
    <m/>
    <n v="45"/>
    <n v="11141.7"/>
    <n v="26400"/>
  </r>
  <r>
    <s v="OPP-00602"/>
    <d v="2026-02-08T00:00:00"/>
    <x v="8"/>
    <s v="Account 0363"/>
    <s v="Manufacturing"/>
    <s v="Mid-Market"/>
    <x v="2"/>
    <x v="6"/>
    <s v="Outbound"/>
    <x v="0"/>
    <x v="2"/>
    <s v="Renewal"/>
    <n v="82900"/>
    <n v="8.8999999999999996E-2"/>
    <n v="0.95"/>
    <s v="Closed"/>
    <m/>
    <n v="168"/>
    <n v="6294.18"/>
    <n v="78755"/>
  </r>
  <r>
    <s v="OPP-00603"/>
    <d v="2026-02-17T00:00:00"/>
    <x v="56"/>
    <s v="Account 0494"/>
    <s v="Logistics"/>
    <s v="SMB"/>
    <x v="1"/>
    <x v="9"/>
    <s v="Product-Led"/>
    <x v="1"/>
    <x v="1"/>
    <s v="New Business"/>
    <n v="26100"/>
    <n v="2.1999999999999999E-2"/>
    <n v="0.15"/>
    <s v="Pipeline"/>
    <m/>
    <n v="141"/>
    <n v="2127.44"/>
    <n v="3915"/>
  </r>
  <r>
    <s v="OPP-00604"/>
    <d v="2026-03-25T00:00:00"/>
    <x v="120"/>
    <s v="Account 0235"/>
    <s v="Healthcare"/>
    <s v="Mid-Market"/>
    <x v="0"/>
    <x v="10"/>
    <s v="Product-Led"/>
    <x v="0"/>
    <x v="2"/>
    <s v="New Business"/>
    <n v="88300"/>
    <n v="0.11600000000000001"/>
    <n v="1"/>
    <s v="Closed"/>
    <m/>
    <n v="41"/>
    <n v="6502.72"/>
    <n v="88300"/>
  </r>
  <r>
    <s v="OPP-00605"/>
    <d v="2026-07-14T00:00:00"/>
    <x v="252"/>
    <s v="Account 0493"/>
    <s v="IT Services"/>
    <s v="Mid-Market"/>
    <x v="1"/>
    <x v="2"/>
    <s v="Outbound"/>
    <x v="1"/>
    <x v="5"/>
    <s v="New Business"/>
    <n v="71400"/>
    <n v="3.6999999999999998E-2"/>
    <n v="0.35"/>
    <s v="Pipeline"/>
    <m/>
    <n v="110"/>
    <n v="5731.95"/>
    <n v="24990"/>
  </r>
  <r>
    <s v="OPP-00606"/>
    <d v="2026-03-09T00:00:00"/>
    <x v="232"/>
    <s v="Account 0841"/>
    <s v="Manufacturing"/>
    <s v="SMB"/>
    <x v="2"/>
    <x v="8"/>
    <s v="Inbound"/>
    <x v="0"/>
    <x v="5"/>
    <s v="Expansion"/>
    <n v="16500"/>
    <n v="4.7E-2"/>
    <n v="0.35"/>
    <s v="Pipeline"/>
    <m/>
    <n v="144"/>
    <n v="1310.1400000000001"/>
    <n v="5775"/>
  </r>
  <r>
    <s v="OPP-00607"/>
    <d v="2025-12-03T00:00:00"/>
    <x v="206"/>
    <s v="Account 0885"/>
    <s v="EdTech"/>
    <s v="SMB"/>
    <x v="3"/>
    <x v="5"/>
    <s v="Webinar"/>
    <x v="1"/>
    <x v="5"/>
    <s v="New Business"/>
    <n v="21800"/>
    <n v="0.107"/>
    <n v="0.3"/>
    <s v="Pipeline"/>
    <m/>
    <n v="94"/>
    <n v="1623.13"/>
    <n v="6540"/>
  </r>
  <r>
    <s v="OPP-00608"/>
    <d v="2026-05-24T00:00:00"/>
    <x v="53"/>
    <s v="Account 0087"/>
    <s v="SaaS"/>
    <s v="Mid-Market"/>
    <x v="2"/>
    <x v="2"/>
    <s v="Webinar"/>
    <x v="3"/>
    <x v="3"/>
    <s v="Expansion"/>
    <n v="67300"/>
    <n v="0.186"/>
    <n v="0.8"/>
    <s v="Commit"/>
    <m/>
    <n v="101"/>
    <n v="4562.8"/>
    <n v="53840"/>
  </r>
  <r>
    <s v="OPP-00609"/>
    <d v="2026-02-10T00:00:00"/>
    <x v="275"/>
    <s v="Account 0517"/>
    <s v="Manufacturing"/>
    <s v="Mid-Market"/>
    <x v="0"/>
    <x v="1"/>
    <s v="Referral"/>
    <x v="4"/>
    <x v="2"/>
    <s v="Expansion"/>
    <n v="57600"/>
    <n v="0.14599999999999999"/>
    <n v="1"/>
    <s v="Closed"/>
    <m/>
    <n v="44"/>
    <n v="4101.3"/>
    <n v="57600"/>
  </r>
  <r>
    <s v="OPP-00610"/>
    <d v="2026-02-12T00:00:00"/>
    <x v="276"/>
    <s v="Account 0342"/>
    <s v="SaaS"/>
    <s v="SMB"/>
    <x v="3"/>
    <x v="4"/>
    <s v="Inbound"/>
    <x v="1"/>
    <x v="3"/>
    <s v="New Business"/>
    <n v="12100"/>
    <n v="0.154"/>
    <n v="0.75"/>
    <s v="Commit"/>
    <m/>
    <n v="137"/>
    <n v="852.72"/>
    <n v="9075"/>
  </r>
  <r>
    <s v="OPP-00611"/>
    <d v="2026-05-29T00:00:00"/>
    <x v="6"/>
    <s v="Account 0818"/>
    <s v="E-commerce"/>
    <s v="Enterprise"/>
    <x v="2"/>
    <x v="10"/>
    <s v="Webinar"/>
    <x v="4"/>
    <x v="0"/>
    <s v="Renewal"/>
    <n v="98900"/>
    <n v="6.9000000000000006E-2"/>
    <n v="0"/>
    <s v="Closed"/>
    <s v="Security Review"/>
    <n v="106"/>
    <n v="7673.51"/>
    <n v="0"/>
  </r>
  <r>
    <s v="OPP-00612"/>
    <d v="2025-11-19T00:00:00"/>
    <x v="277"/>
    <s v="Account 0483"/>
    <s v="SaaS"/>
    <s v="Enterprise"/>
    <x v="4"/>
    <x v="10"/>
    <s v="Partner"/>
    <x v="1"/>
    <x v="3"/>
    <s v="Expansion"/>
    <n v="231700"/>
    <n v="7.5999999999999998E-2"/>
    <n v="0.75"/>
    <s v="Commit"/>
    <m/>
    <n v="90"/>
    <n v="17831.71"/>
    <n v="173775"/>
  </r>
  <r>
    <s v="OPP-00613"/>
    <d v="2026-03-08T00:00:00"/>
    <x v="278"/>
    <s v="Account 0769"/>
    <s v="IT Services"/>
    <s v="SMB"/>
    <x v="2"/>
    <x v="10"/>
    <s v="Referral"/>
    <x v="4"/>
    <x v="2"/>
    <s v="New Business"/>
    <n v="6600"/>
    <n v="0.123"/>
    <n v="1"/>
    <s v="Closed"/>
    <m/>
    <n v="103"/>
    <n v="482.42"/>
    <n v="6600"/>
  </r>
  <r>
    <s v="OPP-00614"/>
    <d v="2026-02-27T00:00:00"/>
    <x v="23"/>
    <s v="Account 0947"/>
    <s v="E-commerce"/>
    <s v="SMB"/>
    <x v="3"/>
    <x v="10"/>
    <s v="Inbound"/>
    <x v="1"/>
    <x v="5"/>
    <s v="New Business"/>
    <n v="6900"/>
    <n v="0.20899999999999999"/>
    <n v="0.35"/>
    <s v="Pipeline"/>
    <m/>
    <n v="85"/>
    <n v="454.65"/>
    <n v="2415"/>
  </r>
  <r>
    <s v="OPP-00615"/>
    <d v="2025-10-27T00:00:00"/>
    <x v="174"/>
    <s v="Account 0524"/>
    <s v="IT Services"/>
    <s v="SMB"/>
    <x v="4"/>
    <x v="0"/>
    <s v="Webinar"/>
    <x v="0"/>
    <x v="2"/>
    <s v="New Business"/>
    <n v="17000"/>
    <n v="0.20499999999999999"/>
    <n v="0.95"/>
    <s v="Closed"/>
    <m/>
    <n v="142"/>
    <n v="1125.8399999999999"/>
    <n v="16150"/>
  </r>
  <r>
    <s v="OPP-00616"/>
    <d v="2026-05-08T00:00:00"/>
    <x v="6"/>
    <s v="Account 0711"/>
    <s v="SaaS"/>
    <s v="Enterprise"/>
    <x v="4"/>
    <x v="8"/>
    <s v="Inbound"/>
    <x v="3"/>
    <x v="2"/>
    <s v="New Business"/>
    <n v="305900"/>
    <n v="6.7000000000000004E-2"/>
    <n v="1"/>
    <s v="Closed"/>
    <m/>
    <n v="127"/>
    <n v="23789.05"/>
    <n v="305900"/>
  </r>
  <r>
    <s v="OPP-00617"/>
    <d v="2026-03-17T00:00:00"/>
    <x v="64"/>
    <s v="Account 0562"/>
    <s v="SaaS"/>
    <s v="SMB"/>
    <x v="1"/>
    <x v="6"/>
    <s v="Webinar"/>
    <x v="1"/>
    <x v="0"/>
    <s v="Expansion"/>
    <n v="20500"/>
    <n v="0.28000000000000003"/>
    <n v="0"/>
    <s v="Closed"/>
    <s v="Champion Left"/>
    <n v="84"/>
    <n v="1230.67"/>
    <n v="0"/>
  </r>
  <r>
    <s v="OPP-00618"/>
    <d v="2026-04-07T00:00:00"/>
    <x v="64"/>
    <s v="Account 0898"/>
    <s v="EdTech"/>
    <s v="Mid-Market"/>
    <x v="1"/>
    <x v="10"/>
    <s v="Partner"/>
    <x v="2"/>
    <x v="5"/>
    <s v="Renewal"/>
    <n v="44700"/>
    <n v="0.16900000000000001"/>
    <n v="0.35"/>
    <s v="Pipeline"/>
    <m/>
    <n v="63"/>
    <n v="3095.09"/>
    <n v="15644.999999999998"/>
  </r>
  <r>
    <s v="OPP-00619"/>
    <d v="2025-10-26T00:00:00"/>
    <x v="279"/>
    <s v="Account 0790"/>
    <s v="SaaS"/>
    <s v="SMB"/>
    <x v="0"/>
    <x v="3"/>
    <s v="Inbound"/>
    <x v="3"/>
    <x v="1"/>
    <s v="Expansion"/>
    <n v="10300"/>
    <n v="8.4000000000000005E-2"/>
    <n v="0.1"/>
    <s v="Pipeline"/>
    <m/>
    <n v="51"/>
    <n v="785.93"/>
    <n v="1030"/>
  </r>
  <r>
    <s v="OPP-00620"/>
    <d v="2025-11-13T00:00:00"/>
    <x v="176"/>
    <s v="Account 0293"/>
    <s v="E-commerce"/>
    <s v="Enterprise"/>
    <x v="3"/>
    <x v="7"/>
    <s v="Partner"/>
    <x v="2"/>
    <x v="2"/>
    <s v="Expansion"/>
    <n v="99100"/>
    <n v="0.183"/>
    <n v="1"/>
    <s v="Closed"/>
    <m/>
    <n v="34"/>
    <n v="6748.85"/>
    <n v="99100"/>
  </r>
  <r>
    <s v="OPP-00621"/>
    <d v="2026-08-27T00:00:00"/>
    <x v="280"/>
    <s v="Account 0374"/>
    <s v="SaaS"/>
    <s v="SMB"/>
    <x v="1"/>
    <x v="3"/>
    <s v="Outbound"/>
    <x v="2"/>
    <x v="4"/>
    <s v="New Business"/>
    <n v="7900"/>
    <n v="0.16200000000000001"/>
    <n v="0.55000000000000004"/>
    <s v="Best Case"/>
    <m/>
    <n v="47"/>
    <n v="551.36"/>
    <n v="4345"/>
  </r>
  <r>
    <s v="OPP-00622"/>
    <d v="2026-06-15T00:00:00"/>
    <x v="270"/>
    <s v="Account 0366"/>
    <s v="SaaS"/>
    <s v="SMB"/>
    <x v="3"/>
    <x v="2"/>
    <s v="Webinar"/>
    <x v="3"/>
    <x v="5"/>
    <s v="New Business"/>
    <n v="9900"/>
    <n v="0.08"/>
    <n v="0.35"/>
    <s v="Pipeline"/>
    <m/>
    <n v="133"/>
    <n v="758.77"/>
    <n v="3465"/>
  </r>
  <r>
    <s v="OPP-00623"/>
    <d v="2026-08-13T00:00:00"/>
    <x v="40"/>
    <s v="Account 0697"/>
    <s v="FinTech"/>
    <s v="SMB"/>
    <x v="0"/>
    <x v="6"/>
    <s v="Webinar"/>
    <x v="2"/>
    <x v="4"/>
    <s v="Expansion"/>
    <n v="8700"/>
    <n v="8.5999999999999993E-2"/>
    <n v="0.55000000000000004"/>
    <s v="Best Case"/>
    <m/>
    <n v="42"/>
    <n v="662.61"/>
    <n v="4785"/>
  </r>
  <r>
    <s v="OPP-00624"/>
    <d v="2026-03-30T00:00:00"/>
    <x v="64"/>
    <s v="Account 0919"/>
    <s v="IT Services"/>
    <s v="SMB"/>
    <x v="1"/>
    <x v="1"/>
    <s v="Inbound"/>
    <x v="0"/>
    <x v="1"/>
    <s v="Renewal"/>
    <n v="26600"/>
    <n v="0.248"/>
    <n v="0.05"/>
    <s v="Pipeline"/>
    <m/>
    <n v="71"/>
    <n v="1667.64"/>
    <n v="1330"/>
  </r>
  <r>
    <s v="OPP-00625"/>
    <d v="2025-12-23T00:00:00"/>
    <x v="158"/>
    <s v="Account 0301"/>
    <s v="Healthcare"/>
    <s v="Mid-Market"/>
    <x v="4"/>
    <x v="6"/>
    <s v="Partner"/>
    <x v="4"/>
    <x v="2"/>
    <s v="Expansion"/>
    <n v="29000"/>
    <n v="0.13200000000000001"/>
    <n v="1"/>
    <s v="Closed"/>
    <m/>
    <n v="43"/>
    <n v="2097.4"/>
    <n v="29000"/>
  </r>
  <r>
    <s v="OPP-00626"/>
    <d v="2026-06-27T00:00:00"/>
    <x v="266"/>
    <s v="Account 0399"/>
    <s v="E-commerce"/>
    <s v="Mid-Market"/>
    <x v="4"/>
    <x v="2"/>
    <s v="Product-Led"/>
    <x v="3"/>
    <x v="2"/>
    <s v="New Business"/>
    <n v="82200"/>
    <n v="0.127"/>
    <n v="1"/>
    <s v="Closed"/>
    <m/>
    <n v="17"/>
    <n v="5983.47"/>
    <n v="82200"/>
  </r>
  <r>
    <s v="OPP-00627"/>
    <d v="2025-12-14T00:00:00"/>
    <x v="231"/>
    <s v="Account 0521"/>
    <s v="Logistics"/>
    <s v="SMB"/>
    <x v="4"/>
    <x v="8"/>
    <s v="Product-Led"/>
    <x v="0"/>
    <x v="2"/>
    <s v="Expansion"/>
    <n v="6500"/>
    <n v="0.127"/>
    <n v="0.95"/>
    <s v="Closed"/>
    <m/>
    <n v="63"/>
    <n v="472.98"/>
    <n v="6175"/>
  </r>
  <r>
    <s v="OPP-00628"/>
    <d v="2026-05-09T00:00:00"/>
    <x v="33"/>
    <s v="Account 0235"/>
    <s v="Manufacturing"/>
    <s v="Mid-Market"/>
    <x v="0"/>
    <x v="1"/>
    <s v="Referral"/>
    <x v="0"/>
    <x v="5"/>
    <s v="New Business"/>
    <n v="92300"/>
    <n v="3.4000000000000002E-2"/>
    <n v="0.35"/>
    <s v="Pipeline"/>
    <m/>
    <n v="95"/>
    <n v="7429.33"/>
    <n v="32304.999999999996"/>
  </r>
  <r>
    <s v="OPP-00629"/>
    <d v="2026-07-31T00:00:00"/>
    <x v="135"/>
    <s v="Account 0437"/>
    <s v="E-commerce"/>
    <s v="SMB"/>
    <x v="4"/>
    <x v="5"/>
    <s v="Webinar"/>
    <x v="1"/>
    <x v="4"/>
    <s v="Renewal"/>
    <n v="14200"/>
    <n v="4.5999999999999999E-2"/>
    <n v="0.55000000000000004"/>
    <s v="Best Case"/>
    <m/>
    <n v="85"/>
    <n v="1129.3499999999999"/>
    <n v="7810.0000000000009"/>
  </r>
  <r>
    <s v="OPP-00630"/>
    <d v="2026-01-03T00:00:00"/>
    <x v="137"/>
    <s v="Account 0844"/>
    <s v="IT Services"/>
    <s v="Enterprise"/>
    <x v="2"/>
    <x v="9"/>
    <s v="Outbound"/>
    <x v="2"/>
    <x v="5"/>
    <s v="Renewal"/>
    <n v="228800"/>
    <n v="0.13700000000000001"/>
    <n v="0.35"/>
    <s v="Pipeline"/>
    <m/>
    <n v="77"/>
    <n v="16463.87"/>
    <n v="80080"/>
  </r>
  <r>
    <s v="OPP-00631"/>
    <d v="2026-07-28T00:00:00"/>
    <x v="6"/>
    <s v="Account 0786"/>
    <s v="FinTech"/>
    <s v="Enterprise"/>
    <x v="1"/>
    <x v="2"/>
    <s v="Webinar"/>
    <x v="1"/>
    <x v="2"/>
    <s v="Renewal"/>
    <n v="97300"/>
    <n v="0.222"/>
    <n v="1"/>
    <s v="Closed"/>
    <m/>
    <n v="46"/>
    <n v="6309.77"/>
    <n v="97300"/>
  </r>
  <r>
    <s v="OPP-00632"/>
    <d v="2026-04-30T00:00:00"/>
    <x v="40"/>
    <s v="Account 0514"/>
    <s v="IT Services"/>
    <s v="Enterprise"/>
    <x v="4"/>
    <x v="9"/>
    <s v="Webinar"/>
    <x v="3"/>
    <x v="6"/>
    <s v="Expansion"/>
    <n v="148300"/>
    <n v="0.13800000000000001"/>
    <n v="0.2"/>
    <s v="Pipeline"/>
    <m/>
    <n v="147"/>
    <n v="10649.87"/>
    <n v="29660"/>
  </r>
  <r>
    <s v="OPP-00633"/>
    <d v="2025-10-30T00:00:00"/>
    <x v="281"/>
    <s v="Account 0341"/>
    <s v="Healthcare"/>
    <s v="Mid-Market"/>
    <x v="4"/>
    <x v="6"/>
    <s v="Outbound"/>
    <x v="0"/>
    <x v="2"/>
    <s v="Renewal"/>
    <n v="53000"/>
    <n v="0.19500000000000001"/>
    <n v="0.95"/>
    <s v="Closed"/>
    <m/>
    <n v="35"/>
    <n v="3556.41"/>
    <n v="50350"/>
  </r>
  <r>
    <s v="OPP-00634"/>
    <d v="2025-12-28T00:00:00"/>
    <x v="200"/>
    <s v="Account 0276"/>
    <s v="Logistics"/>
    <s v="Mid-Market"/>
    <x v="4"/>
    <x v="9"/>
    <s v="Outbound"/>
    <x v="3"/>
    <x v="4"/>
    <s v="Renewal"/>
    <n v="65600"/>
    <n v="0.183"/>
    <n v="0.55000000000000004"/>
    <s v="Best Case"/>
    <m/>
    <n v="26"/>
    <n v="4465.88"/>
    <n v="36080"/>
  </r>
  <r>
    <s v="OPP-00635"/>
    <d v="2025-12-28T00:00:00"/>
    <x v="52"/>
    <s v="Account 0681"/>
    <s v="Manufacturing"/>
    <s v="SMB"/>
    <x v="0"/>
    <x v="0"/>
    <s v="Partner"/>
    <x v="0"/>
    <x v="1"/>
    <s v="Expansion"/>
    <n v="23600"/>
    <n v="0.159"/>
    <n v="0.1"/>
    <s v="Pipeline"/>
    <m/>
    <n v="101"/>
    <n v="1653.74"/>
    <n v="2360"/>
  </r>
  <r>
    <s v="OPP-00636"/>
    <d v="2026-05-24T00:00:00"/>
    <x v="6"/>
    <s v="Account 0520"/>
    <s v="EdTech"/>
    <s v="SMB"/>
    <x v="2"/>
    <x v="6"/>
    <s v="Inbound"/>
    <x v="1"/>
    <x v="0"/>
    <s v="Expansion"/>
    <n v="25900"/>
    <n v="7.0000000000000007E-2"/>
    <n v="0"/>
    <s v="Closed"/>
    <s v="Budget"/>
    <n v="111"/>
    <n v="2006.23"/>
    <n v="0"/>
  </r>
  <r>
    <s v="OPP-00637"/>
    <d v="2026-08-28T00:00:00"/>
    <x v="6"/>
    <s v="Account 0189"/>
    <s v="IT Services"/>
    <s v="SMB"/>
    <x v="0"/>
    <x v="5"/>
    <s v="Referral"/>
    <x v="2"/>
    <x v="2"/>
    <s v="Expansion"/>
    <n v="14000"/>
    <n v="0.11"/>
    <n v="1"/>
    <s v="Closed"/>
    <m/>
    <n v="15"/>
    <n v="1038.28"/>
    <n v="14000"/>
  </r>
  <r>
    <s v="OPP-00638"/>
    <d v="2026-02-05T00:00:00"/>
    <x v="3"/>
    <s v="Account 0295"/>
    <s v="EdTech"/>
    <s v="SMB"/>
    <x v="4"/>
    <x v="6"/>
    <s v="Referral"/>
    <x v="2"/>
    <x v="5"/>
    <s v="Expansion"/>
    <n v="27300"/>
    <n v="6.3E-2"/>
    <n v="0.35"/>
    <s v="Pipeline"/>
    <m/>
    <n v="103"/>
    <n v="2131.4499999999998"/>
    <n v="9555"/>
  </r>
  <r>
    <s v="OPP-00639"/>
    <d v="2026-08-26T00:00:00"/>
    <x v="4"/>
    <s v="Account 0293"/>
    <s v="Manufacturing"/>
    <s v="Mid-Market"/>
    <x v="1"/>
    <x v="10"/>
    <s v="Inbound"/>
    <x v="2"/>
    <x v="4"/>
    <s v="Expansion"/>
    <n v="85700"/>
    <n v="2.1999999999999999E-2"/>
    <n v="0.55000000000000004"/>
    <s v="Best Case"/>
    <m/>
    <n v="54"/>
    <n v="6983.51"/>
    <n v="47135.000000000007"/>
  </r>
  <r>
    <s v="OPP-00640"/>
    <d v="2026-04-22T00:00:00"/>
    <x v="278"/>
    <s v="Account 0310"/>
    <s v="SaaS"/>
    <s v="Mid-Market"/>
    <x v="4"/>
    <x v="11"/>
    <s v="Outbound"/>
    <x v="3"/>
    <x v="5"/>
    <s v="Expansion"/>
    <n v="33000"/>
    <n v="6.3E-2"/>
    <n v="0.3"/>
    <s v="Pipeline"/>
    <m/>
    <n v="58"/>
    <n v="2576.54"/>
    <n v="9900"/>
  </r>
  <r>
    <s v="OPP-00641"/>
    <d v="2026-05-15T00:00:00"/>
    <x v="259"/>
    <s v="Account 0243"/>
    <s v="Logistics"/>
    <s v="SMB"/>
    <x v="0"/>
    <x v="8"/>
    <s v="Product-Led"/>
    <x v="3"/>
    <x v="5"/>
    <s v="Expansion"/>
    <n v="9700"/>
    <n v="0.24199999999999999"/>
    <n v="0.35"/>
    <s v="Pipeline"/>
    <m/>
    <n v="180"/>
    <n v="613.02"/>
    <n v="3395"/>
  </r>
  <r>
    <s v="OPP-00642"/>
    <d v="2026-06-15T00:00:00"/>
    <x v="6"/>
    <s v="Account 0235"/>
    <s v="EdTech"/>
    <s v="Mid-Market"/>
    <x v="4"/>
    <x v="1"/>
    <s v="Webinar"/>
    <x v="3"/>
    <x v="5"/>
    <s v="Expansion"/>
    <n v="62000"/>
    <n v="0.109"/>
    <n v="0.4"/>
    <s v="Pipeline"/>
    <m/>
    <n v="89"/>
    <n v="4602.13"/>
    <n v="24800"/>
  </r>
  <r>
    <s v="OPP-00643"/>
    <d v="2025-12-28T00:00:00"/>
    <x v="0"/>
    <s v="Account 0852"/>
    <s v="Healthcare"/>
    <s v="Enterprise"/>
    <x v="0"/>
    <x v="1"/>
    <s v="Referral"/>
    <x v="4"/>
    <x v="3"/>
    <s v="New Business"/>
    <n v="95600"/>
    <n v="0.20300000000000001"/>
    <n v="0.8"/>
    <s v="Commit"/>
    <m/>
    <n v="70"/>
    <n v="6350.31"/>
    <n v="76480"/>
  </r>
  <r>
    <s v="OPP-00644"/>
    <d v="2026-08-18T00:00:00"/>
    <x v="270"/>
    <s v="Account 0469"/>
    <s v="E-commerce"/>
    <s v="Mid-Market"/>
    <x v="2"/>
    <x v="4"/>
    <s v="Webinar"/>
    <x v="1"/>
    <x v="4"/>
    <s v="Renewal"/>
    <n v="47900"/>
    <n v="0.11"/>
    <n v="0.55000000000000004"/>
    <s v="Best Case"/>
    <m/>
    <n v="69"/>
    <n v="3551.01"/>
    <n v="26345.000000000004"/>
  </r>
  <r>
    <s v="OPP-00645"/>
    <d v="2026-01-04T00:00:00"/>
    <x v="265"/>
    <s v="Account 0324"/>
    <s v="EdTech"/>
    <s v="SMB"/>
    <x v="4"/>
    <x v="9"/>
    <s v="Product-Led"/>
    <x v="2"/>
    <x v="0"/>
    <s v="Renewal"/>
    <n v="29000"/>
    <n v="0.16300000000000001"/>
    <n v="0"/>
    <s v="Closed"/>
    <s v="Security Review"/>
    <n v="110"/>
    <n v="2022.13"/>
    <n v="0"/>
  </r>
  <r>
    <s v="OPP-00646"/>
    <d v="2025-11-09T00:00:00"/>
    <x v="150"/>
    <s v="Account 0161"/>
    <s v="Logistics"/>
    <s v="SMB"/>
    <x v="3"/>
    <x v="6"/>
    <s v="Partner"/>
    <x v="1"/>
    <x v="5"/>
    <s v="Expansion"/>
    <n v="14400"/>
    <n v="9.5000000000000001E-2"/>
    <n v="0.35"/>
    <s v="Pipeline"/>
    <m/>
    <n v="48"/>
    <n v="1085.6199999999999"/>
    <n v="5040"/>
  </r>
  <r>
    <s v="OPP-00647"/>
    <d v="2025-11-12T00:00:00"/>
    <x v="230"/>
    <s v="Account 0262"/>
    <s v="SaaS"/>
    <s v="SMB"/>
    <x v="2"/>
    <x v="4"/>
    <s v="Inbound"/>
    <x v="2"/>
    <x v="5"/>
    <s v="Expansion"/>
    <n v="23100"/>
    <n v="0.14699999999999999"/>
    <n v="0.35"/>
    <s v="Pipeline"/>
    <m/>
    <n v="57"/>
    <n v="1641.5"/>
    <n v="8084.9999999999991"/>
  </r>
  <r>
    <s v="OPP-00648"/>
    <d v="2025-12-05T00:00:00"/>
    <x v="121"/>
    <s v="Account 0058"/>
    <s v="Logistics"/>
    <s v="Mid-Market"/>
    <x v="0"/>
    <x v="8"/>
    <s v="Outbound"/>
    <x v="0"/>
    <x v="6"/>
    <s v="Renewal"/>
    <n v="60500"/>
    <n v="0.189"/>
    <n v="0.25"/>
    <s v="Pipeline"/>
    <m/>
    <n v="33"/>
    <n v="4090.61"/>
    <n v="15125"/>
  </r>
  <r>
    <s v="OPP-00649"/>
    <d v="2025-12-04T00:00:00"/>
    <x v="100"/>
    <s v="Account 0740"/>
    <s v="Manufacturing"/>
    <s v="SMB"/>
    <x v="4"/>
    <x v="10"/>
    <s v="Webinar"/>
    <x v="0"/>
    <x v="5"/>
    <s v="Renewal"/>
    <n v="25500"/>
    <n v="0.17799999999999999"/>
    <n v="0.35"/>
    <s v="Pipeline"/>
    <m/>
    <n v="124"/>
    <n v="1747.09"/>
    <n v="8925"/>
  </r>
  <r>
    <s v="OPP-00650"/>
    <d v="2026-04-07T00:00:00"/>
    <x v="3"/>
    <s v="Account 0404"/>
    <s v="SaaS"/>
    <s v="SMB"/>
    <x v="1"/>
    <x v="1"/>
    <s v="Webinar"/>
    <x v="2"/>
    <x v="6"/>
    <s v="New Business"/>
    <n v="11600"/>
    <n v="0.215"/>
    <n v="0.25"/>
    <s v="Pipeline"/>
    <m/>
    <n v="42"/>
    <n v="759.04"/>
    <n v="2900"/>
  </r>
  <r>
    <s v="OPP-00651"/>
    <d v="2026-08-25T00:00:00"/>
    <x v="282"/>
    <s v="Account 0879"/>
    <s v="FinTech"/>
    <s v="Enterprise"/>
    <x v="3"/>
    <x v="4"/>
    <s v="Outbound"/>
    <x v="4"/>
    <x v="4"/>
    <s v="Renewal"/>
    <n v="157100"/>
    <n v="0.16500000000000001"/>
    <n v="0.55000000000000004"/>
    <s v="Best Case"/>
    <m/>
    <n v="66"/>
    <n v="10928.46"/>
    <n v="86405"/>
  </r>
  <r>
    <s v="OPP-00652"/>
    <d v="2026-01-10T00:00:00"/>
    <x v="198"/>
    <s v="Account 0905"/>
    <s v="Logistics"/>
    <s v="SMB"/>
    <x v="4"/>
    <x v="4"/>
    <s v="Product-Led"/>
    <x v="1"/>
    <x v="4"/>
    <s v="New Business"/>
    <n v="14900"/>
    <n v="0.13300000000000001"/>
    <n v="0.5"/>
    <s v="Best Case"/>
    <m/>
    <n v="85"/>
    <n v="1077.1300000000001"/>
    <n v="7450"/>
  </r>
  <r>
    <s v="OPP-00653"/>
    <d v="2026-04-15T00:00:00"/>
    <x v="5"/>
    <s v="Account 0375"/>
    <s v="Healthcare"/>
    <s v="Enterprise"/>
    <x v="3"/>
    <x v="11"/>
    <s v="Referral"/>
    <x v="0"/>
    <x v="3"/>
    <s v="Renewal"/>
    <n v="348000"/>
    <n v="3.1E-2"/>
    <n v="0.75"/>
    <s v="Commit"/>
    <m/>
    <n v="94"/>
    <n v="28099.46"/>
    <n v="261000"/>
  </r>
  <r>
    <s v="OPP-00654"/>
    <d v="2026-01-06T00:00:00"/>
    <x v="55"/>
    <s v="Account 0525"/>
    <s v="E-commerce"/>
    <s v="Mid-Market"/>
    <x v="3"/>
    <x v="7"/>
    <s v="Outbound"/>
    <x v="0"/>
    <x v="2"/>
    <s v="New Business"/>
    <n v="99400"/>
    <n v="6.8000000000000005E-2"/>
    <n v="1"/>
    <s v="Closed"/>
    <m/>
    <n v="103"/>
    <n v="7723.77"/>
    <n v="99400"/>
  </r>
  <r>
    <s v="OPP-00655"/>
    <d v="2026-08-08T00:00:00"/>
    <x v="259"/>
    <s v="Account 0673"/>
    <s v="E-commerce"/>
    <s v="Enterprise"/>
    <x v="4"/>
    <x v="10"/>
    <s v="Outbound"/>
    <x v="2"/>
    <x v="4"/>
    <s v="New Business"/>
    <n v="342400"/>
    <n v="0.185"/>
    <n v="0.55000000000000004"/>
    <s v="Best Case"/>
    <m/>
    <n v="95"/>
    <n v="23241.13"/>
    <n v="188320.00000000003"/>
  </r>
  <r>
    <s v="OPP-00656"/>
    <d v="2026-02-02T00:00:00"/>
    <x v="196"/>
    <s v="Account 0165"/>
    <s v="FinTech"/>
    <s v="SMB"/>
    <x v="2"/>
    <x v="6"/>
    <s v="Webinar"/>
    <x v="3"/>
    <x v="3"/>
    <s v="Expansion"/>
    <n v="19700"/>
    <n v="0.16"/>
    <n v="0.8"/>
    <s v="Commit"/>
    <m/>
    <n v="123"/>
    <n v="1379.7"/>
    <n v="15760"/>
  </r>
  <r>
    <s v="OPP-00657"/>
    <d v="2026-06-11T00:00:00"/>
    <x v="115"/>
    <s v="Account 0401"/>
    <s v="E-commerce"/>
    <s v="SMB"/>
    <x v="4"/>
    <x v="8"/>
    <s v="Referral"/>
    <x v="3"/>
    <x v="2"/>
    <s v="New Business"/>
    <n v="25800"/>
    <n v="6.5000000000000002E-2"/>
    <n v="1"/>
    <s v="Closed"/>
    <m/>
    <n v="86"/>
    <n v="2009.39"/>
    <n v="25800"/>
  </r>
  <r>
    <s v="OPP-00658"/>
    <d v="2026-04-17T00:00:00"/>
    <x v="283"/>
    <s v="Account 0217"/>
    <s v="Logistics"/>
    <s v="SMB"/>
    <x v="1"/>
    <x v="0"/>
    <s v="Partner"/>
    <x v="4"/>
    <x v="2"/>
    <s v="Renewal"/>
    <n v="18200"/>
    <n v="0.20799999999999999"/>
    <n v="1"/>
    <s v="Closed"/>
    <m/>
    <n v="24"/>
    <n v="1200.7"/>
    <n v="18200"/>
  </r>
  <r>
    <s v="OPP-00659"/>
    <d v="2025-12-19T00:00:00"/>
    <x v="277"/>
    <s v="Account 0247"/>
    <s v="Logistics"/>
    <s v="Enterprise"/>
    <x v="0"/>
    <x v="1"/>
    <s v="Product-Led"/>
    <x v="3"/>
    <x v="1"/>
    <s v="New Business"/>
    <n v="277700"/>
    <n v="0.13700000000000001"/>
    <n v="0.15"/>
    <s v="Pipeline"/>
    <m/>
    <n v="60"/>
    <n v="19972.439999999999"/>
    <n v="41655"/>
  </r>
  <r>
    <s v="OPP-00660"/>
    <d v="2026-01-15T00:00:00"/>
    <x v="1"/>
    <s v="Account 0698"/>
    <s v="Healthcare"/>
    <s v="Mid-Market"/>
    <x v="3"/>
    <x v="8"/>
    <s v="Partner"/>
    <x v="4"/>
    <x v="5"/>
    <s v="New Business"/>
    <n v="69300"/>
    <n v="0.17199999999999999"/>
    <n v="0.4"/>
    <s v="Pipeline"/>
    <m/>
    <n v="50"/>
    <n v="4783.3500000000004"/>
    <n v="27720"/>
  </r>
  <r>
    <s v="OPP-00661"/>
    <d v="2026-03-29T00:00:00"/>
    <x v="10"/>
    <s v="Account 0772"/>
    <s v="Healthcare"/>
    <s v="Mid-Market"/>
    <x v="0"/>
    <x v="9"/>
    <s v="Inbound"/>
    <x v="4"/>
    <x v="4"/>
    <s v="Renewal"/>
    <n v="25900"/>
    <n v="8.7999999999999995E-2"/>
    <n v="0.55000000000000004"/>
    <s v="Best Case"/>
    <m/>
    <n v="48"/>
    <n v="1969.06"/>
    <n v="14245.000000000002"/>
  </r>
  <r>
    <s v="OPP-00662"/>
    <d v="2026-05-09T00:00:00"/>
    <x v="105"/>
    <s v="Account 0568"/>
    <s v="EdTech"/>
    <s v="Mid-Market"/>
    <x v="3"/>
    <x v="9"/>
    <s v="Inbound"/>
    <x v="2"/>
    <x v="5"/>
    <s v="Renewal"/>
    <n v="82800"/>
    <n v="0.23300000000000001"/>
    <n v="0.35"/>
    <s v="Pipeline"/>
    <m/>
    <n v="136"/>
    <n v="5289.76"/>
    <n v="28979.999999999996"/>
  </r>
  <r>
    <s v="OPP-00663"/>
    <d v="2026-07-08T00:00:00"/>
    <x v="253"/>
    <s v="Account 0304"/>
    <s v="Manufacturing"/>
    <s v="SMB"/>
    <x v="0"/>
    <x v="1"/>
    <s v="Partner"/>
    <x v="2"/>
    <x v="3"/>
    <s v="Expansion"/>
    <n v="25700"/>
    <n v="0.105"/>
    <n v="0.75"/>
    <s v="Commit"/>
    <m/>
    <n v="100"/>
    <n v="1917.49"/>
    <n v="19275"/>
  </r>
  <r>
    <s v="OPP-00664"/>
    <d v="2026-03-16T00:00:00"/>
    <x v="284"/>
    <s v="Account 0515"/>
    <s v="E-commerce"/>
    <s v="SMB"/>
    <x v="1"/>
    <x v="5"/>
    <s v="Product-Led"/>
    <x v="0"/>
    <x v="6"/>
    <s v="Expansion"/>
    <n v="17600"/>
    <n v="9.9000000000000005E-2"/>
    <n v="0.15"/>
    <s v="Pipeline"/>
    <m/>
    <n v="28"/>
    <n v="1320.89"/>
    <n v="2640"/>
  </r>
  <r>
    <s v="OPP-00665"/>
    <d v="2026-09-01T00:00:00"/>
    <x v="6"/>
    <s v="Account 0154"/>
    <s v="FinTech"/>
    <s v="Enterprise"/>
    <x v="1"/>
    <x v="8"/>
    <s v="Outbound"/>
    <x v="3"/>
    <x v="2"/>
    <s v="Expansion"/>
    <n v="129500"/>
    <n v="0.14499999999999999"/>
    <n v="0.95"/>
    <s v="Closed"/>
    <m/>
    <n v="11"/>
    <n v="9224.57"/>
    <n v="123025"/>
  </r>
  <r>
    <s v="OPP-00666"/>
    <d v="2026-04-23T00:00:00"/>
    <x v="278"/>
    <s v="Account 0533"/>
    <s v="EdTech"/>
    <s v="Enterprise"/>
    <x v="1"/>
    <x v="5"/>
    <s v="Partner"/>
    <x v="3"/>
    <x v="5"/>
    <s v="Renewal"/>
    <n v="225200"/>
    <n v="5.0000000000000001E-3"/>
    <n v="0.35"/>
    <s v="Pipeline"/>
    <m/>
    <n v="57"/>
    <n v="18677.939999999999"/>
    <n v="78820"/>
  </r>
  <r>
    <s v="OPP-00667"/>
    <d v="2025-11-09T00:00:00"/>
    <x v="55"/>
    <s v="Account 0942"/>
    <s v="Healthcare"/>
    <s v="SMB"/>
    <x v="3"/>
    <x v="3"/>
    <s v="Webinar"/>
    <x v="1"/>
    <x v="2"/>
    <s v="Expansion"/>
    <n v="10500"/>
    <n v="0.129"/>
    <n v="0.95"/>
    <s v="Closed"/>
    <m/>
    <n v="161"/>
    <n v="761.89"/>
    <n v="9975"/>
  </r>
  <r>
    <s v="OPP-00668"/>
    <d v="2026-04-24T00:00:00"/>
    <x v="197"/>
    <s v="Account 0684"/>
    <s v="Manufacturing"/>
    <s v="SMB"/>
    <x v="3"/>
    <x v="2"/>
    <s v="Referral"/>
    <x v="2"/>
    <x v="1"/>
    <s v="Expansion"/>
    <n v="14000"/>
    <n v="2.5999999999999999E-2"/>
    <n v="0.1"/>
    <s v="Pipeline"/>
    <m/>
    <n v="124"/>
    <n v="1135.8499999999999"/>
    <n v="1400"/>
  </r>
  <r>
    <s v="OPP-00669"/>
    <d v="2026-08-05T00:00:00"/>
    <x v="282"/>
    <s v="Account 0732"/>
    <s v="SaaS"/>
    <s v="Mid-Market"/>
    <x v="1"/>
    <x v="9"/>
    <s v="Referral"/>
    <x v="2"/>
    <x v="4"/>
    <s v="New Business"/>
    <n v="40100"/>
    <n v="0.13800000000000001"/>
    <n v="0.55000000000000004"/>
    <s v="Best Case"/>
    <m/>
    <n v="86"/>
    <n v="2880.59"/>
    <n v="22055"/>
  </r>
  <r>
    <s v="OPP-00670"/>
    <d v="2026-04-01T00:00:00"/>
    <x v="177"/>
    <s v="Account 0079"/>
    <s v="EdTech"/>
    <s v="Mid-Market"/>
    <x v="2"/>
    <x v="2"/>
    <s v="Referral"/>
    <x v="4"/>
    <x v="3"/>
    <s v="New Business"/>
    <n v="45700"/>
    <n v="2.8000000000000001E-2"/>
    <n v="0.75"/>
    <s v="Commit"/>
    <m/>
    <n v="44"/>
    <n v="3701.5"/>
    <n v="34275"/>
  </r>
  <r>
    <s v="OPP-00671"/>
    <d v="2026-06-25T00:00:00"/>
    <x v="280"/>
    <s v="Account 0912"/>
    <s v="EdTech"/>
    <s v="Mid-Market"/>
    <x v="4"/>
    <x v="11"/>
    <s v="Partner"/>
    <x v="2"/>
    <x v="4"/>
    <s v="Expansion"/>
    <n v="78100"/>
    <n v="0.126"/>
    <n v="0.55000000000000004"/>
    <s v="Best Case"/>
    <m/>
    <n v="110"/>
    <n v="5685.06"/>
    <n v="42955"/>
  </r>
  <r>
    <s v="OPP-00672"/>
    <d v="2025-10-09T00:00:00"/>
    <x v="176"/>
    <s v="Account 0250"/>
    <s v="EdTech"/>
    <s v="SMB"/>
    <x v="4"/>
    <x v="7"/>
    <s v="Webinar"/>
    <x v="4"/>
    <x v="5"/>
    <s v="Renewal"/>
    <n v="19700"/>
    <n v="0.254"/>
    <n v="0.35"/>
    <s v="Pipeline"/>
    <m/>
    <n v="69"/>
    <n v="1223.95"/>
    <n v="6895"/>
  </r>
  <r>
    <s v="OPP-00673"/>
    <d v="2026-08-20T00:00:00"/>
    <x v="285"/>
    <s v="Account 0034"/>
    <s v="Manufacturing"/>
    <s v="Mid-Market"/>
    <x v="3"/>
    <x v="2"/>
    <s v="Product-Led"/>
    <x v="4"/>
    <x v="1"/>
    <s v="Expansion"/>
    <n v="89500"/>
    <n v="7.6999999999999999E-2"/>
    <n v="0.15"/>
    <s v="Pipeline"/>
    <m/>
    <n v="50"/>
    <n v="6885.86"/>
    <n v="13425"/>
  </r>
  <r>
    <s v="OPP-00674"/>
    <d v="2025-10-04T00:00:00"/>
    <x v="286"/>
    <s v="Account 0622"/>
    <s v="Manufacturing"/>
    <s v="SMB"/>
    <x v="1"/>
    <x v="6"/>
    <s v="Outbound"/>
    <x v="4"/>
    <x v="0"/>
    <s v="New Business"/>
    <n v="27300"/>
    <n v="3.1E-2"/>
    <n v="0"/>
    <s v="Closed"/>
    <s v="Security Review"/>
    <n v="85"/>
    <n v="2203.5100000000002"/>
    <n v="0"/>
  </r>
  <r>
    <s v="OPP-00675"/>
    <d v="2026-08-20T00:00:00"/>
    <x v="78"/>
    <s v="Account 0761"/>
    <s v="Healthcare"/>
    <s v="SMB"/>
    <x v="0"/>
    <x v="6"/>
    <s v="Inbound"/>
    <x v="2"/>
    <x v="1"/>
    <s v="Expansion"/>
    <n v="11800"/>
    <n v="4.1000000000000002E-2"/>
    <n v="0.05"/>
    <s v="Pipeline"/>
    <m/>
    <n v="75"/>
    <n v="943.14"/>
    <n v="590"/>
  </r>
  <r>
    <s v="OPP-00676"/>
    <d v="2026-04-18T00:00:00"/>
    <x v="85"/>
    <s v="Account 0145"/>
    <s v="Healthcare"/>
    <s v="Mid-Market"/>
    <x v="1"/>
    <x v="1"/>
    <s v="Partner"/>
    <x v="0"/>
    <x v="4"/>
    <s v="Renewal"/>
    <n v="95000"/>
    <n v="0.14799999999999999"/>
    <n v="0.55000000000000004"/>
    <s v="Best Case"/>
    <m/>
    <n v="121"/>
    <n v="6747.18"/>
    <n v="52250.000000000007"/>
  </r>
  <r>
    <s v="OPP-00677"/>
    <d v="2026-08-23T00:00:00"/>
    <x v="89"/>
    <s v="Account 0895"/>
    <s v="SaaS"/>
    <s v="Mid-Market"/>
    <x v="0"/>
    <x v="2"/>
    <s v="Referral"/>
    <x v="4"/>
    <x v="5"/>
    <s v="Expansion"/>
    <n v="95700"/>
    <n v="0.157"/>
    <n v="0.35"/>
    <s v="Pipeline"/>
    <m/>
    <n v="77"/>
    <n v="6721.52"/>
    <n v="33495"/>
  </r>
  <r>
    <s v="OPP-00678"/>
    <d v="2026-05-20T00:00:00"/>
    <x v="287"/>
    <s v="Account 0579"/>
    <s v="Manufacturing"/>
    <s v="Mid-Market"/>
    <x v="0"/>
    <x v="1"/>
    <s v="Inbound"/>
    <x v="2"/>
    <x v="4"/>
    <s v="New Business"/>
    <n v="53900"/>
    <n v="0.17299999999999999"/>
    <n v="0.55000000000000004"/>
    <s v="Best Case"/>
    <m/>
    <n v="83"/>
    <n v="3712.5"/>
    <n v="29645.000000000004"/>
  </r>
  <r>
    <s v="OPP-00679"/>
    <d v="2026-02-08T00:00:00"/>
    <x v="199"/>
    <s v="Account 0714"/>
    <s v="E-commerce"/>
    <s v="SMB"/>
    <x v="3"/>
    <x v="5"/>
    <s v="Partner"/>
    <x v="3"/>
    <x v="0"/>
    <s v="Expansion"/>
    <n v="15100"/>
    <n v="0.14599999999999999"/>
    <n v="0"/>
    <s v="Closed"/>
    <s v="Poor Fit"/>
    <n v="133"/>
    <n v="1075.19"/>
    <n v="0"/>
  </r>
  <r>
    <s v="OPP-00680"/>
    <d v="2026-05-18T00:00:00"/>
    <x v="49"/>
    <s v="Account 0896"/>
    <s v="E-commerce"/>
    <s v="Mid-Market"/>
    <x v="3"/>
    <x v="2"/>
    <s v="Partner"/>
    <x v="4"/>
    <x v="2"/>
    <s v="New Business"/>
    <n v="89500"/>
    <n v="9.0999999999999998E-2"/>
    <n v="1"/>
    <s v="Closed"/>
    <m/>
    <n v="53"/>
    <n v="6777.56"/>
    <n v="89500"/>
  </r>
  <r>
    <s v="OPP-00681"/>
    <d v="2026-06-17T00:00:00"/>
    <x v="273"/>
    <s v="Account 0417"/>
    <s v="Healthcare"/>
    <s v="SMB"/>
    <x v="3"/>
    <x v="1"/>
    <s v="Webinar"/>
    <x v="0"/>
    <x v="3"/>
    <s v="New Business"/>
    <n v="24600"/>
    <n v="7.1999999999999995E-2"/>
    <n v="0.7"/>
    <s v="Commit"/>
    <m/>
    <n v="103"/>
    <n v="1903.07"/>
    <n v="17220"/>
  </r>
  <r>
    <s v="OPP-00682"/>
    <d v="2026-06-25T00:00:00"/>
    <x v="288"/>
    <s v="Account 0924"/>
    <s v="Logistics"/>
    <s v="SMB"/>
    <x v="2"/>
    <x v="1"/>
    <s v="Partner"/>
    <x v="0"/>
    <x v="4"/>
    <s v="Expansion"/>
    <n v="14600"/>
    <n v="0.21299999999999999"/>
    <n v="0.6"/>
    <s v="Best Case"/>
    <m/>
    <n v="101"/>
    <n v="957.57"/>
    <n v="8760"/>
  </r>
  <r>
    <s v="OPP-00683"/>
    <d v="2026-03-30T00:00:00"/>
    <x v="289"/>
    <s v="Account 0366"/>
    <s v="FinTech"/>
    <s v="Mid-Market"/>
    <x v="4"/>
    <x v="4"/>
    <s v="Product-Led"/>
    <x v="2"/>
    <x v="4"/>
    <s v="Expansion"/>
    <n v="50200"/>
    <n v="9.9000000000000005E-2"/>
    <n v="0.6"/>
    <s v="Best Case"/>
    <m/>
    <n v="40"/>
    <n v="3770"/>
    <n v="30120"/>
  </r>
  <r>
    <s v="OPP-00684"/>
    <d v="2026-08-04T00:00:00"/>
    <x v="35"/>
    <s v="Account 0581"/>
    <s v="Manufacturing"/>
    <s v="SMB"/>
    <x v="2"/>
    <x v="2"/>
    <s v="Webinar"/>
    <x v="0"/>
    <x v="4"/>
    <s v="Renewal"/>
    <n v="29300"/>
    <n v="7.0999999999999994E-2"/>
    <n v="0.55000000000000004"/>
    <s v="Best Case"/>
    <m/>
    <n v="35"/>
    <n v="2267.9"/>
    <n v="16115.000000000002"/>
  </r>
  <r>
    <s v="OPP-00685"/>
    <d v="2026-03-10T00:00:00"/>
    <x v="182"/>
    <s v="Account 0601"/>
    <s v="SaaS"/>
    <s v="SMB"/>
    <x v="0"/>
    <x v="1"/>
    <s v="Partner"/>
    <x v="4"/>
    <x v="3"/>
    <s v="New Business"/>
    <n v="17800"/>
    <n v="0.152"/>
    <n v="0.8"/>
    <s v="Commit"/>
    <m/>
    <n v="147"/>
    <n v="1258.53"/>
    <n v="14240"/>
  </r>
  <r>
    <s v="OPP-00686"/>
    <d v="2025-10-30T00:00:00"/>
    <x v="65"/>
    <s v="Account 0365"/>
    <s v="Healthcare"/>
    <s v="SMB"/>
    <x v="0"/>
    <x v="1"/>
    <s v="Inbound"/>
    <x v="4"/>
    <x v="6"/>
    <s v="Renewal"/>
    <n v="8300"/>
    <n v="5.0000000000000001E-3"/>
    <n v="0.25"/>
    <s v="Pipeline"/>
    <m/>
    <n v="117"/>
    <n v="688.26"/>
    <n v="2075"/>
  </r>
  <r>
    <s v="OPP-00687"/>
    <d v="2026-01-24T00:00:00"/>
    <x v="199"/>
    <s v="Account 0585"/>
    <s v="Healthcare"/>
    <s v="SMB"/>
    <x v="0"/>
    <x v="9"/>
    <s v="Outbound"/>
    <x v="1"/>
    <x v="2"/>
    <s v="Expansion"/>
    <n v="21900"/>
    <n v="9.5000000000000001E-2"/>
    <n v="0.95"/>
    <s v="Closed"/>
    <m/>
    <n v="148"/>
    <n v="1652.42"/>
    <n v="20805"/>
  </r>
  <r>
    <s v="OPP-00688"/>
    <d v="2026-04-20T00:00:00"/>
    <x v="29"/>
    <s v="Account 0121"/>
    <s v="E-commerce"/>
    <s v="SMB"/>
    <x v="1"/>
    <x v="2"/>
    <s v="Inbound"/>
    <x v="4"/>
    <x v="3"/>
    <s v="Renewal"/>
    <n v="12500"/>
    <n v="8.7999999999999995E-2"/>
    <n v="0.75"/>
    <s v="Commit"/>
    <m/>
    <n v="108"/>
    <n v="949.5"/>
    <n v="9375"/>
  </r>
  <r>
    <s v="OPP-00689"/>
    <d v="2026-02-02T00:00:00"/>
    <x v="209"/>
    <s v="Account 0246"/>
    <s v="IT Services"/>
    <s v="Enterprise"/>
    <x v="3"/>
    <x v="10"/>
    <s v="Partner"/>
    <x v="2"/>
    <x v="0"/>
    <s v="New Business"/>
    <n v="347300"/>
    <n v="0.11700000000000001"/>
    <n v="0"/>
    <s v="Closed"/>
    <s v="Security Review"/>
    <n v="125"/>
    <n v="25544.58"/>
    <n v="0"/>
  </r>
  <r>
    <s v="OPP-00690"/>
    <d v="2026-08-20T00:00:00"/>
    <x v="290"/>
    <s v="Account 0260"/>
    <s v="Manufacturing"/>
    <s v="SMB"/>
    <x v="1"/>
    <x v="2"/>
    <s v="Webinar"/>
    <x v="3"/>
    <x v="1"/>
    <s v="Renewal"/>
    <n v="28200"/>
    <n v="6.5000000000000002E-2"/>
    <n v="0.15"/>
    <s v="Pipeline"/>
    <m/>
    <n v="40"/>
    <n v="2196.81"/>
    <n v="4230"/>
  </r>
  <r>
    <s v="OPP-00691"/>
    <d v="2026-08-20T00:00:00"/>
    <x v="78"/>
    <s v="Account 0363"/>
    <s v="EdTech"/>
    <s v="SMB"/>
    <x v="0"/>
    <x v="7"/>
    <s v="Product-Led"/>
    <x v="2"/>
    <x v="1"/>
    <s v="Renewal"/>
    <n v="16400"/>
    <n v="0.14499999999999999"/>
    <n v="0.05"/>
    <s v="Pipeline"/>
    <m/>
    <n v="75"/>
    <n v="1168.5999999999999"/>
    <n v="820"/>
  </r>
  <r>
    <s v="OPP-00692"/>
    <d v="2025-10-12T00:00:00"/>
    <x v="134"/>
    <s v="Account 0472"/>
    <s v="FinTech"/>
    <s v="SMB"/>
    <x v="1"/>
    <x v="1"/>
    <s v="Partner"/>
    <x v="1"/>
    <x v="1"/>
    <s v="Renewal"/>
    <n v="29900"/>
    <n v="5.3999999999999999E-2"/>
    <n v="0.1"/>
    <s v="Pipeline"/>
    <m/>
    <n v="125"/>
    <n v="2358.23"/>
    <n v="2990"/>
  </r>
  <r>
    <s v="OPP-00693"/>
    <d v="2025-10-12T00:00:00"/>
    <x v="281"/>
    <s v="Account 0815"/>
    <s v="Healthcare"/>
    <s v="SMB"/>
    <x v="4"/>
    <x v="2"/>
    <s v="Referral"/>
    <x v="0"/>
    <x v="1"/>
    <s v="New Business"/>
    <n v="23000"/>
    <n v="6.3E-2"/>
    <n v="0.1"/>
    <s v="Pipeline"/>
    <m/>
    <n v="53"/>
    <n v="1795.17"/>
    <n v="2300"/>
  </r>
  <r>
    <s v="OPP-00694"/>
    <d v="2026-08-13T00:00:00"/>
    <x v="9"/>
    <s v="Account 0188"/>
    <s v="FinTech"/>
    <s v="SMB"/>
    <x v="4"/>
    <x v="11"/>
    <s v="Partner"/>
    <x v="0"/>
    <x v="5"/>
    <s v="Expansion"/>
    <n v="22200"/>
    <n v="0.129"/>
    <n v="0.35"/>
    <s v="Pipeline"/>
    <m/>
    <n v="63"/>
    <n v="1610.75"/>
    <n v="7769.9999999999991"/>
  </r>
  <r>
    <s v="OPP-00695"/>
    <d v="2026-02-12T00:00:00"/>
    <x v="241"/>
    <s v="Account 0502"/>
    <s v="Healthcare"/>
    <s v="Mid-Market"/>
    <x v="3"/>
    <x v="8"/>
    <s v="Webinar"/>
    <x v="0"/>
    <x v="4"/>
    <s v="Expansion"/>
    <n v="93900"/>
    <n v="7.6999999999999999E-2"/>
    <n v="0.55000000000000004"/>
    <s v="Best Case"/>
    <m/>
    <n v="32"/>
    <n v="7220.67"/>
    <n v="51645.000000000007"/>
  </r>
  <r>
    <s v="OPP-00696"/>
    <d v="2026-05-29T00:00:00"/>
    <x v="49"/>
    <s v="Account 0800"/>
    <s v="SaaS"/>
    <s v="Mid-Market"/>
    <x v="2"/>
    <x v="3"/>
    <s v="Referral"/>
    <x v="4"/>
    <x v="5"/>
    <s v="New Business"/>
    <n v="82200"/>
    <n v="0.31"/>
    <n v="0.35"/>
    <s v="Pipeline"/>
    <m/>
    <n v="42"/>
    <n v="4724.87"/>
    <n v="28769.999999999996"/>
  </r>
  <r>
    <s v="OPP-00697"/>
    <d v="2026-06-12T00:00:00"/>
    <x v="201"/>
    <s v="Account 0564"/>
    <s v="Healthcare"/>
    <s v="SMB"/>
    <x v="4"/>
    <x v="1"/>
    <s v="Referral"/>
    <x v="4"/>
    <x v="1"/>
    <s v="New Business"/>
    <n v="11000"/>
    <n v="0.152"/>
    <n v="0.1"/>
    <s v="Pipeline"/>
    <m/>
    <n v="57"/>
    <n v="776.9"/>
    <n v="1100"/>
  </r>
  <r>
    <s v="OPP-00698"/>
    <d v="2026-05-17T00:00:00"/>
    <x v="106"/>
    <s v="Account 0471"/>
    <s v="IT Services"/>
    <s v="SMB"/>
    <x v="3"/>
    <x v="11"/>
    <s v="Referral"/>
    <x v="3"/>
    <x v="5"/>
    <s v="New Business"/>
    <n v="16500"/>
    <n v="7.9000000000000001E-2"/>
    <n v="0.35"/>
    <s v="Pipeline"/>
    <m/>
    <n v="46"/>
    <n v="1266.25"/>
    <n v="5775"/>
  </r>
  <r>
    <s v="OPP-00699"/>
    <d v="2026-02-02T00:00:00"/>
    <x v="59"/>
    <s v="Account 0828"/>
    <s v="Manufacturing"/>
    <s v="SMB"/>
    <x v="4"/>
    <x v="4"/>
    <s v="Partner"/>
    <x v="4"/>
    <x v="3"/>
    <s v="Expansion"/>
    <n v="22800"/>
    <n v="0.222"/>
    <n v="0.7"/>
    <s v="Commit"/>
    <m/>
    <n v="36"/>
    <n v="1479.04"/>
    <n v="15959.999999999998"/>
  </r>
  <r>
    <s v="OPP-00700"/>
    <d v="2026-05-27T00:00:00"/>
    <x v="46"/>
    <s v="Account 0002"/>
    <s v="E-commerce"/>
    <s v="SMB"/>
    <x v="4"/>
    <x v="8"/>
    <s v="Outbound"/>
    <x v="0"/>
    <x v="4"/>
    <s v="Renewal"/>
    <n v="29200"/>
    <n v="0.14799999999999999"/>
    <n v="0.55000000000000004"/>
    <s v="Best Case"/>
    <m/>
    <n v="123"/>
    <n v="2073.3200000000002"/>
    <n v="16060.000000000002"/>
  </r>
  <r>
    <s v="OPP-00701"/>
    <d v="2026-03-30T00:00:00"/>
    <x v="243"/>
    <s v="Account 0789"/>
    <s v="FinTech"/>
    <s v="Enterprise"/>
    <x v="4"/>
    <x v="5"/>
    <s v="Product-Led"/>
    <x v="2"/>
    <x v="2"/>
    <s v="New Business"/>
    <n v="85700"/>
    <n v="0.17399999999999999"/>
    <n v="1"/>
    <s v="Closed"/>
    <m/>
    <n v="87"/>
    <n v="5899.36"/>
    <n v="85700"/>
  </r>
  <r>
    <s v="OPP-00702"/>
    <d v="2026-04-10T00:00:00"/>
    <x v="255"/>
    <s v="Account 0615"/>
    <s v="Logistics"/>
    <s v="SMB"/>
    <x v="3"/>
    <x v="1"/>
    <s v="Product-Led"/>
    <x v="0"/>
    <x v="3"/>
    <s v="Expansion"/>
    <n v="13000"/>
    <n v="0.20200000000000001"/>
    <n v="0.75"/>
    <s v="Commit"/>
    <m/>
    <n v="68"/>
    <n v="865.03"/>
    <n v="9750"/>
  </r>
  <r>
    <s v="OPP-00703"/>
    <d v="2026-08-23T00:00:00"/>
    <x v="21"/>
    <s v="Account 0129"/>
    <s v="IT Services"/>
    <s v="Mid-Market"/>
    <x v="3"/>
    <x v="10"/>
    <s v="Outbound"/>
    <x v="1"/>
    <x v="1"/>
    <s v="Expansion"/>
    <n v="62600"/>
    <n v="0.13500000000000001"/>
    <n v="0.1"/>
    <s v="Pipeline"/>
    <m/>
    <n v="56"/>
    <n v="4510.8999999999996"/>
    <n v="6260"/>
  </r>
  <r>
    <s v="OPP-00704"/>
    <d v="2026-07-20T00:00:00"/>
    <x v="6"/>
    <s v="Account 0662"/>
    <s v="E-commerce"/>
    <s v="SMB"/>
    <x v="2"/>
    <x v="9"/>
    <s v="Inbound"/>
    <x v="3"/>
    <x v="2"/>
    <s v="Renewal"/>
    <n v="26300"/>
    <n v="0.11600000000000001"/>
    <n v="1"/>
    <s v="Closed"/>
    <m/>
    <n v="54"/>
    <n v="1937.38"/>
    <n v="26300"/>
  </r>
  <r>
    <s v="OPP-00705"/>
    <d v="2026-05-05T00:00:00"/>
    <x v="226"/>
    <s v="Account 0168"/>
    <s v="EdTech"/>
    <s v="Mid-Market"/>
    <x v="1"/>
    <x v="9"/>
    <s v="Outbound"/>
    <x v="3"/>
    <x v="3"/>
    <s v="Renewal"/>
    <n v="73500"/>
    <n v="0.18"/>
    <n v="0.7"/>
    <s v="Commit"/>
    <m/>
    <n v="46"/>
    <n v="5021.42"/>
    <n v="51450"/>
  </r>
  <r>
    <s v="OPP-00706"/>
    <d v="2026-08-29T00:00:00"/>
    <x v="4"/>
    <s v="Account 0602"/>
    <s v="SaaS"/>
    <s v="SMB"/>
    <x v="4"/>
    <x v="5"/>
    <s v="Referral"/>
    <x v="4"/>
    <x v="5"/>
    <s v="Expansion"/>
    <n v="14500"/>
    <n v="4.0000000000000001E-3"/>
    <n v="0.35"/>
    <s v="Pipeline"/>
    <m/>
    <n v="51"/>
    <n v="1203.72"/>
    <n v="5075"/>
  </r>
  <r>
    <s v="OPP-00707"/>
    <d v="2026-02-25T00:00:00"/>
    <x v="111"/>
    <s v="Account 0596"/>
    <s v="IT Services"/>
    <s v="Enterprise"/>
    <x v="1"/>
    <x v="6"/>
    <s v="Partner"/>
    <x v="4"/>
    <x v="0"/>
    <s v="Renewal"/>
    <n v="165800"/>
    <n v="9.2999999999999999E-2"/>
    <n v="0"/>
    <s v="Closed"/>
    <s v="Poor Fit"/>
    <n v="166"/>
    <n v="12532.85"/>
    <n v="0"/>
  </r>
  <r>
    <s v="OPP-00708"/>
    <d v="2026-02-15T00:00:00"/>
    <x v="164"/>
    <s v="Account 0279"/>
    <s v="Healthcare"/>
    <s v="Enterprise"/>
    <x v="4"/>
    <x v="0"/>
    <s v="Webinar"/>
    <x v="1"/>
    <x v="1"/>
    <s v="Expansion"/>
    <n v="339000"/>
    <n v="4.3999999999999997E-2"/>
    <n v="0.05"/>
    <s v="Pipeline"/>
    <m/>
    <n v="43"/>
    <n v="26994.73"/>
    <n v="16950"/>
  </r>
  <r>
    <s v="OPP-00709"/>
    <d v="2026-07-27T00:00:00"/>
    <x v="90"/>
    <s v="Account 0206"/>
    <s v="FinTech"/>
    <s v="Mid-Market"/>
    <x v="0"/>
    <x v="10"/>
    <s v="Inbound"/>
    <x v="2"/>
    <x v="1"/>
    <s v="New Business"/>
    <n v="87100"/>
    <n v="0"/>
    <n v="0.1"/>
    <s v="Pipeline"/>
    <m/>
    <n v="96"/>
    <n v="7258.33"/>
    <n v="8710"/>
  </r>
  <r>
    <s v="OPP-00710"/>
    <d v="2026-03-09T00:00:00"/>
    <x v="23"/>
    <s v="Account 0141"/>
    <s v="Logistics"/>
    <s v="SMB"/>
    <x v="3"/>
    <x v="0"/>
    <s v="Webinar"/>
    <x v="2"/>
    <x v="3"/>
    <s v="Renewal"/>
    <n v="23100"/>
    <n v="9.6000000000000002E-2"/>
    <n v="0.75"/>
    <s v="Commit"/>
    <m/>
    <n v="75"/>
    <n v="1739.85"/>
    <n v="17325"/>
  </r>
  <r>
    <s v="OPP-00711"/>
    <d v="2025-11-03T00:00:00"/>
    <x v="272"/>
    <s v="Account 0331"/>
    <s v="E-commerce"/>
    <s v="SMB"/>
    <x v="2"/>
    <x v="4"/>
    <s v="Inbound"/>
    <x v="3"/>
    <x v="1"/>
    <s v="Renewal"/>
    <n v="23200"/>
    <n v="0.13800000000000001"/>
    <n v="0.1"/>
    <s v="Pipeline"/>
    <m/>
    <n v="89"/>
    <n v="1667.35"/>
    <n v="2320"/>
  </r>
  <r>
    <s v="OPP-00712"/>
    <d v="2025-12-03T00:00:00"/>
    <x v="271"/>
    <s v="Account 0837"/>
    <s v="Manufacturing"/>
    <s v="Mid-Market"/>
    <x v="0"/>
    <x v="7"/>
    <s v="Referral"/>
    <x v="0"/>
    <x v="1"/>
    <s v="Renewal"/>
    <n v="41700"/>
    <n v="0.19400000000000001"/>
    <n v="0.1"/>
    <s v="Pipeline"/>
    <m/>
    <n v="101"/>
    <n v="2799.66"/>
    <n v="4170"/>
  </r>
  <r>
    <s v="OPP-00713"/>
    <d v="2026-04-25T00:00:00"/>
    <x v="151"/>
    <s v="Account 0491"/>
    <s v="IT Services"/>
    <s v="SMB"/>
    <x v="0"/>
    <x v="5"/>
    <s v="Inbound"/>
    <x v="3"/>
    <x v="5"/>
    <s v="New Business"/>
    <n v="17600"/>
    <n v="0.14799999999999999"/>
    <n v="0.35"/>
    <s v="Pipeline"/>
    <m/>
    <n v="38"/>
    <n v="1249.67"/>
    <n v="6160"/>
  </r>
  <r>
    <s v="OPP-00714"/>
    <d v="2025-10-10T00:00:00"/>
    <x v="291"/>
    <s v="Account 0322"/>
    <s v="Manufacturing"/>
    <s v="Mid-Market"/>
    <x v="0"/>
    <x v="6"/>
    <s v="Referral"/>
    <x v="2"/>
    <x v="6"/>
    <s v="New Business"/>
    <n v="76600"/>
    <n v="0"/>
    <n v="0.15"/>
    <s v="Pipeline"/>
    <m/>
    <n v="103"/>
    <n v="6383.33"/>
    <n v="11490"/>
  </r>
  <r>
    <s v="OPP-00715"/>
    <d v="2026-05-10T00:00:00"/>
    <x v="197"/>
    <s v="Account 0369"/>
    <s v="Logistics"/>
    <s v="Mid-Market"/>
    <x v="0"/>
    <x v="11"/>
    <s v="Partner"/>
    <x v="0"/>
    <x v="2"/>
    <s v="New Business"/>
    <n v="42900"/>
    <n v="0.10299999999999999"/>
    <n v="1"/>
    <s v="Closed"/>
    <m/>
    <n v="108"/>
    <n v="3205.23"/>
    <n v="42900"/>
  </r>
  <r>
    <s v="OPP-00716"/>
    <d v="2026-01-23T00:00:00"/>
    <x v="191"/>
    <s v="Account 0621"/>
    <s v="FinTech"/>
    <s v="Enterprise"/>
    <x v="0"/>
    <x v="8"/>
    <s v="Partner"/>
    <x v="1"/>
    <x v="2"/>
    <s v="Expansion"/>
    <n v="221500"/>
    <n v="0.16200000000000001"/>
    <n v="1"/>
    <s v="Closed"/>
    <m/>
    <n v="93"/>
    <n v="15466.92"/>
    <n v="221500"/>
  </r>
  <r>
    <s v="OPP-00717"/>
    <d v="2026-04-03T00:00:00"/>
    <x v="31"/>
    <s v="Account 0693"/>
    <s v="E-commerce"/>
    <s v="SMB"/>
    <x v="3"/>
    <x v="3"/>
    <s v="Partner"/>
    <x v="3"/>
    <x v="1"/>
    <s v="New Business"/>
    <n v="7300"/>
    <n v="0.107"/>
    <n v="0.1"/>
    <s v="Pipeline"/>
    <m/>
    <n v="117"/>
    <n v="543.34"/>
    <n v="730"/>
  </r>
  <r>
    <s v="OPP-00718"/>
    <d v="2026-03-20T00:00:00"/>
    <x v="18"/>
    <s v="Account 0598"/>
    <s v="Manufacturing"/>
    <s v="SMB"/>
    <x v="4"/>
    <x v="8"/>
    <s v="Referral"/>
    <x v="1"/>
    <x v="2"/>
    <s v="New Business"/>
    <n v="26900"/>
    <n v="0"/>
    <n v="0.95"/>
    <s v="Closed"/>
    <m/>
    <n v="136"/>
    <n v="2241.67"/>
    <n v="25555"/>
  </r>
  <r>
    <s v="OPP-00719"/>
    <d v="2026-05-22T00:00:00"/>
    <x v="6"/>
    <s v="Account 0500"/>
    <s v="IT Services"/>
    <s v="Mid-Market"/>
    <x v="0"/>
    <x v="3"/>
    <s v="Partner"/>
    <x v="4"/>
    <x v="0"/>
    <s v="New Business"/>
    <n v="87300"/>
    <n v="0.106"/>
    <n v="0"/>
    <s v="Closed"/>
    <s v="Budget"/>
    <n v="113"/>
    <n v="6507.4"/>
    <n v="0"/>
  </r>
  <r>
    <s v="OPP-00720"/>
    <d v="2026-03-22T00:00:00"/>
    <x v="205"/>
    <s v="Account 0797"/>
    <s v="SaaS"/>
    <s v="Mid-Market"/>
    <x v="2"/>
    <x v="9"/>
    <s v="Product-Led"/>
    <x v="1"/>
    <x v="5"/>
    <s v="Expansion"/>
    <n v="36600"/>
    <n v="0.22500000000000001"/>
    <n v="0.35"/>
    <s v="Pipeline"/>
    <m/>
    <n v="60"/>
    <n v="2362.4499999999998"/>
    <n v="12810"/>
  </r>
  <r>
    <s v="OPP-00721"/>
    <d v="2026-07-04T00:00:00"/>
    <x v="125"/>
    <s v="Account 0290"/>
    <s v="SaaS"/>
    <s v="SMB"/>
    <x v="1"/>
    <x v="10"/>
    <s v="Product-Led"/>
    <x v="0"/>
    <x v="6"/>
    <s v="Renewal"/>
    <n v="20300"/>
    <n v="0.155"/>
    <n v="0.15"/>
    <s v="Pipeline"/>
    <m/>
    <n v="43"/>
    <n v="1429.22"/>
    <n v="3045"/>
  </r>
  <r>
    <s v="OPP-00722"/>
    <d v="2025-11-23T00:00:00"/>
    <x v="55"/>
    <s v="Account 0873"/>
    <s v="IT Services"/>
    <s v="SMB"/>
    <x v="2"/>
    <x v="10"/>
    <s v="Inbound"/>
    <x v="1"/>
    <x v="4"/>
    <s v="Renewal"/>
    <n v="16800"/>
    <n v="0.11600000000000001"/>
    <n v="0.55000000000000004"/>
    <s v="Best Case"/>
    <m/>
    <n v="147"/>
    <n v="1238.1099999999999"/>
    <n v="9240"/>
  </r>
  <r>
    <s v="OPP-00723"/>
    <d v="2026-02-04T00:00:00"/>
    <x v="292"/>
    <s v="Account 0040"/>
    <s v="Logistics"/>
    <s v="SMB"/>
    <x v="1"/>
    <x v="7"/>
    <s v="Referral"/>
    <x v="1"/>
    <x v="4"/>
    <s v="Expansion"/>
    <n v="18900"/>
    <n v="0.125"/>
    <n v="0.55000000000000004"/>
    <s v="Best Case"/>
    <m/>
    <n v="142"/>
    <n v="1377.79"/>
    <n v="10395"/>
  </r>
  <r>
    <s v="OPP-00724"/>
    <d v="2026-08-29T00:00:00"/>
    <x v="107"/>
    <s v="Account 0739"/>
    <s v="IT Services"/>
    <s v="SMB"/>
    <x v="4"/>
    <x v="4"/>
    <s v="Outbound"/>
    <x v="2"/>
    <x v="1"/>
    <s v="Expansion"/>
    <n v="23100"/>
    <n v="0"/>
    <n v="0.15"/>
    <s v="Pipeline"/>
    <m/>
    <n v="72"/>
    <n v="1925"/>
    <n v="3465"/>
  </r>
  <r>
    <s v="OPP-00725"/>
    <d v="2026-05-06T00:00:00"/>
    <x v="76"/>
    <s v="Account 0731"/>
    <s v="FinTech"/>
    <s v="Enterprise"/>
    <x v="2"/>
    <x v="5"/>
    <s v="Inbound"/>
    <x v="1"/>
    <x v="1"/>
    <s v="Renewal"/>
    <n v="177200"/>
    <n v="6.6000000000000003E-2"/>
    <n v="0.15"/>
    <s v="Pipeline"/>
    <m/>
    <n v="36"/>
    <n v="13791.55"/>
    <n v="26580"/>
  </r>
  <r>
    <s v="OPP-00726"/>
    <d v="2026-04-13T00:00:00"/>
    <x v="140"/>
    <s v="Account 0374"/>
    <s v="SaaS"/>
    <s v="Mid-Market"/>
    <x v="1"/>
    <x v="2"/>
    <s v="Inbound"/>
    <x v="1"/>
    <x v="2"/>
    <s v="New Business"/>
    <n v="69400"/>
    <n v="0.214"/>
    <n v="1"/>
    <s v="Closed"/>
    <m/>
    <n v="45"/>
    <n v="4544.37"/>
    <n v="69400"/>
  </r>
  <r>
    <s v="OPP-00727"/>
    <d v="2026-05-18T00:00:00"/>
    <x v="50"/>
    <s v="Account 0812"/>
    <s v="FinTech"/>
    <s v="SMB"/>
    <x v="1"/>
    <x v="11"/>
    <s v="Partner"/>
    <x v="4"/>
    <x v="1"/>
    <s v="New Business"/>
    <n v="11300"/>
    <n v="7.9000000000000001E-2"/>
    <n v="0.15"/>
    <s v="Pipeline"/>
    <m/>
    <n v="108"/>
    <n v="867.56"/>
    <n v="1695"/>
  </r>
  <r>
    <s v="OPP-00728"/>
    <d v="2026-06-22T00:00:00"/>
    <x v="6"/>
    <s v="Account 0692"/>
    <s v="IT Services"/>
    <s v="Enterprise"/>
    <x v="4"/>
    <x v="2"/>
    <s v="Referral"/>
    <x v="3"/>
    <x v="2"/>
    <s v="Renewal"/>
    <n v="213000"/>
    <n v="2.1999999999999999E-2"/>
    <n v="1"/>
    <s v="Closed"/>
    <m/>
    <n v="82"/>
    <n v="17354.55"/>
    <n v="213000"/>
  </r>
  <r>
    <s v="OPP-00729"/>
    <d v="2026-03-18T00:00:00"/>
    <x v="293"/>
    <s v="Account 0271"/>
    <s v="E-commerce"/>
    <s v="Enterprise"/>
    <x v="1"/>
    <x v="2"/>
    <s v="Product-Led"/>
    <x v="2"/>
    <x v="3"/>
    <s v="Renewal"/>
    <n v="182100"/>
    <n v="0.18099999999999999"/>
    <n v="0.8"/>
    <s v="Commit"/>
    <m/>
    <n v="128"/>
    <n v="12426.86"/>
    <n v="145680"/>
  </r>
  <r>
    <s v="OPP-00730"/>
    <d v="2025-10-23T00:00:00"/>
    <x v="142"/>
    <s v="Account 0066"/>
    <s v="EdTech"/>
    <s v="SMB"/>
    <x v="1"/>
    <x v="9"/>
    <s v="Partner"/>
    <x v="1"/>
    <x v="1"/>
    <s v="New Business"/>
    <n v="17100"/>
    <n v="9.7000000000000003E-2"/>
    <n v="0.05"/>
    <s v="Pipeline"/>
    <m/>
    <n v="113"/>
    <n v="1287.4100000000001"/>
    <n v="855"/>
  </r>
  <r>
    <s v="OPP-00731"/>
    <d v="2026-06-22T00:00:00"/>
    <x v="169"/>
    <s v="Account 0320"/>
    <s v="Manufacturing"/>
    <s v="SMB"/>
    <x v="0"/>
    <x v="5"/>
    <s v="Partner"/>
    <x v="4"/>
    <x v="1"/>
    <s v="New Business"/>
    <n v="25300"/>
    <n v="0.23400000000000001"/>
    <n v="0.1"/>
    <s v="Pipeline"/>
    <m/>
    <n v="105"/>
    <n v="1614.54"/>
    <n v="2530"/>
  </r>
  <r>
    <s v="OPP-00732"/>
    <d v="2026-08-17T00:00:00"/>
    <x v="6"/>
    <s v="Account 0600"/>
    <s v="SaaS"/>
    <s v="Mid-Market"/>
    <x v="0"/>
    <x v="0"/>
    <s v="Outbound"/>
    <x v="1"/>
    <x v="0"/>
    <s v="Renewal"/>
    <n v="78800"/>
    <n v="7.5999999999999998E-2"/>
    <n v="0"/>
    <s v="Closed"/>
    <s v="Security Review"/>
    <n v="26"/>
    <n v="6066.99"/>
    <n v="0"/>
  </r>
  <r>
    <s v="OPP-00733"/>
    <d v="2026-07-06T00:00:00"/>
    <x v="260"/>
    <s v="Account 0067"/>
    <s v="Manufacturing"/>
    <s v="Enterprise"/>
    <x v="3"/>
    <x v="4"/>
    <s v="Referral"/>
    <x v="0"/>
    <x v="1"/>
    <s v="Renewal"/>
    <n v="281100"/>
    <n v="0.11"/>
    <n v="0.1"/>
    <s v="Pipeline"/>
    <m/>
    <n v="114"/>
    <n v="20849.150000000001"/>
    <n v="28110"/>
  </r>
  <r>
    <s v="OPP-00734"/>
    <d v="2026-02-11T00:00:00"/>
    <x v="170"/>
    <s v="Account 0266"/>
    <s v="Manufacturing"/>
    <s v="SMB"/>
    <x v="4"/>
    <x v="4"/>
    <s v="Product-Led"/>
    <x v="3"/>
    <x v="2"/>
    <s v="New Business"/>
    <n v="29000"/>
    <n v="0.15"/>
    <n v="1"/>
    <s v="Closed"/>
    <m/>
    <n v="52"/>
    <n v="2054.88"/>
    <n v="29000"/>
  </r>
  <r>
    <s v="OPP-00735"/>
    <d v="2026-04-27T00:00:00"/>
    <x v="293"/>
    <s v="Account 0733"/>
    <s v="IT Services"/>
    <s v="SMB"/>
    <x v="3"/>
    <x v="3"/>
    <s v="Outbound"/>
    <x v="0"/>
    <x v="5"/>
    <s v="Renewal"/>
    <n v="10000"/>
    <n v="8.7999999999999995E-2"/>
    <n v="0.35"/>
    <s v="Pipeline"/>
    <m/>
    <n v="88"/>
    <n v="760.22"/>
    <n v="3500"/>
  </r>
  <r>
    <s v="OPP-00736"/>
    <d v="2026-01-15T00:00:00"/>
    <x v="294"/>
    <s v="Account 0042"/>
    <s v="Manufacturing"/>
    <s v="Enterprise"/>
    <x v="3"/>
    <x v="1"/>
    <s v="Referral"/>
    <x v="4"/>
    <x v="0"/>
    <s v="New Business"/>
    <n v="207900"/>
    <n v="0"/>
    <n v="0.05"/>
    <s v="Closed"/>
    <s v="Security Review"/>
    <n v="131"/>
    <n v="17325"/>
    <n v="10395"/>
  </r>
  <r>
    <s v="OPP-00737"/>
    <d v="2026-03-14T00:00:00"/>
    <x v="201"/>
    <s v="Account 0457"/>
    <s v="E-commerce"/>
    <s v="Mid-Market"/>
    <x v="3"/>
    <x v="11"/>
    <s v="Referral"/>
    <x v="3"/>
    <x v="5"/>
    <s v="Renewal"/>
    <n v="78100"/>
    <n v="5.6000000000000001E-2"/>
    <n v="0.35"/>
    <s v="Pipeline"/>
    <m/>
    <n v="147"/>
    <n v="6144.94"/>
    <n v="27335"/>
  </r>
  <r>
    <s v="OPP-00738"/>
    <d v="2026-06-08T00:00:00"/>
    <x v="266"/>
    <s v="Account 0889"/>
    <s v="IT Services"/>
    <s v="Enterprise"/>
    <x v="3"/>
    <x v="9"/>
    <s v="Outbound"/>
    <x v="3"/>
    <x v="4"/>
    <s v="New Business"/>
    <n v="148200"/>
    <n v="0.11700000000000001"/>
    <n v="0.6"/>
    <s v="Best Case"/>
    <m/>
    <n v="36"/>
    <n v="10910.2"/>
    <n v="88920"/>
  </r>
  <r>
    <s v="OPP-00739"/>
    <d v="2025-12-08T00:00:00"/>
    <x v="295"/>
    <s v="Account 0389"/>
    <s v="Healthcare"/>
    <s v="Mid-Market"/>
    <x v="0"/>
    <x v="6"/>
    <s v="Product-Led"/>
    <x v="0"/>
    <x v="5"/>
    <s v="New Business"/>
    <n v="67900"/>
    <n v="1.9E-2"/>
    <n v="0.35"/>
    <s v="Pipeline"/>
    <m/>
    <n v="99"/>
    <n v="5552.54"/>
    <n v="23765"/>
  </r>
  <r>
    <s v="OPP-00740"/>
    <d v="2026-04-24T00:00:00"/>
    <x v="188"/>
    <s v="Account 0199"/>
    <s v="SaaS"/>
    <s v="SMB"/>
    <x v="1"/>
    <x v="11"/>
    <s v="Inbound"/>
    <x v="2"/>
    <x v="5"/>
    <s v="Renewal"/>
    <n v="7800"/>
    <n v="6.2E-2"/>
    <n v="0.35"/>
    <s v="Pipeline"/>
    <m/>
    <n v="116"/>
    <n v="609.53"/>
    <n v="2730"/>
  </r>
  <r>
    <s v="OPP-00741"/>
    <d v="2025-12-03T00:00:00"/>
    <x v="19"/>
    <s v="Account 0161"/>
    <s v="Manufacturing"/>
    <s v="SMB"/>
    <x v="0"/>
    <x v="1"/>
    <s v="Referral"/>
    <x v="2"/>
    <x v="5"/>
    <s v="Expansion"/>
    <n v="18800"/>
    <n v="0.156"/>
    <n v="0.4"/>
    <s v="Pipeline"/>
    <m/>
    <n v="39"/>
    <n v="1321.6"/>
    <n v="7520"/>
  </r>
  <r>
    <s v="OPP-00742"/>
    <d v="2026-06-06T00:00:00"/>
    <x v="49"/>
    <s v="Account 0448"/>
    <s v="Healthcare"/>
    <s v="SMB"/>
    <x v="1"/>
    <x v="10"/>
    <s v="Product-Led"/>
    <x v="2"/>
    <x v="4"/>
    <s v="Renewal"/>
    <n v="17600"/>
    <n v="0.114"/>
    <n v="0.55000000000000004"/>
    <s v="Best Case"/>
    <m/>
    <n v="34"/>
    <n v="1299.18"/>
    <n v="9680"/>
  </r>
  <r>
    <s v="OPP-00743"/>
    <d v="2025-12-05T00:00:00"/>
    <x v="59"/>
    <s v="Account 0710"/>
    <s v="SaaS"/>
    <s v="SMB"/>
    <x v="1"/>
    <x v="7"/>
    <s v="Partner"/>
    <x v="1"/>
    <x v="1"/>
    <s v="Expansion"/>
    <n v="25600"/>
    <n v="0.153"/>
    <n v="0.1"/>
    <s v="Pipeline"/>
    <m/>
    <n v="95"/>
    <n v="1806.76"/>
    <n v="2560"/>
  </r>
  <r>
    <s v="OPP-00744"/>
    <d v="2026-04-07T00:00:00"/>
    <x v="111"/>
    <s v="Account 0900"/>
    <s v="Healthcare"/>
    <s v="Mid-Market"/>
    <x v="0"/>
    <x v="2"/>
    <s v="Webinar"/>
    <x v="4"/>
    <x v="0"/>
    <s v="Renewal"/>
    <n v="66800"/>
    <n v="7.6999999999999999E-2"/>
    <n v="0.05"/>
    <s v="Closed"/>
    <s v="Champion Left"/>
    <n v="125"/>
    <n v="5138.9799999999996"/>
    <n v="3340"/>
  </r>
  <r>
    <s v="OPP-00745"/>
    <d v="2026-08-12T00:00:00"/>
    <x v="6"/>
    <s v="Account 0257"/>
    <s v="E-commerce"/>
    <s v="Enterprise"/>
    <x v="3"/>
    <x v="0"/>
    <s v="Webinar"/>
    <x v="0"/>
    <x v="6"/>
    <s v="Expansion"/>
    <n v="178500"/>
    <n v="2.7E-2"/>
    <n v="0.25"/>
    <s v="Pipeline"/>
    <m/>
    <n v="31"/>
    <n v="14468.53"/>
    <n v="44625"/>
  </r>
  <r>
    <s v="OPP-00746"/>
    <d v="2025-10-31T00:00:00"/>
    <x v="128"/>
    <s v="Account 0802"/>
    <s v="Logistics"/>
    <s v="SMB"/>
    <x v="4"/>
    <x v="10"/>
    <s v="Product-Led"/>
    <x v="4"/>
    <x v="2"/>
    <s v="New Business"/>
    <n v="16000"/>
    <n v="0.123"/>
    <n v="1"/>
    <s v="Closed"/>
    <m/>
    <n v="110"/>
    <n v="1168.9000000000001"/>
    <n v="16000"/>
  </r>
  <r>
    <s v="OPP-00747"/>
    <d v="2026-04-07T00:00:00"/>
    <x v="3"/>
    <s v="Account 0246"/>
    <s v="IT Services"/>
    <s v="Mid-Market"/>
    <x v="1"/>
    <x v="10"/>
    <s v="Outbound"/>
    <x v="2"/>
    <x v="2"/>
    <s v="New Business"/>
    <n v="89100"/>
    <n v="0.13800000000000001"/>
    <n v="1"/>
    <s v="Closed"/>
    <m/>
    <n v="42"/>
    <n v="6402.88"/>
    <n v="89100"/>
  </r>
  <r>
    <s v="OPP-00748"/>
    <d v="2025-11-10T00:00:00"/>
    <x v="247"/>
    <s v="Account 0240"/>
    <s v="Healthcare"/>
    <s v="Mid-Market"/>
    <x v="2"/>
    <x v="6"/>
    <s v="Webinar"/>
    <x v="2"/>
    <x v="1"/>
    <s v="Expansion"/>
    <n v="95000"/>
    <n v="2.5000000000000001E-2"/>
    <n v="0.1"/>
    <s v="Pipeline"/>
    <m/>
    <n v="85"/>
    <n v="7721"/>
    <n v="9500"/>
  </r>
  <r>
    <s v="OPP-00749"/>
    <d v="2025-12-29T00:00:00"/>
    <x v="12"/>
    <s v="Account 0787"/>
    <s v="EdTech"/>
    <s v="Enterprise"/>
    <x v="0"/>
    <x v="4"/>
    <s v="Outbound"/>
    <x v="4"/>
    <x v="5"/>
    <s v="New Business"/>
    <n v="187800"/>
    <n v="0.11899999999999999"/>
    <n v="0.4"/>
    <s v="Pipeline"/>
    <m/>
    <n v="86"/>
    <n v="13784.89"/>
    <n v="75120"/>
  </r>
  <r>
    <s v="OPP-00750"/>
    <d v="2025-11-09T00:00:00"/>
    <x v="142"/>
    <s v="Account 0029"/>
    <s v="E-commerce"/>
    <s v="SMB"/>
    <x v="3"/>
    <x v="9"/>
    <s v="Product-Led"/>
    <x v="4"/>
    <x v="2"/>
    <s v="Expansion"/>
    <n v="8100"/>
    <n v="0.157"/>
    <n v="1"/>
    <s v="Closed"/>
    <m/>
    <n v="96"/>
    <n v="569.16"/>
    <n v="8100"/>
  </r>
  <r>
    <s v="OPP-00751"/>
    <d v="2026-04-11T00:00:00"/>
    <x v="69"/>
    <s v="Account 0028"/>
    <s v="EdTech"/>
    <s v="SMB"/>
    <x v="3"/>
    <x v="8"/>
    <s v="Webinar"/>
    <x v="3"/>
    <x v="6"/>
    <s v="Expansion"/>
    <n v="22600"/>
    <n v="0"/>
    <n v="0.2"/>
    <s v="Pipeline"/>
    <m/>
    <n v="68"/>
    <n v="1883.33"/>
    <n v="4520"/>
  </r>
  <r>
    <s v="OPP-00752"/>
    <d v="2026-07-22T00:00:00"/>
    <x v="290"/>
    <s v="Account 0020"/>
    <s v="Logistics"/>
    <s v="SMB"/>
    <x v="4"/>
    <x v="0"/>
    <s v="Outbound"/>
    <x v="0"/>
    <x v="1"/>
    <s v="New Business"/>
    <n v="25000"/>
    <n v="0.13200000000000001"/>
    <n v="0.1"/>
    <s v="Pipeline"/>
    <m/>
    <n v="69"/>
    <n v="1808.26"/>
    <n v="2500"/>
  </r>
  <r>
    <s v="OPP-00753"/>
    <d v="2026-03-22T00:00:00"/>
    <x v="55"/>
    <s v="Account 0305"/>
    <s v="Healthcare"/>
    <s v="SMB"/>
    <x v="0"/>
    <x v="5"/>
    <s v="Partner"/>
    <x v="4"/>
    <x v="1"/>
    <s v="New Business"/>
    <n v="16000"/>
    <n v="1.2E-2"/>
    <n v="0.15"/>
    <s v="Pipeline"/>
    <m/>
    <n v="28"/>
    <n v="1317.34"/>
    <n v="2400"/>
  </r>
  <r>
    <s v="OPP-00754"/>
    <d v="2026-06-13T00:00:00"/>
    <x v="296"/>
    <s v="Account 0608"/>
    <s v="EdTech"/>
    <s v="Mid-Market"/>
    <x v="4"/>
    <x v="4"/>
    <s v="Referral"/>
    <x v="3"/>
    <x v="6"/>
    <s v="New Business"/>
    <n v="54500"/>
    <n v="0.154"/>
    <n v="0.2"/>
    <s v="Pipeline"/>
    <m/>
    <n v="63"/>
    <n v="3842.15"/>
    <n v="10900"/>
  </r>
  <r>
    <s v="OPP-00755"/>
    <d v="2025-12-16T00:00:00"/>
    <x v="165"/>
    <s v="Account 0001"/>
    <s v="Healthcare"/>
    <s v="SMB"/>
    <x v="4"/>
    <x v="9"/>
    <s v="Webinar"/>
    <x v="3"/>
    <x v="4"/>
    <s v="Expansion"/>
    <n v="27100"/>
    <n v="0.13800000000000001"/>
    <n v="0.55000000000000004"/>
    <s v="Best Case"/>
    <m/>
    <n v="47"/>
    <n v="1946.98"/>
    <n v="14905.000000000002"/>
  </r>
  <r>
    <s v="OPP-00756"/>
    <d v="2026-04-19T00:00:00"/>
    <x v="297"/>
    <s v="Account 0219"/>
    <s v="EdTech"/>
    <s v="SMB"/>
    <x v="4"/>
    <x v="8"/>
    <s v="Outbound"/>
    <x v="3"/>
    <x v="4"/>
    <s v="New Business"/>
    <n v="29200"/>
    <n v="7.5999999999999998E-2"/>
    <n v="0.55000000000000004"/>
    <s v="Best Case"/>
    <m/>
    <n v="55"/>
    <n v="2247.64"/>
    <n v="16060.000000000002"/>
  </r>
  <r>
    <s v="OPP-00757"/>
    <d v="2026-01-14T00:00:00"/>
    <x v="95"/>
    <s v="Account 0927"/>
    <s v="SaaS"/>
    <s v="SMB"/>
    <x v="4"/>
    <x v="3"/>
    <s v="Inbound"/>
    <x v="4"/>
    <x v="6"/>
    <s v="Renewal"/>
    <n v="25300"/>
    <n v="0.153"/>
    <n v="0.2"/>
    <s v="Pipeline"/>
    <m/>
    <n v="64"/>
    <n v="1785.34"/>
    <n v="5060"/>
  </r>
  <r>
    <s v="OPP-00758"/>
    <d v="2025-10-24T00:00:00"/>
    <x v="181"/>
    <s v="Account 0725"/>
    <s v="Manufacturing"/>
    <s v="Mid-Market"/>
    <x v="3"/>
    <x v="1"/>
    <s v="Product-Led"/>
    <x v="1"/>
    <x v="1"/>
    <s v="Expansion"/>
    <n v="42500"/>
    <n v="7.0000000000000001E-3"/>
    <n v="0.1"/>
    <s v="Pipeline"/>
    <m/>
    <n v="83"/>
    <n v="3516.95"/>
    <n v="4250"/>
  </r>
  <r>
    <s v="OPP-00759"/>
    <d v="2026-02-02T00:00:00"/>
    <x v="87"/>
    <s v="Account 0482"/>
    <s v="Manufacturing"/>
    <s v="SMB"/>
    <x v="2"/>
    <x v="6"/>
    <s v="Inbound"/>
    <x v="4"/>
    <x v="3"/>
    <s v="Expansion"/>
    <n v="17000"/>
    <n v="0"/>
    <n v="0.75"/>
    <s v="Commit"/>
    <m/>
    <n v="122"/>
    <n v="1416.67"/>
    <n v="12750"/>
  </r>
  <r>
    <s v="OPP-00760"/>
    <d v="2026-05-23T00:00:00"/>
    <x v="11"/>
    <s v="Account 0086"/>
    <s v="Logistics"/>
    <s v="Enterprise"/>
    <x v="0"/>
    <x v="8"/>
    <s v="Product-Led"/>
    <x v="4"/>
    <x v="1"/>
    <s v="Renewal"/>
    <n v="219800"/>
    <n v="7.4999999999999997E-2"/>
    <n v="0.1"/>
    <s v="Pipeline"/>
    <m/>
    <n v="76"/>
    <n v="16951.53"/>
    <n v="21980"/>
  </r>
  <r>
    <s v="OPP-00761"/>
    <d v="2026-03-13T00:00:00"/>
    <x v="298"/>
    <s v="Account 0597"/>
    <s v="SaaS"/>
    <s v="Mid-Market"/>
    <x v="2"/>
    <x v="2"/>
    <s v="Inbound"/>
    <x v="4"/>
    <x v="1"/>
    <s v="New Business"/>
    <n v="67000"/>
    <n v="5.0999999999999997E-2"/>
    <n v="0.1"/>
    <s v="Pipeline"/>
    <m/>
    <n v="60"/>
    <n v="5297.78"/>
    <n v="6700"/>
  </r>
  <r>
    <s v="OPP-00762"/>
    <d v="2025-11-17T00:00:00"/>
    <x v="211"/>
    <s v="Account 0110"/>
    <s v="IT Services"/>
    <s v="Enterprise"/>
    <x v="3"/>
    <x v="10"/>
    <s v="Partner"/>
    <x v="0"/>
    <x v="0"/>
    <s v="Renewal"/>
    <n v="131500"/>
    <n v="2.5999999999999999E-2"/>
    <n v="0"/>
    <s v="Closed"/>
    <s v="Competitor"/>
    <n v="126"/>
    <n v="10678.05"/>
    <n v="0"/>
  </r>
  <r>
    <s v="OPP-00763"/>
    <d v="2026-02-01T00:00:00"/>
    <x v="248"/>
    <s v="Account 0067"/>
    <s v="Logistics"/>
    <s v="Mid-Market"/>
    <x v="2"/>
    <x v="5"/>
    <s v="Partner"/>
    <x v="2"/>
    <x v="0"/>
    <s v="New Business"/>
    <n v="34000"/>
    <n v="7.8E-2"/>
    <n v="0"/>
    <s v="Closed"/>
    <s v="Timing"/>
    <n v="113"/>
    <n v="2611.0700000000002"/>
    <n v="0"/>
  </r>
  <r>
    <s v="OPP-00764"/>
    <d v="2026-07-07T00:00:00"/>
    <x v="15"/>
    <s v="Account 0104"/>
    <s v="FinTech"/>
    <s v="Mid-Market"/>
    <x v="2"/>
    <x v="5"/>
    <s v="Partner"/>
    <x v="1"/>
    <x v="3"/>
    <s v="Expansion"/>
    <n v="74600"/>
    <n v="0.154"/>
    <n v="0.75"/>
    <s v="Commit"/>
    <m/>
    <n v="97"/>
    <n v="5258.96"/>
    <n v="55950"/>
  </r>
  <r>
    <s v="OPP-00765"/>
    <d v="2026-08-16T00:00:00"/>
    <x v="299"/>
    <s v="Account 0621"/>
    <s v="Manufacturing"/>
    <s v="Mid-Market"/>
    <x v="2"/>
    <x v="6"/>
    <s v="Partner"/>
    <x v="3"/>
    <x v="1"/>
    <s v="New Business"/>
    <n v="39900"/>
    <n v="0.11799999999999999"/>
    <n v="0.1"/>
    <s v="Pipeline"/>
    <m/>
    <n v="52"/>
    <n v="2932.18"/>
    <n v="3990"/>
  </r>
  <r>
    <s v="OPP-00766"/>
    <d v="2025-11-27T00:00:00"/>
    <x v="136"/>
    <s v="Account 0687"/>
    <s v="Manufacturing"/>
    <s v="SMB"/>
    <x v="4"/>
    <x v="5"/>
    <s v="Product-Led"/>
    <x v="4"/>
    <x v="4"/>
    <s v="New Business"/>
    <n v="25900"/>
    <n v="0.13800000000000001"/>
    <n v="0.55000000000000004"/>
    <s v="Best Case"/>
    <m/>
    <n v="38"/>
    <n v="1861.13"/>
    <n v="14245.000000000002"/>
  </r>
  <r>
    <s v="OPP-00767"/>
    <d v="2025-10-23T00:00:00"/>
    <x v="286"/>
    <s v="Account 0711"/>
    <s v="Manufacturing"/>
    <s v="Mid-Market"/>
    <x v="2"/>
    <x v="0"/>
    <s v="Webinar"/>
    <x v="0"/>
    <x v="2"/>
    <s v="Expansion"/>
    <n v="99300"/>
    <n v="0.106"/>
    <n v="1"/>
    <s v="Closed"/>
    <m/>
    <n v="66"/>
    <n v="7399.73"/>
    <n v="99300"/>
  </r>
  <r>
    <s v="OPP-00768"/>
    <d v="2025-10-05T00:00:00"/>
    <x v="136"/>
    <s v="Account 0791"/>
    <s v="FinTech"/>
    <s v="Mid-Market"/>
    <x v="1"/>
    <x v="9"/>
    <s v="Outbound"/>
    <x v="2"/>
    <x v="3"/>
    <s v="New Business"/>
    <n v="79600"/>
    <n v="5.8000000000000003E-2"/>
    <n v="0.75"/>
    <s v="Commit"/>
    <m/>
    <n v="91"/>
    <n v="6247.08"/>
    <n v="59700"/>
  </r>
  <r>
    <s v="OPP-00769"/>
    <d v="2026-06-02T00:00:00"/>
    <x v="9"/>
    <s v="Account 0132"/>
    <s v="IT Services"/>
    <s v="Enterprise"/>
    <x v="1"/>
    <x v="0"/>
    <s v="Product-Led"/>
    <x v="1"/>
    <x v="6"/>
    <s v="New Business"/>
    <n v="231500"/>
    <n v="0.13900000000000001"/>
    <n v="0.2"/>
    <s v="Pipeline"/>
    <m/>
    <n v="135"/>
    <n v="16613.43"/>
    <n v="46300"/>
  </r>
  <r>
    <s v="OPP-00770"/>
    <d v="2026-08-15T00:00:00"/>
    <x v="253"/>
    <s v="Account 0300"/>
    <s v="IT Services"/>
    <s v="Enterprise"/>
    <x v="2"/>
    <x v="3"/>
    <s v="Product-Led"/>
    <x v="1"/>
    <x v="3"/>
    <s v="Expansion"/>
    <n v="171700"/>
    <n v="0.182"/>
    <n v="0.7"/>
    <s v="Commit"/>
    <m/>
    <n v="62"/>
    <n v="11710.63"/>
    <n v="120189.99999999999"/>
  </r>
  <r>
    <s v="OPP-00771"/>
    <d v="2025-11-08T00:00:00"/>
    <x v="300"/>
    <s v="Account 0088"/>
    <s v="FinTech"/>
    <s v="Mid-Market"/>
    <x v="4"/>
    <x v="9"/>
    <s v="Referral"/>
    <x v="2"/>
    <x v="4"/>
    <s v="New Business"/>
    <n v="63800"/>
    <n v="2.1999999999999999E-2"/>
    <n v="0.55000000000000004"/>
    <s v="Best Case"/>
    <m/>
    <n v="31"/>
    <n v="5197.87"/>
    <n v="35090"/>
  </r>
  <r>
    <s v="OPP-00772"/>
    <d v="2026-03-08T00:00:00"/>
    <x v="226"/>
    <s v="Account 0087"/>
    <s v="Healthcare"/>
    <s v="SMB"/>
    <x v="3"/>
    <x v="3"/>
    <s v="Inbound"/>
    <x v="4"/>
    <x v="2"/>
    <s v="Renewal"/>
    <n v="10700"/>
    <n v="0.115"/>
    <n v="1"/>
    <s v="Closed"/>
    <m/>
    <n v="104"/>
    <n v="789.38"/>
    <n v="10700"/>
  </r>
  <r>
    <s v="OPP-00773"/>
    <d v="2026-01-23T00:00:00"/>
    <x v="163"/>
    <s v="Account 0313"/>
    <s v="SaaS"/>
    <s v="SMB"/>
    <x v="1"/>
    <x v="9"/>
    <s v="Partner"/>
    <x v="3"/>
    <x v="2"/>
    <s v="Expansion"/>
    <n v="8700"/>
    <n v="0.14199999999999999"/>
    <n v="0.95"/>
    <s v="Closed"/>
    <m/>
    <n v="76"/>
    <n v="622.29999999999995"/>
    <n v="8265"/>
  </r>
  <r>
    <s v="OPP-00774"/>
    <d v="2025-11-06T00:00:00"/>
    <x v="162"/>
    <s v="Account 0292"/>
    <s v="FinTech"/>
    <s v="Enterprise"/>
    <x v="4"/>
    <x v="9"/>
    <s v="Referral"/>
    <x v="0"/>
    <x v="5"/>
    <s v="New Business"/>
    <n v="152100"/>
    <n v="0.13200000000000001"/>
    <n v="0.35"/>
    <s v="Pipeline"/>
    <m/>
    <n v="46"/>
    <n v="11001.61"/>
    <n v="53235"/>
  </r>
  <r>
    <s v="OPP-00775"/>
    <d v="2026-05-27T00:00:00"/>
    <x v="288"/>
    <s v="Account 0652"/>
    <s v="IT Services"/>
    <s v="Mid-Market"/>
    <x v="0"/>
    <x v="9"/>
    <s v="Partner"/>
    <x v="3"/>
    <x v="3"/>
    <s v="New Business"/>
    <n v="88700"/>
    <n v="0.14299999999999999"/>
    <n v="0.8"/>
    <s v="Commit"/>
    <m/>
    <n v="130"/>
    <n v="6332.91"/>
    <n v="70960"/>
  </r>
  <r>
    <s v="OPP-00776"/>
    <d v="2026-07-19T00:00:00"/>
    <x v="301"/>
    <s v="Account 0039"/>
    <s v="IT Services"/>
    <s v="SMB"/>
    <x v="4"/>
    <x v="7"/>
    <s v="Outbound"/>
    <x v="1"/>
    <x v="6"/>
    <s v="Expansion"/>
    <n v="27200"/>
    <n v="0.112"/>
    <n v="0.2"/>
    <s v="Pipeline"/>
    <m/>
    <n v="54"/>
    <n v="2012.43"/>
    <n v="5440"/>
  </r>
  <r>
    <s v="OPP-00777"/>
    <d v="2026-06-08T00:00:00"/>
    <x v="91"/>
    <s v="Account 0880"/>
    <s v="FinTech"/>
    <s v="Mid-Market"/>
    <x v="4"/>
    <x v="7"/>
    <s v="Outbound"/>
    <x v="4"/>
    <x v="2"/>
    <s v="Renewal"/>
    <n v="42800"/>
    <n v="0.217"/>
    <n v="1"/>
    <s v="Closed"/>
    <m/>
    <n v="49"/>
    <n v="2793.75"/>
    <n v="42800"/>
  </r>
  <r>
    <s v="OPP-00778"/>
    <d v="2026-06-21T00:00:00"/>
    <x v="296"/>
    <s v="Account 0235"/>
    <s v="SaaS"/>
    <s v="SMB"/>
    <x v="3"/>
    <x v="11"/>
    <s v="Inbound"/>
    <x v="0"/>
    <x v="6"/>
    <s v="Renewal"/>
    <n v="13400"/>
    <n v="0.1"/>
    <n v="0.2"/>
    <s v="Pipeline"/>
    <m/>
    <n v="55"/>
    <n v="1005.3"/>
    <n v="2680"/>
  </r>
  <r>
    <s v="OPP-00779"/>
    <d v="2025-10-09T00:00:00"/>
    <x v="162"/>
    <s v="Account 0097"/>
    <s v="Healthcare"/>
    <s v="SMB"/>
    <x v="4"/>
    <x v="3"/>
    <s v="Partner"/>
    <x v="0"/>
    <x v="1"/>
    <s v="Expansion"/>
    <n v="7000"/>
    <n v="0.13200000000000001"/>
    <n v="0.1"/>
    <s v="Pipeline"/>
    <m/>
    <n v="74"/>
    <n v="506.34"/>
    <n v="700"/>
  </r>
  <r>
    <s v="OPP-00780"/>
    <d v="2026-02-17T00:00:00"/>
    <x v="168"/>
    <s v="Account 0920"/>
    <s v="Healthcare"/>
    <s v="Enterprise"/>
    <x v="1"/>
    <x v="9"/>
    <s v="Outbound"/>
    <x v="2"/>
    <x v="6"/>
    <s v="Expansion"/>
    <n v="262400"/>
    <n v="0.23599999999999999"/>
    <n v="0.15"/>
    <s v="Pipeline"/>
    <m/>
    <n v="76"/>
    <n v="16713.150000000001"/>
    <n v="39360"/>
  </r>
  <r>
    <s v="OPP-00781"/>
    <d v="2025-11-11T00:00:00"/>
    <x v="164"/>
    <s v="Account 0024"/>
    <s v="IT Services"/>
    <s v="SMB"/>
    <x v="0"/>
    <x v="6"/>
    <s v="Product-Led"/>
    <x v="2"/>
    <x v="1"/>
    <s v="Expansion"/>
    <n v="7700"/>
    <n v="0.10100000000000001"/>
    <n v="0.1"/>
    <s v="Pipeline"/>
    <m/>
    <n v="139"/>
    <n v="576.6"/>
    <n v="770"/>
  </r>
  <r>
    <s v="OPP-00782"/>
    <d v="2026-08-21T00:00:00"/>
    <x v="6"/>
    <s v="Account 0497"/>
    <s v="Healthcare"/>
    <s v="SMB"/>
    <x v="2"/>
    <x v="9"/>
    <s v="Product-Led"/>
    <x v="4"/>
    <x v="2"/>
    <s v="Expansion"/>
    <n v="24500"/>
    <n v="0.113"/>
    <n v="0.95"/>
    <s v="Closed"/>
    <m/>
    <n v="22"/>
    <n v="1810.29"/>
    <n v="23275"/>
  </r>
  <r>
    <s v="OPP-00783"/>
    <d v="2025-10-12T00:00:00"/>
    <x v="302"/>
    <s v="Account 0389"/>
    <s v="FinTech"/>
    <s v="SMB"/>
    <x v="2"/>
    <x v="9"/>
    <s v="Product-Led"/>
    <x v="0"/>
    <x v="6"/>
    <s v="Expansion"/>
    <n v="6900"/>
    <n v="1.6E-2"/>
    <n v="0.2"/>
    <s v="Pipeline"/>
    <m/>
    <n v="55"/>
    <n v="565.57000000000005"/>
    <n v="1380"/>
  </r>
  <r>
    <s v="OPP-00784"/>
    <d v="2026-04-10T00:00:00"/>
    <x v="38"/>
    <s v="Account 0065"/>
    <s v="E-commerce"/>
    <s v="SMB"/>
    <x v="1"/>
    <x v="9"/>
    <s v="Inbound"/>
    <x v="2"/>
    <x v="6"/>
    <s v="New Business"/>
    <n v="9200"/>
    <n v="0.111"/>
    <n v="0.2"/>
    <s v="Pipeline"/>
    <m/>
    <n v="26"/>
    <n v="681.54"/>
    <n v="1840"/>
  </r>
  <r>
    <s v="OPP-00785"/>
    <d v="2025-11-06T00:00:00"/>
    <x v="45"/>
    <s v="Account 0144"/>
    <s v="SaaS"/>
    <s v="Enterprise"/>
    <x v="4"/>
    <x v="8"/>
    <s v="Webinar"/>
    <x v="4"/>
    <x v="6"/>
    <s v="New Business"/>
    <n v="326700"/>
    <n v="0.14399999999999999"/>
    <n v="0.25"/>
    <s v="Pipeline"/>
    <m/>
    <n v="112"/>
    <n v="23291.52"/>
    <n v="81675"/>
  </r>
  <r>
    <s v="OPP-00786"/>
    <d v="2026-08-22T00:00:00"/>
    <x v="78"/>
    <s v="Account 0945"/>
    <s v="Logistics"/>
    <s v="Mid-Market"/>
    <x v="4"/>
    <x v="2"/>
    <s v="Outbound"/>
    <x v="0"/>
    <x v="4"/>
    <s v="Expansion"/>
    <n v="87400"/>
    <n v="6.9000000000000006E-2"/>
    <n v="0.6"/>
    <s v="Best Case"/>
    <m/>
    <n v="73"/>
    <n v="6781.72"/>
    <n v="52440"/>
  </r>
  <r>
    <s v="OPP-00787"/>
    <d v="2026-05-14T00:00:00"/>
    <x v="91"/>
    <s v="Account 0826"/>
    <s v="IT Services"/>
    <s v="SMB"/>
    <x v="4"/>
    <x v="10"/>
    <s v="Outbound"/>
    <x v="2"/>
    <x v="2"/>
    <s v="Expansion"/>
    <n v="21600"/>
    <n v="0.17499999999999999"/>
    <n v="1"/>
    <s v="Closed"/>
    <m/>
    <n v="74"/>
    <n v="1484.8"/>
    <n v="21600"/>
  </r>
  <r>
    <s v="OPP-00788"/>
    <d v="2026-03-22T00:00:00"/>
    <x v="125"/>
    <s v="Account 0827"/>
    <s v="Manufacturing"/>
    <s v="Mid-Market"/>
    <x v="0"/>
    <x v="9"/>
    <s v="Outbound"/>
    <x v="0"/>
    <x v="3"/>
    <s v="New Business"/>
    <n v="87100"/>
    <n v="8.2000000000000003E-2"/>
    <n v="0.8"/>
    <s v="Commit"/>
    <m/>
    <n v="147"/>
    <n v="6660.83"/>
    <n v="69680"/>
  </r>
  <r>
    <s v="OPP-00789"/>
    <d v="2026-04-19T00:00:00"/>
    <x v="149"/>
    <s v="Account 0533"/>
    <s v="E-commerce"/>
    <s v="Mid-Market"/>
    <x v="0"/>
    <x v="9"/>
    <s v="Inbound"/>
    <x v="4"/>
    <x v="2"/>
    <s v="Expansion"/>
    <n v="35400"/>
    <n v="1.6E-2"/>
    <n v="1"/>
    <s v="Closed"/>
    <m/>
    <n v="18"/>
    <n v="2903.07"/>
    <n v="35400"/>
  </r>
  <r>
    <s v="OPP-00790"/>
    <d v="2026-09-12T00:00:00"/>
    <x v="46"/>
    <s v="Account 0540"/>
    <s v="Manufacturing"/>
    <s v="SMB"/>
    <x v="4"/>
    <x v="6"/>
    <s v="Webinar"/>
    <x v="2"/>
    <x v="3"/>
    <s v="Renewal"/>
    <n v="26400"/>
    <n v="0.182"/>
    <n v="0.75"/>
    <s v="Commit"/>
    <m/>
    <n v="15"/>
    <n v="1800.14"/>
    <n v="19800"/>
  </r>
  <r>
    <s v="OPP-00791"/>
    <d v="2026-08-08T00:00:00"/>
    <x v="252"/>
    <s v="Account 0679"/>
    <s v="E-commerce"/>
    <s v="Mid-Market"/>
    <x v="2"/>
    <x v="7"/>
    <s v="Inbound"/>
    <x v="0"/>
    <x v="6"/>
    <s v="Expansion"/>
    <n v="87700"/>
    <n v="0.11899999999999999"/>
    <n v="0.2"/>
    <s v="Pipeline"/>
    <m/>
    <n v="85"/>
    <n v="6440.75"/>
    <n v="17540"/>
  </r>
  <r>
    <s v="OPP-00792"/>
    <d v="2026-05-19T00:00:00"/>
    <x v="257"/>
    <s v="Account 0742"/>
    <s v="IT Services"/>
    <s v="Mid-Market"/>
    <x v="4"/>
    <x v="9"/>
    <s v="Product-Led"/>
    <x v="2"/>
    <x v="5"/>
    <s v="New Business"/>
    <n v="47500"/>
    <n v="9.8000000000000004E-2"/>
    <n v="0.35"/>
    <s v="Pipeline"/>
    <m/>
    <n v="101"/>
    <n v="3568.56"/>
    <n v="16625"/>
  </r>
  <r>
    <s v="OPP-00793"/>
    <d v="2025-10-01T00:00:00"/>
    <x v="221"/>
    <s v="Account 0062"/>
    <s v="FinTech"/>
    <s v="SMB"/>
    <x v="1"/>
    <x v="0"/>
    <s v="Referral"/>
    <x v="1"/>
    <x v="3"/>
    <s v="Renewal"/>
    <n v="23100"/>
    <n v="0.26600000000000001"/>
    <n v="0.75"/>
    <s v="Commit"/>
    <m/>
    <n v="70"/>
    <n v="1412.69"/>
    <n v="17325"/>
  </r>
  <r>
    <s v="OPP-00794"/>
    <d v="2026-09-05T00:00:00"/>
    <x v="89"/>
    <s v="Account 0927"/>
    <s v="Healthcare"/>
    <s v="Enterprise"/>
    <x v="3"/>
    <x v="3"/>
    <s v="Outbound"/>
    <x v="2"/>
    <x v="5"/>
    <s v="New Business"/>
    <n v="216600"/>
    <n v="0.17299999999999999"/>
    <n v="0.3"/>
    <s v="Pipeline"/>
    <m/>
    <n v="64"/>
    <n v="14927.49"/>
    <n v="64980"/>
  </r>
  <r>
    <s v="OPP-00795"/>
    <d v="2026-06-20T00:00:00"/>
    <x v="35"/>
    <s v="Account 0204"/>
    <s v="IT Services"/>
    <s v="SMB"/>
    <x v="4"/>
    <x v="3"/>
    <s v="Product-Led"/>
    <x v="0"/>
    <x v="3"/>
    <s v="Expansion"/>
    <n v="6300"/>
    <n v="9.5000000000000001E-2"/>
    <n v="0.75"/>
    <s v="Commit"/>
    <m/>
    <n v="80"/>
    <n v="474.96"/>
    <n v="4725"/>
  </r>
  <r>
    <s v="OPP-00796"/>
    <d v="2026-05-05T00:00:00"/>
    <x v="33"/>
    <s v="Account 0469"/>
    <s v="EdTech"/>
    <s v="Mid-Market"/>
    <x v="3"/>
    <x v="10"/>
    <s v="Outbound"/>
    <x v="1"/>
    <x v="1"/>
    <s v="Renewal"/>
    <n v="86100"/>
    <n v="9.7000000000000003E-2"/>
    <n v="0.15"/>
    <s v="Pipeline"/>
    <m/>
    <n v="99"/>
    <n v="6482.41"/>
    <n v="12915"/>
  </r>
  <r>
    <s v="OPP-00797"/>
    <d v="2026-07-17T00:00:00"/>
    <x v="6"/>
    <s v="Account 0629"/>
    <s v="Manufacturing"/>
    <s v="SMB"/>
    <x v="1"/>
    <x v="0"/>
    <s v="Product-Led"/>
    <x v="3"/>
    <x v="2"/>
    <s v="Renewal"/>
    <n v="27600"/>
    <n v="7.2999999999999995E-2"/>
    <n v="1"/>
    <s v="Closed"/>
    <m/>
    <n v="57"/>
    <n v="2133.21"/>
    <n v="27600"/>
  </r>
  <r>
    <s v="OPP-00798"/>
    <d v="2026-04-19T00:00:00"/>
    <x v="278"/>
    <s v="Account 0376"/>
    <s v="SaaS"/>
    <s v="Mid-Market"/>
    <x v="0"/>
    <x v="8"/>
    <s v="Referral"/>
    <x v="0"/>
    <x v="1"/>
    <s v="New Business"/>
    <n v="26100"/>
    <n v="2.9000000000000001E-2"/>
    <n v="0.15"/>
    <s v="Pipeline"/>
    <m/>
    <n v="61"/>
    <n v="2111.9899999999998"/>
    <n v="3915"/>
  </r>
  <r>
    <s v="OPP-00799"/>
    <d v="2025-10-05T00:00:00"/>
    <x v="247"/>
    <s v="Account 0815"/>
    <s v="EdTech"/>
    <s v="Enterprise"/>
    <x v="0"/>
    <x v="2"/>
    <s v="Outbound"/>
    <x v="3"/>
    <x v="5"/>
    <s v="Expansion"/>
    <n v="125200"/>
    <n v="6.5000000000000002E-2"/>
    <n v="0.35"/>
    <s v="Pipeline"/>
    <m/>
    <n v="121"/>
    <n v="9751.17"/>
    <n v="43820"/>
  </r>
  <r>
    <s v="OPP-00800"/>
    <d v="2025-12-20T00:00:00"/>
    <x v="120"/>
    <s v="Account 0375"/>
    <s v="Healthcare"/>
    <s v="Enterprise"/>
    <x v="0"/>
    <x v="9"/>
    <s v="Product-Led"/>
    <x v="1"/>
    <x v="1"/>
    <s v="Renewal"/>
    <n v="264600"/>
    <n v="0"/>
    <n v="0.1"/>
    <s v="Pipeline"/>
    <m/>
    <n v="136"/>
    <n v="22050"/>
    <n v="26460"/>
  </r>
  <r>
    <s v="OPP-00801"/>
    <d v="2026-02-19T00:00:00"/>
    <x v="13"/>
    <s v="Account 0364"/>
    <s v="EdTech"/>
    <s v="SMB"/>
    <x v="3"/>
    <x v="10"/>
    <s v="Webinar"/>
    <x v="4"/>
    <x v="1"/>
    <s v="Expansion"/>
    <n v="20700"/>
    <n v="0.106"/>
    <n v="0.1"/>
    <s v="Pipeline"/>
    <m/>
    <n v="117"/>
    <n v="1542.65"/>
    <n v="2070"/>
  </r>
  <r>
    <s v="OPP-00802"/>
    <d v="2026-09-02T00:00:00"/>
    <x v="303"/>
    <s v="Account 0029"/>
    <s v="Healthcare"/>
    <s v="SMB"/>
    <x v="1"/>
    <x v="10"/>
    <s v="Partner"/>
    <x v="0"/>
    <x v="6"/>
    <s v="New Business"/>
    <n v="18500"/>
    <n v="0.122"/>
    <n v="0.25"/>
    <s v="Pipeline"/>
    <m/>
    <n v="24"/>
    <n v="1352.9"/>
    <n v="4625"/>
  </r>
  <r>
    <s v="OPP-00803"/>
    <d v="2026-04-28T00:00:00"/>
    <x v="29"/>
    <s v="Account 0068"/>
    <s v="Logistics"/>
    <s v="SMB"/>
    <x v="0"/>
    <x v="6"/>
    <s v="Inbound"/>
    <x v="3"/>
    <x v="2"/>
    <s v="Expansion"/>
    <n v="28400"/>
    <n v="0.124"/>
    <n v="1"/>
    <s v="Closed"/>
    <m/>
    <n v="100"/>
    <n v="2074.1"/>
    <n v="28400"/>
  </r>
  <r>
    <s v="OPP-00804"/>
    <d v="2026-06-09T00:00:00"/>
    <x v="6"/>
    <s v="Account 0790"/>
    <s v="IT Services"/>
    <s v="Enterprise"/>
    <x v="4"/>
    <x v="4"/>
    <s v="Outbound"/>
    <x v="1"/>
    <x v="0"/>
    <s v="Renewal"/>
    <n v="259800"/>
    <n v="0.14000000000000001"/>
    <n v="0.05"/>
    <s v="Closed"/>
    <s v="Timing"/>
    <n v="95"/>
    <n v="18623.66"/>
    <n v="12990"/>
  </r>
  <r>
    <s v="OPP-00805"/>
    <d v="2026-08-08T00:00:00"/>
    <x v="105"/>
    <s v="Account 0100"/>
    <s v="Manufacturing"/>
    <s v="SMB"/>
    <x v="4"/>
    <x v="6"/>
    <s v="Inbound"/>
    <x v="3"/>
    <x v="4"/>
    <s v="Renewal"/>
    <n v="27300"/>
    <n v="8.5000000000000006E-2"/>
    <n v="0.55000000000000004"/>
    <s v="Best Case"/>
    <m/>
    <n v="45"/>
    <n v="2081.33"/>
    <n v="15015.000000000002"/>
  </r>
  <r>
    <s v="OPP-00806"/>
    <d v="2025-11-10T00:00:00"/>
    <x v="277"/>
    <s v="Account 0806"/>
    <s v="FinTech"/>
    <s v="SMB"/>
    <x v="2"/>
    <x v="4"/>
    <s v="Product-Led"/>
    <x v="3"/>
    <x v="1"/>
    <s v="Renewal"/>
    <n v="12500"/>
    <n v="8.6999999999999994E-2"/>
    <n v="0.15"/>
    <s v="Pipeline"/>
    <m/>
    <n v="99"/>
    <n v="951.48"/>
    <n v="1875"/>
  </r>
  <r>
    <s v="OPP-00807"/>
    <d v="2026-08-04T00:00:00"/>
    <x v="83"/>
    <s v="Account 0047"/>
    <s v="Healthcare"/>
    <s v="SMB"/>
    <x v="4"/>
    <x v="2"/>
    <s v="Partner"/>
    <x v="0"/>
    <x v="4"/>
    <s v="New Business"/>
    <n v="9900"/>
    <n v="0.115"/>
    <n v="0.6"/>
    <s v="Best Case"/>
    <m/>
    <n v="98"/>
    <n v="729.98"/>
    <n v="5940"/>
  </r>
  <r>
    <s v="OPP-00808"/>
    <d v="2026-08-19T00:00:00"/>
    <x v="6"/>
    <s v="Account 0290"/>
    <s v="Healthcare"/>
    <s v="SMB"/>
    <x v="3"/>
    <x v="1"/>
    <s v="Product-Led"/>
    <x v="1"/>
    <x v="2"/>
    <s v="Renewal"/>
    <n v="13500"/>
    <n v="0.13300000000000001"/>
    <n v="1"/>
    <s v="Closed"/>
    <m/>
    <n v="24"/>
    <n v="975.56"/>
    <n v="13500"/>
  </r>
  <r>
    <s v="OPP-00809"/>
    <d v="2026-04-01T00:00:00"/>
    <x v="111"/>
    <s v="Account 0309"/>
    <s v="Healthcare"/>
    <s v="SMB"/>
    <x v="1"/>
    <x v="7"/>
    <s v="Product-Led"/>
    <x v="3"/>
    <x v="3"/>
    <s v="New Business"/>
    <n v="29800"/>
    <n v="9.6000000000000002E-2"/>
    <n v="0.75"/>
    <s v="Commit"/>
    <m/>
    <n v="131"/>
    <n v="2246.0100000000002"/>
    <n v="22350"/>
  </r>
  <r>
    <s v="OPP-00810"/>
    <d v="2025-10-05T00:00:00"/>
    <x v="116"/>
    <s v="Account 0259"/>
    <s v="E-commerce"/>
    <s v="Mid-Market"/>
    <x v="3"/>
    <x v="4"/>
    <s v="Webinar"/>
    <x v="1"/>
    <x v="4"/>
    <s v="New Business"/>
    <n v="66900"/>
    <n v="8.7999999999999995E-2"/>
    <n v="0.55000000000000004"/>
    <s v="Best Case"/>
    <m/>
    <n v="103"/>
    <n v="5084.12"/>
    <n v="36795"/>
  </r>
  <r>
    <s v="OPP-00811"/>
    <d v="2026-02-09T00:00:00"/>
    <x v="238"/>
    <s v="Account 0179"/>
    <s v="Manufacturing"/>
    <s v="Enterprise"/>
    <x v="3"/>
    <x v="5"/>
    <s v="Outbound"/>
    <x v="1"/>
    <x v="1"/>
    <s v="Expansion"/>
    <n v="184600"/>
    <n v="7.1999999999999995E-2"/>
    <n v="0.1"/>
    <s v="Pipeline"/>
    <m/>
    <n v="98"/>
    <n v="14273.21"/>
    <n v="18460"/>
  </r>
  <r>
    <s v="OPP-00812"/>
    <d v="2025-11-22T00:00:00"/>
    <x v="262"/>
    <s v="Account 0566"/>
    <s v="Manufacturing"/>
    <s v="Enterprise"/>
    <x v="2"/>
    <x v="5"/>
    <s v="Webinar"/>
    <x v="0"/>
    <x v="3"/>
    <s v="Expansion"/>
    <n v="87900"/>
    <n v="0.14799999999999999"/>
    <n v="0.75"/>
    <s v="Commit"/>
    <m/>
    <n v="49"/>
    <n v="6240.32"/>
    <n v="65925"/>
  </r>
  <r>
    <s v="OPP-00813"/>
    <d v="2026-04-06T00:00:00"/>
    <x v="208"/>
    <s v="Account 0132"/>
    <s v="Logistics"/>
    <s v="Mid-Market"/>
    <x v="2"/>
    <x v="4"/>
    <s v="Product-Led"/>
    <x v="2"/>
    <x v="4"/>
    <s v="Renewal"/>
    <n v="71100"/>
    <n v="9.5000000000000001E-2"/>
    <n v="0.55000000000000004"/>
    <s v="Best Case"/>
    <m/>
    <n v="136"/>
    <n v="5363.45"/>
    <n v="39105"/>
  </r>
  <r>
    <s v="OPP-00814"/>
    <d v="2026-05-05T00:00:00"/>
    <x v="274"/>
    <s v="Account 0777"/>
    <s v="Healthcare"/>
    <s v="Enterprise"/>
    <x v="3"/>
    <x v="0"/>
    <s v="Partner"/>
    <x v="3"/>
    <x v="0"/>
    <s v="New Business"/>
    <n v="217000"/>
    <n v="0.22700000000000001"/>
    <n v="0"/>
    <s v="Closed"/>
    <s v="Budget"/>
    <n v="114"/>
    <n v="13985.91"/>
    <n v="0"/>
  </r>
  <r>
    <s v="OPP-00815"/>
    <d v="2026-01-17T00:00:00"/>
    <x v="1"/>
    <s v="Account 0096"/>
    <s v="Healthcare"/>
    <s v="Mid-Market"/>
    <x v="3"/>
    <x v="6"/>
    <s v="Outbound"/>
    <x v="1"/>
    <x v="2"/>
    <s v="Expansion"/>
    <n v="64900"/>
    <n v="4.4999999999999998E-2"/>
    <n v="1"/>
    <s v="Closed"/>
    <m/>
    <n v="48"/>
    <n v="5163.91"/>
    <n v="64900"/>
  </r>
  <r>
    <s v="OPP-00816"/>
    <d v="2026-04-26T00:00:00"/>
    <x v="76"/>
    <s v="Account 0295"/>
    <s v="EdTech"/>
    <s v="SMB"/>
    <x v="4"/>
    <x v="4"/>
    <s v="Outbound"/>
    <x v="4"/>
    <x v="3"/>
    <s v="Expansion"/>
    <n v="17800"/>
    <n v="6.2E-2"/>
    <n v="0.7"/>
    <s v="Commit"/>
    <m/>
    <n v="46"/>
    <n v="1391.49"/>
    <n v="12460"/>
  </r>
  <r>
    <s v="OPP-00817"/>
    <d v="2026-01-06T00:00:00"/>
    <x v="142"/>
    <s v="Account 0010"/>
    <s v="Logistics"/>
    <s v="Mid-Market"/>
    <x v="3"/>
    <x v="7"/>
    <s v="Partner"/>
    <x v="0"/>
    <x v="6"/>
    <s v="Expansion"/>
    <n v="38300"/>
    <n v="3.7999999999999999E-2"/>
    <n v="0.15"/>
    <s v="Pipeline"/>
    <m/>
    <n v="38"/>
    <n v="3069.56"/>
    <n v="5745"/>
  </r>
  <r>
    <s v="OPP-00818"/>
    <d v="2026-04-14T00:00:00"/>
    <x v="304"/>
    <s v="Account 0116"/>
    <s v="SaaS"/>
    <s v="Mid-Market"/>
    <x v="1"/>
    <x v="2"/>
    <s v="Outbound"/>
    <x v="1"/>
    <x v="4"/>
    <s v="New Business"/>
    <n v="90000"/>
    <n v="0.183"/>
    <n v="0.55000000000000004"/>
    <s v="Best Case"/>
    <m/>
    <n v="84"/>
    <n v="6130.47"/>
    <n v="49500.000000000007"/>
  </r>
  <r>
    <s v="OPP-00819"/>
    <d v="2026-09-10T00:00:00"/>
    <x v="6"/>
    <s v="Account 0492"/>
    <s v="Manufacturing"/>
    <s v="Enterprise"/>
    <x v="3"/>
    <x v="4"/>
    <s v="Outbound"/>
    <x v="0"/>
    <x v="0"/>
    <s v="New Business"/>
    <n v="86900"/>
    <n v="0.17799999999999999"/>
    <n v="0"/>
    <s v="Closed"/>
    <s v="Poor Fit"/>
    <n v="2"/>
    <n v="5955.55"/>
    <n v="0"/>
  </r>
  <r>
    <s v="OPP-00820"/>
    <d v="2026-07-12T00:00:00"/>
    <x v="6"/>
    <s v="Account 0029"/>
    <s v="SaaS"/>
    <s v="SMB"/>
    <x v="2"/>
    <x v="1"/>
    <s v="Referral"/>
    <x v="0"/>
    <x v="2"/>
    <s v="New Business"/>
    <n v="23200"/>
    <n v="5.8999999999999997E-2"/>
    <n v="1"/>
    <s v="Closed"/>
    <m/>
    <n v="62"/>
    <n v="1819.95"/>
    <n v="23200"/>
  </r>
  <r>
    <s v="OPP-00821"/>
    <d v="2026-02-15T00:00:00"/>
    <x v="2"/>
    <s v="Account 0290"/>
    <s v="IT Services"/>
    <s v="Mid-Market"/>
    <x v="4"/>
    <x v="0"/>
    <s v="Product-Led"/>
    <x v="1"/>
    <x v="3"/>
    <s v="Renewal"/>
    <n v="58500"/>
    <n v="0.22700000000000001"/>
    <n v="0.7"/>
    <s v="Commit"/>
    <m/>
    <n v="37"/>
    <n v="3766.96"/>
    <n v="40950"/>
  </r>
  <r>
    <s v="OPP-00822"/>
    <d v="2026-03-10T00:00:00"/>
    <x v="204"/>
    <s v="Account 0214"/>
    <s v="E-commerce"/>
    <s v="Enterprise"/>
    <x v="2"/>
    <x v="5"/>
    <s v="Referral"/>
    <x v="2"/>
    <x v="0"/>
    <s v="New Business"/>
    <n v="184600"/>
    <n v="9.2999999999999999E-2"/>
    <n v="0"/>
    <s v="Closed"/>
    <s v="Timing"/>
    <n v="50"/>
    <n v="13947.23"/>
    <n v="0"/>
  </r>
  <r>
    <s v="OPP-00823"/>
    <d v="2026-05-14T00:00:00"/>
    <x v="6"/>
    <s v="Account 0036"/>
    <s v="EdTech"/>
    <s v="SMB"/>
    <x v="3"/>
    <x v="1"/>
    <s v="Outbound"/>
    <x v="2"/>
    <x v="0"/>
    <s v="Renewal"/>
    <n v="16400"/>
    <n v="0"/>
    <n v="0"/>
    <s v="Closed"/>
    <s v="Competitor"/>
    <n v="121"/>
    <n v="1366.67"/>
    <n v="0"/>
  </r>
  <r>
    <s v="OPP-00824"/>
    <d v="2026-03-21T00:00:00"/>
    <x v="235"/>
    <s v="Account 0937"/>
    <s v="Manufacturing"/>
    <s v="Mid-Market"/>
    <x v="4"/>
    <x v="11"/>
    <s v="Referral"/>
    <x v="4"/>
    <x v="3"/>
    <s v="Expansion"/>
    <n v="48500"/>
    <n v="0.218"/>
    <n v="0.7"/>
    <s v="Commit"/>
    <m/>
    <n v="126"/>
    <n v="3161.25"/>
    <n v="33950"/>
  </r>
  <r>
    <s v="OPP-00825"/>
    <d v="2026-02-21T00:00:00"/>
    <x v="151"/>
    <s v="Account 0660"/>
    <s v="Manufacturing"/>
    <s v="SMB"/>
    <x v="4"/>
    <x v="11"/>
    <s v="Product-Led"/>
    <x v="1"/>
    <x v="1"/>
    <s v="Renewal"/>
    <n v="15400"/>
    <n v="6.2E-2"/>
    <n v="0.15"/>
    <s v="Pipeline"/>
    <m/>
    <n v="101"/>
    <n v="1203.31"/>
    <n v="2310"/>
  </r>
  <r>
    <s v="OPP-00826"/>
    <d v="2026-04-26T00:00:00"/>
    <x v="232"/>
    <s v="Account 0423"/>
    <s v="FinTech"/>
    <s v="Enterprise"/>
    <x v="0"/>
    <x v="0"/>
    <s v="Outbound"/>
    <x v="3"/>
    <x v="1"/>
    <s v="New Business"/>
    <n v="269300"/>
    <n v="9.7000000000000003E-2"/>
    <n v="0.15"/>
    <s v="Pipeline"/>
    <m/>
    <n v="96"/>
    <n v="20261.37"/>
    <n v="40395"/>
  </r>
  <r>
    <s v="OPP-00827"/>
    <d v="2025-10-28T00:00:00"/>
    <x v="305"/>
    <s v="Account 0829"/>
    <s v="EdTech"/>
    <s v="SMB"/>
    <x v="3"/>
    <x v="11"/>
    <s v="Product-Led"/>
    <x v="0"/>
    <x v="2"/>
    <s v="Renewal"/>
    <n v="18000"/>
    <n v="5.6000000000000001E-2"/>
    <n v="1"/>
    <s v="Closed"/>
    <m/>
    <n v="58"/>
    <n v="1415.51"/>
    <n v="18000"/>
  </r>
  <r>
    <s v="OPP-00828"/>
    <d v="2026-01-15T00:00:00"/>
    <x v="1"/>
    <s v="Account 0612"/>
    <s v="FinTech"/>
    <s v="Mid-Market"/>
    <x v="3"/>
    <x v="7"/>
    <s v="Product-Led"/>
    <x v="4"/>
    <x v="2"/>
    <s v="Renewal"/>
    <n v="79600"/>
    <n v="3.7999999999999999E-2"/>
    <n v="1"/>
    <s v="Closed"/>
    <m/>
    <n v="50"/>
    <n v="6381.36"/>
    <n v="79600"/>
  </r>
  <r>
    <s v="OPP-00829"/>
    <d v="2026-09-10T00:00:00"/>
    <x v="40"/>
    <s v="Account 0141"/>
    <s v="Manufacturing"/>
    <s v="Mid-Market"/>
    <x v="1"/>
    <x v="0"/>
    <s v="Product-Led"/>
    <x v="3"/>
    <x v="3"/>
    <s v="Renewal"/>
    <n v="36900"/>
    <n v="0.121"/>
    <n v="0.75"/>
    <s v="Commit"/>
    <m/>
    <n v="14"/>
    <n v="2704.1"/>
    <n v="27675"/>
  </r>
  <r>
    <s v="OPP-00830"/>
    <d v="2026-07-31T00:00:00"/>
    <x v="21"/>
    <s v="Account 0243"/>
    <s v="SaaS"/>
    <s v="Mid-Market"/>
    <x v="2"/>
    <x v="3"/>
    <s v="Outbound"/>
    <x v="4"/>
    <x v="3"/>
    <s v="Expansion"/>
    <n v="81100"/>
    <n v="0.14799999999999999"/>
    <n v="0.75"/>
    <s v="Commit"/>
    <m/>
    <n v="79"/>
    <n v="5760.16"/>
    <n v="60825"/>
  </r>
  <r>
    <s v="OPP-00831"/>
    <d v="2026-08-11T00:00:00"/>
    <x v="280"/>
    <s v="Account 0753"/>
    <s v="EdTech"/>
    <s v="Mid-Market"/>
    <x v="0"/>
    <x v="10"/>
    <s v="Referral"/>
    <x v="2"/>
    <x v="1"/>
    <s v="New Business"/>
    <n v="80200"/>
    <n v="0.15"/>
    <n v="0.1"/>
    <s v="Pipeline"/>
    <m/>
    <n v="63"/>
    <n v="5681.95"/>
    <n v="8020"/>
  </r>
  <r>
    <s v="OPP-00832"/>
    <d v="2026-05-03T00:00:00"/>
    <x v="6"/>
    <s v="Account 0355"/>
    <s v="FinTech"/>
    <s v="SMB"/>
    <x v="4"/>
    <x v="3"/>
    <s v="Referral"/>
    <x v="0"/>
    <x v="2"/>
    <s v="New Business"/>
    <n v="7100"/>
    <n v="0.15"/>
    <n v="0.95"/>
    <s v="Closed"/>
    <m/>
    <n v="132"/>
    <n v="503.21"/>
    <n v="6745"/>
  </r>
  <r>
    <s v="OPP-00833"/>
    <d v="2026-08-29T00:00:00"/>
    <x v="90"/>
    <s v="Account 0697"/>
    <s v="SaaS"/>
    <s v="Enterprise"/>
    <x v="1"/>
    <x v="7"/>
    <s v="Inbound"/>
    <x v="3"/>
    <x v="1"/>
    <s v="Renewal"/>
    <n v="229000"/>
    <n v="0.09"/>
    <n v="0.05"/>
    <s v="Pipeline"/>
    <m/>
    <n v="63"/>
    <n v="17368.3"/>
    <n v="11450"/>
  </r>
  <r>
    <s v="OPP-00834"/>
    <d v="2025-12-08T00:00:00"/>
    <x v="268"/>
    <s v="Account 0202"/>
    <s v="Healthcare"/>
    <s v="Mid-Market"/>
    <x v="3"/>
    <x v="11"/>
    <s v="Inbound"/>
    <x v="4"/>
    <x v="5"/>
    <s v="Expansion"/>
    <n v="85400"/>
    <n v="0.11"/>
    <n v="0.35"/>
    <s v="Pipeline"/>
    <m/>
    <n v="83"/>
    <n v="6335.12"/>
    <n v="29889.999999999996"/>
  </r>
  <r>
    <s v="OPP-00835"/>
    <d v="2025-12-15T00:00:00"/>
    <x v="268"/>
    <s v="Account 0639"/>
    <s v="IT Services"/>
    <s v="Enterprise"/>
    <x v="0"/>
    <x v="8"/>
    <s v="Referral"/>
    <x v="0"/>
    <x v="4"/>
    <s v="Renewal"/>
    <n v="340700"/>
    <n v="0.16400000000000001"/>
    <n v="0.5"/>
    <s v="Best Case"/>
    <m/>
    <n v="76"/>
    <n v="23743.06"/>
    <n v="170350"/>
  </r>
  <r>
    <s v="OPP-00836"/>
    <d v="2026-02-21T00:00:00"/>
    <x v="242"/>
    <s v="Account 0486"/>
    <s v="Manufacturing"/>
    <s v="SMB"/>
    <x v="0"/>
    <x v="4"/>
    <s v="Product-Led"/>
    <x v="2"/>
    <x v="3"/>
    <s v="New Business"/>
    <n v="9000"/>
    <n v="0.13600000000000001"/>
    <n v="0.75"/>
    <s v="Commit"/>
    <m/>
    <n v="150"/>
    <n v="647.87"/>
    <n v="6750"/>
  </r>
  <r>
    <s v="OPP-00837"/>
    <d v="2026-04-18T00:00:00"/>
    <x v="232"/>
    <s v="Account 0486"/>
    <s v="Healthcare"/>
    <s v="SMB"/>
    <x v="4"/>
    <x v="4"/>
    <s v="Referral"/>
    <x v="0"/>
    <x v="0"/>
    <s v="New Business"/>
    <n v="7000"/>
    <n v="7.1999999999999995E-2"/>
    <n v="0.05"/>
    <s v="Closed"/>
    <s v="Competitor"/>
    <n v="104"/>
    <n v="541.08000000000004"/>
    <n v="350"/>
  </r>
  <r>
    <s v="OPP-00838"/>
    <d v="2026-05-31T00:00:00"/>
    <x v="304"/>
    <s v="Account 0193"/>
    <s v="E-commerce"/>
    <s v="SMB"/>
    <x v="3"/>
    <x v="4"/>
    <s v="Partner"/>
    <x v="0"/>
    <x v="5"/>
    <s v="Renewal"/>
    <n v="8300"/>
    <n v="0.161"/>
    <n v="0.35"/>
    <s v="Pipeline"/>
    <m/>
    <n v="37"/>
    <n v="580.4"/>
    <n v="2905"/>
  </r>
  <r>
    <s v="OPP-00839"/>
    <d v="2026-06-10T00:00:00"/>
    <x v="56"/>
    <s v="Account 0871"/>
    <s v="Logistics"/>
    <s v="Mid-Market"/>
    <x v="4"/>
    <x v="2"/>
    <s v="Webinar"/>
    <x v="3"/>
    <x v="3"/>
    <s v="New Business"/>
    <n v="55600"/>
    <n v="7.4999999999999997E-2"/>
    <n v="0.75"/>
    <s v="Commit"/>
    <m/>
    <n v="28"/>
    <n v="4287.83"/>
    <n v="41700"/>
  </r>
  <r>
    <s v="OPP-00840"/>
    <d v="2025-10-19T00:00:00"/>
    <x v="63"/>
    <s v="Account 0397"/>
    <s v="FinTech"/>
    <s v="SMB"/>
    <x v="2"/>
    <x v="10"/>
    <s v="Referral"/>
    <x v="3"/>
    <x v="1"/>
    <s v="Expansion"/>
    <n v="19500"/>
    <n v="0.13"/>
    <n v="0.1"/>
    <s v="Pipeline"/>
    <m/>
    <n v="124"/>
    <n v="1413.16"/>
    <n v="1950"/>
  </r>
  <r>
    <s v="OPP-00841"/>
    <d v="2026-04-06T00:00:00"/>
    <x v="37"/>
    <s v="Account 0333"/>
    <s v="Manufacturing"/>
    <s v="Enterprise"/>
    <x v="1"/>
    <x v="2"/>
    <s v="Webinar"/>
    <x v="0"/>
    <x v="6"/>
    <s v="Renewal"/>
    <n v="325500"/>
    <n v="0.22800000000000001"/>
    <n v="0.15"/>
    <s v="Pipeline"/>
    <m/>
    <n v="125"/>
    <n v="20936.78"/>
    <n v="48825"/>
  </r>
  <r>
    <s v="OPP-00842"/>
    <d v="2026-07-01T00:00:00"/>
    <x v="306"/>
    <s v="Account 0604"/>
    <s v="Logistics"/>
    <s v="SMB"/>
    <x v="2"/>
    <x v="2"/>
    <s v="Partner"/>
    <x v="4"/>
    <x v="1"/>
    <s v="Expansion"/>
    <n v="18400"/>
    <n v="0.111"/>
    <n v="0.1"/>
    <s v="Pipeline"/>
    <m/>
    <n v="92"/>
    <n v="1363.74"/>
    <n v="1840"/>
  </r>
  <r>
    <s v="OPP-00843"/>
    <d v="2026-08-26T00:00:00"/>
    <x v="6"/>
    <s v="Account 0920"/>
    <s v="E-commerce"/>
    <s v="SMB"/>
    <x v="2"/>
    <x v="6"/>
    <s v="Webinar"/>
    <x v="3"/>
    <x v="2"/>
    <s v="Expansion"/>
    <n v="20500"/>
    <n v="0.22"/>
    <n v="1"/>
    <s v="Closed"/>
    <m/>
    <n v="17"/>
    <n v="1331.94"/>
    <n v="20500"/>
  </r>
  <r>
    <s v="OPP-00844"/>
    <d v="2025-11-02T00:00:00"/>
    <x v="132"/>
    <s v="Account 0927"/>
    <s v="Healthcare"/>
    <s v="Enterprise"/>
    <x v="2"/>
    <x v="8"/>
    <s v="Outbound"/>
    <x v="1"/>
    <x v="3"/>
    <s v="Renewal"/>
    <n v="267100"/>
    <n v="0.128"/>
    <n v="0.7"/>
    <s v="Commit"/>
    <m/>
    <n v="48"/>
    <n v="19404.419999999998"/>
    <n v="186970"/>
  </r>
  <r>
    <s v="OPP-00845"/>
    <d v="2025-10-08T00:00:00"/>
    <x v="162"/>
    <s v="Account 0147"/>
    <s v="Manufacturing"/>
    <s v="Enterprise"/>
    <x v="0"/>
    <x v="5"/>
    <s v="Webinar"/>
    <x v="1"/>
    <x v="4"/>
    <s v="New Business"/>
    <n v="214100"/>
    <n v="0.20699999999999999"/>
    <n v="0.6"/>
    <s v="Best Case"/>
    <m/>
    <n v="75"/>
    <n v="14156.22"/>
    <n v="128460"/>
  </r>
  <r>
    <s v="OPP-00846"/>
    <d v="2026-07-04T00:00:00"/>
    <x v="135"/>
    <s v="Account 0852"/>
    <s v="Logistics"/>
    <s v="Mid-Market"/>
    <x v="0"/>
    <x v="4"/>
    <s v="Referral"/>
    <x v="1"/>
    <x v="5"/>
    <s v="New Business"/>
    <n v="51300"/>
    <n v="8.3000000000000004E-2"/>
    <n v="0.4"/>
    <s v="Pipeline"/>
    <m/>
    <n v="112"/>
    <n v="3921.45"/>
    <n v="20520"/>
  </r>
  <r>
    <s v="OPP-00847"/>
    <d v="2026-03-22T00:00:00"/>
    <x v="64"/>
    <s v="Account 0674"/>
    <s v="Manufacturing"/>
    <s v="Mid-Market"/>
    <x v="1"/>
    <x v="7"/>
    <s v="Product-Led"/>
    <x v="1"/>
    <x v="4"/>
    <s v="New Business"/>
    <n v="33500"/>
    <n v="3.2000000000000001E-2"/>
    <n v="0.6"/>
    <s v="Best Case"/>
    <m/>
    <n v="79"/>
    <n v="2703.07"/>
    <n v="20100"/>
  </r>
  <r>
    <s v="OPP-00848"/>
    <d v="2026-04-09T00:00:00"/>
    <x v="140"/>
    <s v="Account 0722"/>
    <s v="EdTech"/>
    <s v="SMB"/>
    <x v="2"/>
    <x v="7"/>
    <s v="Outbound"/>
    <x v="1"/>
    <x v="6"/>
    <s v="Renewal"/>
    <n v="17800"/>
    <n v="0.14899999999999999"/>
    <n v="0.25"/>
    <s v="Pipeline"/>
    <m/>
    <n v="49"/>
    <n v="1262.83"/>
    <n v="4450"/>
  </r>
  <r>
    <s v="OPP-00849"/>
    <d v="2026-07-29T00:00:00"/>
    <x v="6"/>
    <s v="Account 0571"/>
    <s v="IT Services"/>
    <s v="SMB"/>
    <x v="4"/>
    <x v="8"/>
    <s v="Outbound"/>
    <x v="3"/>
    <x v="2"/>
    <s v="New Business"/>
    <n v="10600"/>
    <n v="7.8E-2"/>
    <n v="1"/>
    <s v="Closed"/>
    <m/>
    <n v="45"/>
    <n v="814.14"/>
    <n v="10600"/>
  </r>
  <r>
    <s v="OPP-00850"/>
    <d v="2025-10-19T00:00:00"/>
    <x v="1"/>
    <s v="Account 0333"/>
    <s v="Manufacturing"/>
    <s v="Mid-Market"/>
    <x v="0"/>
    <x v="10"/>
    <s v="Partner"/>
    <x v="1"/>
    <x v="6"/>
    <s v="New Business"/>
    <n v="51400"/>
    <n v="0.129"/>
    <n v="0.15"/>
    <s v="Pipeline"/>
    <m/>
    <n v="138"/>
    <n v="3732.06"/>
    <n v="7710"/>
  </r>
  <r>
    <s v="OPP-00851"/>
    <d v="2026-01-16T00:00:00"/>
    <x v="307"/>
    <s v="Account 0745"/>
    <s v="Logistics"/>
    <s v="SMB"/>
    <x v="3"/>
    <x v="1"/>
    <s v="Referral"/>
    <x v="3"/>
    <x v="3"/>
    <s v="Expansion"/>
    <n v="6500"/>
    <n v="0.122"/>
    <n v="0.8"/>
    <s v="Commit"/>
    <m/>
    <n v="31"/>
    <n v="475.66"/>
    <n v="5200"/>
  </r>
  <r>
    <s v="OPP-00852"/>
    <d v="2026-08-13T00:00:00"/>
    <x v="308"/>
    <s v="Account 0787"/>
    <s v="E-commerce"/>
    <s v="SMB"/>
    <x v="0"/>
    <x v="3"/>
    <s v="Product-Led"/>
    <x v="0"/>
    <x v="6"/>
    <s v="Expansion"/>
    <n v="13400"/>
    <n v="0.185"/>
    <n v="0.25"/>
    <s v="Pipeline"/>
    <m/>
    <n v="38"/>
    <n v="910.33"/>
    <n v="3350"/>
  </r>
  <r>
    <s v="OPP-00853"/>
    <d v="2026-08-25T00:00:00"/>
    <x v="113"/>
    <s v="Account 0743"/>
    <s v="E-commerce"/>
    <s v="SMB"/>
    <x v="3"/>
    <x v="10"/>
    <s v="Referral"/>
    <x v="4"/>
    <x v="5"/>
    <s v="Renewal"/>
    <n v="6600"/>
    <n v="0.19400000000000001"/>
    <n v="0.4"/>
    <s v="Pipeline"/>
    <m/>
    <n v="72"/>
    <n v="443.54"/>
    <n v="2640"/>
  </r>
  <r>
    <s v="OPP-00854"/>
    <d v="2026-01-22T00:00:00"/>
    <x v="309"/>
    <s v="Account 0200"/>
    <s v="Healthcare"/>
    <s v="Mid-Market"/>
    <x v="3"/>
    <x v="7"/>
    <s v="Referral"/>
    <x v="0"/>
    <x v="3"/>
    <s v="New Business"/>
    <n v="36500"/>
    <n v="0.126"/>
    <n v="0.75"/>
    <s v="Commit"/>
    <m/>
    <n v="128"/>
    <n v="2658.85"/>
    <n v="27375"/>
  </r>
  <r>
    <s v="OPP-00855"/>
    <d v="2026-06-25T00:00:00"/>
    <x v="6"/>
    <s v="Account 0430"/>
    <s v="FinTech"/>
    <s v="SMB"/>
    <x v="1"/>
    <x v="7"/>
    <s v="Webinar"/>
    <x v="1"/>
    <x v="0"/>
    <s v="Expansion"/>
    <n v="16500"/>
    <n v="7.6999999999999999E-2"/>
    <n v="0"/>
    <s v="Closed"/>
    <s v="Competitor"/>
    <n v="79"/>
    <n v="1269.4100000000001"/>
    <n v="0"/>
  </r>
  <r>
    <s v="OPP-00856"/>
    <d v="2026-09-11T00:00:00"/>
    <x v="21"/>
    <s v="Account 0606"/>
    <s v="Healthcare"/>
    <s v="Mid-Market"/>
    <x v="4"/>
    <x v="1"/>
    <s v="Product-Led"/>
    <x v="0"/>
    <x v="6"/>
    <s v="Renewal"/>
    <n v="57900"/>
    <n v="5.8999999999999997E-2"/>
    <n v="0.25"/>
    <s v="Pipeline"/>
    <m/>
    <n v="37"/>
    <n v="4538.63"/>
    <n v="14475"/>
  </r>
  <r>
    <s v="OPP-00857"/>
    <d v="2026-07-05T00:00:00"/>
    <x v="6"/>
    <s v="Account 0523"/>
    <s v="Logistics"/>
    <s v="Mid-Market"/>
    <x v="2"/>
    <x v="2"/>
    <s v="Inbound"/>
    <x v="1"/>
    <x v="2"/>
    <s v="Renewal"/>
    <n v="36700"/>
    <n v="0"/>
    <n v="1"/>
    <s v="Closed"/>
    <m/>
    <n v="69"/>
    <n v="3058.33"/>
    <n v="36700"/>
  </r>
  <r>
    <s v="OPP-00858"/>
    <d v="2025-11-06T00:00:00"/>
    <x v="254"/>
    <s v="Account 0464"/>
    <s v="Manufacturing"/>
    <s v="Enterprise"/>
    <x v="0"/>
    <x v="8"/>
    <s v="Inbound"/>
    <x v="2"/>
    <x v="4"/>
    <s v="New Business"/>
    <n v="88900"/>
    <n v="0.104"/>
    <n v="0.55000000000000004"/>
    <s v="Best Case"/>
    <m/>
    <n v="114"/>
    <n v="6640.14"/>
    <n v="48895.000000000007"/>
  </r>
  <r>
    <s v="OPP-00859"/>
    <d v="2025-12-10T00:00:00"/>
    <x v="310"/>
    <s v="Account 0037"/>
    <s v="Logistics"/>
    <s v="Enterprise"/>
    <x v="4"/>
    <x v="8"/>
    <s v="Referral"/>
    <x v="3"/>
    <x v="3"/>
    <s v="Expansion"/>
    <n v="186900"/>
    <n v="0.106"/>
    <n v="0.75"/>
    <s v="Commit"/>
    <m/>
    <n v="128"/>
    <n v="13919.4"/>
    <n v="140175"/>
  </r>
  <r>
    <s v="OPP-00860"/>
    <d v="2026-01-08T00:00:00"/>
    <x v="298"/>
    <s v="Account 0017"/>
    <s v="Healthcare"/>
    <s v="SMB"/>
    <x v="2"/>
    <x v="8"/>
    <s v="Product-Led"/>
    <x v="0"/>
    <x v="3"/>
    <s v="New Business"/>
    <n v="6500"/>
    <n v="8.3000000000000004E-2"/>
    <n v="0.7"/>
    <s v="Commit"/>
    <m/>
    <n v="124"/>
    <n v="496.88"/>
    <n v="4550"/>
  </r>
  <r>
    <s v="OPP-00861"/>
    <d v="2025-10-15T00:00:00"/>
    <x v="311"/>
    <s v="Account 0588"/>
    <s v="Manufacturing"/>
    <s v="SMB"/>
    <x v="0"/>
    <x v="2"/>
    <s v="Inbound"/>
    <x v="1"/>
    <x v="4"/>
    <s v="Renewal"/>
    <n v="13200"/>
    <n v="0.17399999999999999"/>
    <n v="0.5"/>
    <s v="Best Case"/>
    <m/>
    <n v="26"/>
    <n v="908.59"/>
    <n v="6600"/>
  </r>
  <r>
    <s v="OPP-00862"/>
    <d v="2026-01-31T00:00:00"/>
    <x v="77"/>
    <s v="Account 0593"/>
    <s v="IT Services"/>
    <s v="SMB"/>
    <x v="4"/>
    <x v="6"/>
    <s v="Inbound"/>
    <x v="4"/>
    <x v="6"/>
    <s v="Expansion"/>
    <n v="21500"/>
    <n v="0.13"/>
    <n v="0.2"/>
    <s v="Pipeline"/>
    <m/>
    <n v="73"/>
    <n v="1558.85"/>
    <n v="4300"/>
  </r>
  <r>
    <s v="OPP-00863"/>
    <d v="2026-07-31T00:00:00"/>
    <x v="105"/>
    <s v="Account 0101"/>
    <s v="E-commerce"/>
    <s v="SMB"/>
    <x v="3"/>
    <x v="1"/>
    <s v="Outbound"/>
    <x v="0"/>
    <x v="4"/>
    <s v="Expansion"/>
    <n v="15400"/>
    <n v="0.14000000000000001"/>
    <n v="0.5"/>
    <s v="Best Case"/>
    <m/>
    <n v="53"/>
    <n v="1103.28"/>
    <n v="7700"/>
  </r>
  <r>
    <s v="OPP-00864"/>
    <d v="2025-10-14T00:00:00"/>
    <x v="312"/>
    <s v="Account 0205"/>
    <s v="FinTech"/>
    <s v="Mid-Market"/>
    <x v="3"/>
    <x v="11"/>
    <s v="Product-Led"/>
    <x v="2"/>
    <x v="6"/>
    <s v="New Business"/>
    <n v="42800"/>
    <n v="0.19800000000000001"/>
    <n v="0.2"/>
    <s v="Pipeline"/>
    <m/>
    <n v="76"/>
    <n v="2860.51"/>
    <n v="8560"/>
  </r>
  <r>
    <s v="OPP-00865"/>
    <d v="2025-10-15T00:00:00"/>
    <x v="210"/>
    <s v="Account 0263"/>
    <s v="E-commerce"/>
    <s v="Mid-Market"/>
    <x v="0"/>
    <x v="2"/>
    <s v="Inbound"/>
    <x v="2"/>
    <x v="5"/>
    <s v="Expansion"/>
    <n v="42900"/>
    <n v="3.5999999999999997E-2"/>
    <n v="0.35"/>
    <s v="Pipeline"/>
    <m/>
    <n v="129"/>
    <n v="3446.91"/>
    <n v="15014.999999999998"/>
  </r>
  <r>
    <s v="OPP-00866"/>
    <d v="2026-06-24T00:00:00"/>
    <x v="9"/>
    <s v="Account 0611"/>
    <s v="IT Services"/>
    <s v="Mid-Market"/>
    <x v="3"/>
    <x v="2"/>
    <s v="Webinar"/>
    <x v="4"/>
    <x v="6"/>
    <s v="New Business"/>
    <n v="90300"/>
    <n v="0.125"/>
    <n v="0.2"/>
    <s v="Pipeline"/>
    <m/>
    <n v="113"/>
    <n v="6585.17"/>
    <n v="18060"/>
  </r>
  <r>
    <s v="OPP-00867"/>
    <d v="2026-03-25T00:00:00"/>
    <x v="13"/>
    <s v="Account 0905"/>
    <s v="Logistics"/>
    <s v="Mid-Market"/>
    <x v="0"/>
    <x v="5"/>
    <s v="Inbound"/>
    <x v="0"/>
    <x v="4"/>
    <s v="Expansion"/>
    <n v="81500"/>
    <n v="5.3999999999999999E-2"/>
    <n v="0.55000000000000004"/>
    <s v="Best Case"/>
    <m/>
    <n v="83"/>
    <n v="6424.72"/>
    <n v="44825"/>
  </r>
  <r>
    <s v="OPP-00868"/>
    <d v="2025-12-08T00:00:00"/>
    <x v="313"/>
    <s v="Account 0052"/>
    <s v="Healthcare"/>
    <s v="SMB"/>
    <x v="4"/>
    <x v="11"/>
    <s v="Outbound"/>
    <x v="0"/>
    <x v="1"/>
    <s v="Renewal"/>
    <n v="23100"/>
    <n v="0.247"/>
    <n v="0.15"/>
    <s v="Pipeline"/>
    <m/>
    <n v="73"/>
    <n v="1448.72"/>
    <n v="3465"/>
  </r>
  <r>
    <s v="OPP-00869"/>
    <d v="2026-07-30T00:00:00"/>
    <x v="250"/>
    <s v="Account 0237"/>
    <s v="E-commerce"/>
    <s v="SMB"/>
    <x v="2"/>
    <x v="0"/>
    <s v="Webinar"/>
    <x v="0"/>
    <x v="1"/>
    <s v="Renewal"/>
    <n v="17900"/>
    <n v="0.156"/>
    <n v="0.1"/>
    <s v="Pipeline"/>
    <m/>
    <n v="45"/>
    <n v="1258.43"/>
    <n v="1790"/>
  </r>
  <r>
    <s v="OPP-00870"/>
    <d v="2026-08-20T00:00:00"/>
    <x v="290"/>
    <s v="Account 0657"/>
    <s v="E-commerce"/>
    <s v="SMB"/>
    <x v="3"/>
    <x v="8"/>
    <s v="Inbound"/>
    <x v="3"/>
    <x v="5"/>
    <s v="Renewal"/>
    <n v="21200"/>
    <n v="0.106"/>
    <n v="0.35"/>
    <s v="Pipeline"/>
    <m/>
    <n v="40"/>
    <n v="1580.01"/>
    <n v="7419.9999999999991"/>
  </r>
  <r>
    <s v="OPP-00871"/>
    <d v="2026-07-04T00:00:00"/>
    <x v="169"/>
    <s v="Account 0047"/>
    <s v="Healthcare"/>
    <s v="SMB"/>
    <x v="3"/>
    <x v="11"/>
    <s v="Webinar"/>
    <x v="1"/>
    <x v="3"/>
    <s v="Renewal"/>
    <n v="26600"/>
    <n v="0.192"/>
    <n v="0.8"/>
    <s v="Commit"/>
    <m/>
    <n v="93"/>
    <n v="1790.13"/>
    <n v="21280"/>
  </r>
  <r>
    <s v="OPP-00872"/>
    <d v="2025-12-30T00:00:00"/>
    <x v="314"/>
    <s v="Account 0647"/>
    <s v="Manufacturing"/>
    <s v="Mid-Market"/>
    <x v="4"/>
    <x v="10"/>
    <s v="Inbound"/>
    <x v="1"/>
    <x v="2"/>
    <s v="New Business"/>
    <n v="38200"/>
    <n v="1.7000000000000001E-2"/>
    <n v="1"/>
    <s v="Closed"/>
    <m/>
    <n v="19"/>
    <n v="3128.73"/>
    <n v="38200"/>
  </r>
  <r>
    <s v="OPP-00873"/>
    <d v="2026-02-25T00:00:00"/>
    <x v="112"/>
    <s v="Account 0394"/>
    <s v="Manufacturing"/>
    <s v="Enterprise"/>
    <x v="4"/>
    <x v="5"/>
    <s v="Product-Led"/>
    <x v="2"/>
    <x v="5"/>
    <s v="Expansion"/>
    <n v="128200"/>
    <n v="8.5000000000000006E-2"/>
    <n v="0.35"/>
    <s v="Pipeline"/>
    <m/>
    <n v="30"/>
    <n v="9778.2000000000007"/>
    <n v="44870"/>
  </r>
  <r>
    <s v="OPP-00874"/>
    <d v="2026-05-25T00:00:00"/>
    <x v="306"/>
    <s v="Account 0528"/>
    <s v="FinTech"/>
    <s v="Mid-Market"/>
    <x v="4"/>
    <x v="0"/>
    <s v="Outbound"/>
    <x v="4"/>
    <x v="3"/>
    <s v="New Business"/>
    <n v="91900"/>
    <n v="0.186"/>
    <n v="0.75"/>
    <s v="Commit"/>
    <m/>
    <n v="129"/>
    <n v="6232.81"/>
    <n v="68925"/>
  </r>
  <r>
    <s v="OPP-00875"/>
    <d v="2026-02-20T00:00:00"/>
    <x v="248"/>
    <s v="Account 0940"/>
    <s v="E-commerce"/>
    <s v="Enterprise"/>
    <x v="2"/>
    <x v="6"/>
    <s v="Inbound"/>
    <x v="0"/>
    <x v="4"/>
    <s v="Renewal"/>
    <n v="116400"/>
    <n v="5.1999999999999998E-2"/>
    <n v="0.6"/>
    <s v="Best Case"/>
    <m/>
    <n v="94"/>
    <n v="9199.35"/>
    <n v="69840"/>
  </r>
  <r>
    <s v="OPP-00876"/>
    <d v="2026-07-30T00:00:00"/>
    <x v="240"/>
    <s v="Account 0512"/>
    <s v="FinTech"/>
    <s v="SMB"/>
    <x v="1"/>
    <x v="4"/>
    <s v="Product-Led"/>
    <x v="2"/>
    <x v="3"/>
    <s v="New Business"/>
    <n v="13500"/>
    <n v="0.122"/>
    <n v="0.75"/>
    <s v="Commit"/>
    <m/>
    <n v="50"/>
    <n v="987.22"/>
    <n v="10125"/>
  </r>
  <r>
    <s v="OPP-00877"/>
    <d v="2026-07-30T00:00:00"/>
    <x v="195"/>
    <s v="Account 0417"/>
    <s v="Manufacturing"/>
    <s v="Mid-Market"/>
    <x v="0"/>
    <x v="10"/>
    <s v="Webinar"/>
    <x v="1"/>
    <x v="5"/>
    <s v="New Business"/>
    <n v="44500"/>
    <n v="0"/>
    <n v="0.3"/>
    <s v="Pipeline"/>
    <m/>
    <n v="57"/>
    <n v="3708.33"/>
    <n v="13350"/>
  </r>
  <r>
    <s v="OPP-00878"/>
    <d v="2025-11-17T00:00:00"/>
    <x v="163"/>
    <s v="Account 0307"/>
    <s v="Healthcare"/>
    <s v="SMB"/>
    <x v="3"/>
    <x v="3"/>
    <s v="Webinar"/>
    <x v="0"/>
    <x v="5"/>
    <s v="Expansion"/>
    <n v="14800"/>
    <n v="0.21199999999999999"/>
    <n v="0.35"/>
    <s v="Pipeline"/>
    <m/>
    <n v="143"/>
    <n v="971.77"/>
    <n v="5180"/>
  </r>
  <r>
    <s v="OPP-00879"/>
    <d v="2026-07-09T00:00:00"/>
    <x v="141"/>
    <s v="Account 0783"/>
    <s v="Logistics"/>
    <s v="SMB"/>
    <x v="0"/>
    <x v="8"/>
    <s v="Inbound"/>
    <x v="0"/>
    <x v="1"/>
    <s v="Renewal"/>
    <n v="18700"/>
    <n v="4.3999999999999997E-2"/>
    <n v="0.05"/>
    <s v="Pipeline"/>
    <m/>
    <n v="54"/>
    <n v="1490.44"/>
    <n v="935"/>
  </r>
  <r>
    <s v="OPP-00880"/>
    <d v="2026-01-05T00:00:00"/>
    <x v="204"/>
    <s v="Account 0428"/>
    <s v="Healthcare"/>
    <s v="SMB"/>
    <x v="0"/>
    <x v="2"/>
    <s v="Product-Led"/>
    <x v="4"/>
    <x v="4"/>
    <s v="New Business"/>
    <n v="19100"/>
    <n v="3.6999999999999998E-2"/>
    <n v="0.6"/>
    <s v="Best Case"/>
    <m/>
    <n v="114"/>
    <n v="1532.68"/>
    <n v="11460"/>
  </r>
  <r>
    <s v="OPP-00881"/>
    <d v="2026-01-07T00:00:00"/>
    <x v="59"/>
    <s v="Account 0797"/>
    <s v="SaaS"/>
    <s v="Mid-Market"/>
    <x v="4"/>
    <x v="9"/>
    <s v="Referral"/>
    <x v="0"/>
    <x v="3"/>
    <s v="New Business"/>
    <n v="88700"/>
    <n v="0.156"/>
    <n v="0.75"/>
    <s v="Commit"/>
    <m/>
    <n v="62"/>
    <n v="6237.94"/>
    <n v="66525"/>
  </r>
  <r>
    <s v="OPP-00882"/>
    <d v="2026-01-22T00:00:00"/>
    <x v="128"/>
    <s v="Account 0621"/>
    <s v="SaaS"/>
    <s v="SMB"/>
    <x v="4"/>
    <x v="11"/>
    <s v="Product-Led"/>
    <x v="4"/>
    <x v="6"/>
    <s v="Renewal"/>
    <n v="16700"/>
    <n v="0.13900000000000001"/>
    <n v="0.2"/>
    <s v="Pipeline"/>
    <m/>
    <n v="27"/>
    <n v="1198.3499999999999"/>
    <n v="3340"/>
  </r>
  <r>
    <s v="OPP-00883"/>
    <d v="2026-06-01T00:00:00"/>
    <x v="104"/>
    <s v="Account 0269"/>
    <s v="Healthcare"/>
    <s v="Mid-Market"/>
    <x v="1"/>
    <x v="7"/>
    <s v="Partner"/>
    <x v="3"/>
    <x v="3"/>
    <s v="Expansion"/>
    <n v="75400"/>
    <n v="0.158"/>
    <n v="0.75"/>
    <s v="Commit"/>
    <m/>
    <n v="95"/>
    <n v="5289.88"/>
    <n v="56550"/>
  </r>
  <r>
    <s v="OPP-00884"/>
    <d v="2026-09-05T00:00:00"/>
    <x v="195"/>
    <s v="Account 0908"/>
    <s v="FinTech"/>
    <s v="SMB"/>
    <x v="3"/>
    <x v="1"/>
    <s v="Partner"/>
    <x v="3"/>
    <x v="5"/>
    <s v="New Business"/>
    <n v="14500"/>
    <n v="0.125"/>
    <n v="0.35"/>
    <s v="Pipeline"/>
    <m/>
    <n v="20"/>
    <n v="1056.92"/>
    <n v="5075"/>
  </r>
  <r>
    <s v="OPP-00885"/>
    <d v="2026-04-02T00:00:00"/>
    <x v="224"/>
    <s v="Account 0263"/>
    <s v="Logistics"/>
    <s v="Enterprise"/>
    <x v="3"/>
    <x v="7"/>
    <s v="Outbound"/>
    <x v="3"/>
    <x v="2"/>
    <s v="Renewal"/>
    <n v="178200"/>
    <n v="3.7999999999999999E-2"/>
    <n v="0.95"/>
    <s v="Closed"/>
    <m/>
    <n v="62"/>
    <n v="14279.09"/>
    <n v="169290"/>
  </r>
  <r>
    <s v="OPP-00886"/>
    <d v="2026-02-22T00:00:00"/>
    <x v="118"/>
    <s v="Account 0288"/>
    <s v="Logistics"/>
    <s v="SMB"/>
    <x v="1"/>
    <x v="5"/>
    <s v="Outbound"/>
    <x v="1"/>
    <x v="2"/>
    <s v="New Business"/>
    <n v="27300"/>
    <n v="0.16900000000000001"/>
    <n v="1"/>
    <s v="Closed"/>
    <m/>
    <n v="80"/>
    <n v="1890.18"/>
    <n v="27300"/>
  </r>
  <r>
    <s v="OPP-00887"/>
    <d v="2026-03-31T00:00:00"/>
    <x v="108"/>
    <s v="Account 0716"/>
    <s v="IT Services"/>
    <s v="Mid-Market"/>
    <x v="1"/>
    <x v="1"/>
    <s v="Webinar"/>
    <x v="4"/>
    <x v="6"/>
    <s v="Renewal"/>
    <n v="85300"/>
    <n v="2.4E-2"/>
    <n v="0.15"/>
    <s v="Pipeline"/>
    <m/>
    <n v="123"/>
    <n v="6935.65"/>
    <n v="12795"/>
  </r>
  <r>
    <s v="OPP-00888"/>
    <d v="2025-11-11T00:00:00"/>
    <x v="116"/>
    <s v="Account 0742"/>
    <s v="SaaS"/>
    <s v="SMB"/>
    <x v="3"/>
    <x v="3"/>
    <s v="Inbound"/>
    <x v="3"/>
    <x v="2"/>
    <s v="Expansion"/>
    <n v="25500"/>
    <n v="0.13100000000000001"/>
    <n v="0.95"/>
    <s v="Closed"/>
    <m/>
    <n v="66"/>
    <n v="1847.5"/>
    <n v="24225"/>
  </r>
  <r>
    <s v="OPP-00889"/>
    <d v="2026-04-06T00:00:00"/>
    <x v="60"/>
    <s v="Account 0352"/>
    <s v="FinTech"/>
    <s v="SMB"/>
    <x v="0"/>
    <x v="7"/>
    <s v="Inbound"/>
    <x v="2"/>
    <x v="2"/>
    <s v="New Business"/>
    <n v="12700"/>
    <n v="0.123"/>
    <n v="1"/>
    <s v="Closed"/>
    <m/>
    <n v="67"/>
    <n v="928.28"/>
    <n v="12700"/>
  </r>
  <r>
    <s v="OPP-00890"/>
    <d v="2026-02-27T00:00:00"/>
    <x v="170"/>
    <s v="Account 0176"/>
    <s v="SaaS"/>
    <s v="SMB"/>
    <x v="0"/>
    <x v="11"/>
    <s v="Partner"/>
    <x v="3"/>
    <x v="0"/>
    <s v="New Business"/>
    <n v="19800"/>
    <n v="0"/>
    <n v="0"/>
    <s v="Closed"/>
    <s v="Timing"/>
    <n v="36"/>
    <n v="1650"/>
    <n v="0"/>
  </r>
  <r>
    <s v="OPP-00891"/>
    <d v="2026-02-26T00:00:00"/>
    <x v="310"/>
    <s v="Account 0548"/>
    <s v="Logistics"/>
    <s v="Enterprise"/>
    <x v="2"/>
    <x v="6"/>
    <s v="Inbound"/>
    <x v="1"/>
    <x v="2"/>
    <s v="New Business"/>
    <n v="255600"/>
    <n v="0.19900000000000001"/>
    <n v="1"/>
    <s v="Closed"/>
    <m/>
    <n v="50"/>
    <n v="17060.09"/>
    <n v="255600"/>
  </r>
  <r>
    <s v="OPP-00892"/>
    <d v="2025-11-10T00:00:00"/>
    <x v="79"/>
    <s v="Account 0623"/>
    <s v="Healthcare"/>
    <s v="SMB"/>
    <x v="0"/>
    <x v="4"/>
    <s v="Referral"/>
    <x v="0"/>
    <x v="2"/>
    <s v="Expansion"/>
    <n v="6600"/>
    <n v="0.23599999999999999"/>
    <n v="1"/>
    <s v="Closed"/>
    <m/>
    <n v="63"/>
    <n v="420.22"/>
    <n v="6600"/>
  </r>
  <r>
    <s v="OPP-00893"/>
    <d v="2025-10-21T00:00:00"/>
    <x v="128"/>
    <s v="Account 0461"/>
    <s v="Manufacturing"/>
    <s v="Mid-Market"/>
    <x v="3"/>
    <x v="7"/>
    <s v="Webinar"/>
    <x v="0"/>
    <x v="6"/>
    <s v="Expansion"/>
    <n v="52100"/>
    <n v="6.7000000000000004E-2"/>
    <n v="0.15"/>
    <s v="Pipeline"/>
    <m/>
    <n v="120"/>
    <n v="4048.81"/>
    <n v="7815"/>
  </r>
  <r>
    <s v="OPP-00894"/>
    <d v="2026-03-09T00:00:00"/>
    <x v="249"/>
    <s v="Account 0752"/>
    <s v="Manufacturing"/>
    <s v="Mid-Market"/>
    <x v="3"/>
    <x v="6"/>
    <s v="Webinar"/>
    <x v="0"/>
    <x v="4"/>
    <s v="Expansion"/>
    <n v="72900"/>
    <n v="4.3999999999999997E-2"/>
    <n v="0.55000000000000004"/>
    <s v="Best Case"/>
    <m/>
    <n v="113"/>
    <n v="5805.05"/>
    <n v="40095"/>
  </r>
  <r>
    <s v="OPP-00895"/>
    <d v="2025-10-10T00:00:00"/>
    <x v="214"/>
    <s v="Account 0758"/>
    <s v="Logistics"/>
    <s v="Enterprise"/>
    <x v="0"/>
    <x v="2"/>
    <s v="Inbound"/>
    <x v="1"/>
    <x v="1"/>
    <s v="Expansion"/>
    <n v="107900"/>
    <n v="9.2999999999999999E-2"/>
    <n v="0.15"/>
    <s v="Pipeline"/>
    <m/>
    <n v="121"/>
    <n v="8157.35"/>
    <n v="16185"/>
  </r>
  <r>
    <s v="OPP-00896"/>
    <d v="2026-06-23T00:00:00"/>
    <x v="6"/>
    <s v="Account 0329"/>
    <s v="Manufacturing"/>
    <s v="SMB"/>
    <x v="0"/>
    <x v="1"/>
    <s v="Partner"/>
    <x v="2"/>
    <x v="2"/>
    <s v="Expansion"/>
    <n v="6600"/>
    <n v="0.124"/>
    <n v="0.95"/>
    <s v="Closed"/>
    <m/>
    <n v="81"/>
    <n v="481.92"/>
    <n v="6270"/>
  </r>
  <r>
    <s v="OPP-00897"/>
    <d v="2025-10-16T00:00:00"/>
    <x v="212"/>
    <s v="Account 0938"/>
    <s v="IT Services"/>
    <s v="Enterprise"/>
    <x v="2"/>
    <x v="1"/>
    <s v="Outbound"/>
    <x v="1"/>
    <x v="2"/>
    <s v="New Business"/>
    <n v="83100"/>
    <n v="0.17899999999999999"/>
    <n v="1"/>
    <s v="Closed"/>
    <m/>
    <n v="157"/>
    <n v="5686.86"/>
    <n v="83100"/>
  </r>
  <r>
    <s v="OPP-00898"/>
    <d v="2026-02-08T00:00:00"/>
    <x v="174"/>
    <s v="Account 0476"/>
    <s v="Manufacturing"/>
    <s v="Mid-Market"/>
    <x v="3"/>
    <x v="7"/>
    <s v="Webinar"/>
    <x v="2"/>
    <x v="4"/>
    <s v="Renewal"/>
    <n v="37200"/>
    <n v="7.6999999999999999E-2"/>
    <n v="0.6"/>
    <s v="Best Case"/>
    <m/>
    <n v="38"/>
    <n v="2861.34"/>
    <n v="22320"/>
  </r>
  <r>
    <s v="OPP-00899"/>
    <d v="2026-01-09T00:00:00"/>
    <x v="45"/>
    <s v="Account 0195"/>
    <s v="E-commerce"/>
    <s v="Enterprise"/>
    <x v="2"/>
    <x v="6"/>
    <s v="Partner"/>
    <x v="3"/>
    <x v="2"/>
    <s v="Renewal"/>
    <n v="227400"/>
    <n v="0.08"/>
    <n v="1"/>
    <s v="Closed"/>
    <m/>
    <n v="48"/>
    <n v="17439.740000000002"/>
    <n v="227400"/>
  </r>
  <r>
    <s v="OPP-00900"/>
    <d v="2026-03-27T00:00:00"/>
    <x v="315"/>
    <s v="Account 0799"/>
    <s v="EdTech"/>
    <s v="SMB"/>
    <x v="3"/>
    <x v="0"/>
    <s v="Outbound"/>
    <x v="1"/>
    <x v="5"/>
    <s v="Expansion"/>
    <n v="22900"/>
    <n v="0.122"/>
    <n v="0.3"/>
    <s v="Pipeline"/>
    <m/>
    <n v="93"/>
    <n v="1675.11"/>
    <n v="6870"/>
  </r>
  <r>
    <s v="OPP-00901"/>
    <d v="2025-11-12T00:00:00"/>
    <x v="68"/>
    <s v="Account 0740"/>
    <s v="SaaS"/>
    <s v="SMB"/>
    <x v="1"/>
    <x v="9"/>
    <s v="Partner"/>
    <x v="3"/>
    <x v="6"/>
    <s v="Renewal"/>
    <n v="10100"/>
    <n v="1.7000000000000001E-2"/>
    <n v="0.15"/>
    <s v="Pipeline"/>
    <m/>
    <n v="51"/>
    <n v="827.3"/>
    <n v="1515"/>
  </r>
  <r>
    <s v="OPP-00902"/>
    <d v="2025-12-21T00:00:00"/>
    <x v="100"/>
    <s v="Account 0752"/>
    <s v="Logistics"/>
    <s v="Mid-Market"/>
    <x v="0"/>
    <x v="8"/>
    <s v="Outbound"/>
    <x v="1"/>
    <x v="6"/>
    <s v="Renewal"/>
    <n v="83000"/>
    <n v="1.2E-2"/>
    <n v="0.2"/>
    <s v="Pipeline"/>
    <m/>
    <n v="107"/>
    <n v="6831.14"/>
    <n v="16600"/>
  </r>
  <r>
    <s v="OPP-00903"/>
    <d v="2025-11-21T00:00:00"/>
    <x v="198"/>
    <s v="Account 0270"/>
    <s v="E-commerce"/>
    <s v="SMB"/>
    <x v="0"/>
    <x v="2"/>
    <s v="Outbound"/>
    <x v="4"/>
    <x v="5"/>
    <s v="Renewal"/>
    <n v="10300"/>
    <n v="5.8000000000000003E-2"/>
    <n v="0.35"/>
    <s v="Pipeline"/>
    <m/>
    <n v="135"/>
    <n v="808.52"/>
    <n v="3604.9999999999995"/>
  </r>
  <r>
    <s v="OPP-00904"/>
    <d v="2026-09-08T00:00:00"/>
    <x v="6"/>
    <s v="Account 0050"/>
    <s v="Healthcare"/>
    <s v="SMB"/>
    <x v="3"/>
    <x v="3"/>
    <s v="Partner"/>
    <x v="0"/>
    <x v="2"/>
    <s v="Renewal"/>
    <n v="20400"/>
    <n v="0.159"/>
    <n v="1"/>
    <s v="Closed"/>
    <m/>
    <n v="4"/>
    <n v="1429.25"/>
    <n v="20400"/>
  </r>
  <r>
    <s v="OPP-00905"/>
    <d v="2026-03-30T00:00:00"/>
    <x v="296"/>
    <s v="Account 0742"/>
    <s v="EdTech"/>
    <s v="SMB"/>
    <x v="4"/>
    <x v="8"/>
    <s v="Inbound"/>
    <x v="2"/>
    <x v="3"/>
    <s v="New Business"/>
    <n v="14200"/>
    <n v="0.123"/>
    <n v="0.75"/>
    <s v="Commit"/>
    <m/>
    <n v="138"/>
    <n v="1037.72"/>
    <n v="10650"/>
  </r>
  <r>
    <s v="OPP-00906"/>
    <d v="2026-01-29T00:00:00"/>
    <x v="271"/>
    <s v="Account 0150"/>
    <s v="EdTech"/>
    <s v="SMB"/>
    <x v="1"/>
    <x v="9"/>
    <s v="Webinar"/>
    <x v="0"/>
    <x v="3"/>
    <s v="Expansion"/>
    <n v="26700"/>
    <n v="0.18099999999999999"/>
    <n v="0.7"/>
    <s v="Commit"/>
    <m/>
    <n v="44"/>
    <n v="1822.89"/>
    <n v="18690"/>
  </r>
  <r>
    <s v="OPP-00907"/>
    <d v="2026-06-17T00:00:00"/>
    <x v="6"/>
    <s v="Account 0217"/>
    <s v="Logistics"/>
    <s v="SMB"/>
    <x v="0"/>
    <x v="8"/>
    <s v="Inbound"/>
    <x v="3"/>
    <x v="2"/>
    <s v="Expansion"/>
    <n v="30000"/>
    <n v="2.5000000000000001E-2"/>
    <n v="0.95"/>
    <s v="Closed"/>
    <m/>
    <n v="87"/>
    <n v="2438.3000000000002"/>
    <n v="28500"/>
  </r>
  <r>
    <s v="OPP-00908"/>
    <d v="2026-08-17T00:00:00"/>
    <x v="6"/>
    <s v="Account 0722"/>
    <s v="FinTech"/>
    <s v="SMB"/>
    <x v="1"/>
    <x v="3"/>
    <s v="Referral"/>
    <x v="2"/>
    <x v="6"/>
    <s v="New Business"/>
    <n v="23900"/>
    <n v="0.224"/>
    <n v="0.2"/>
    <s v="Pipeline"/>
    <m/>
    <n v="26"/>
    <n v="1544.96"/>
    <n v="4780"/>
  </r>
  <r>
    <s v="OPP-00909"/>
    <d v="2026-04-26T00:00:00"/>
    <x v="190"/>
    <s v="Account 0753"/>
    <s v="FinTech"/>
    <s v="SMB"/>
    <x v="2"/>
    <x v="6"/>
    <s v="Partner"/>
    <x v="1"/>
    <x v="2"/>
    <s v="Renewal"/>
    <n v="7300"/>
    <n v="0.14299999999999999"/>
    <n v="1"/>
    <s v="Closed"/>
    <m/>
    <n v="69"/>
    <n v="521.47"/>
    <n v="7300"/>
  </r>
  <r>
    <s v="OPP-00910"/>
    <d v="2026-03-26T00:00:00"/>
    <x v="3"/>
    <s v="Account 0250"/>
    <s v="Healthcare"/>
    <s v="Mid-Market"/>
    <x v="2"/>
    <x v="9"/>
    <s v="Webinar"/>
    <x v="4"/>
    <x v="6"/>
    <s v="Expansion"/>
    <n v="92800"/>
    <n v="7.5999999999999998E-2"/>
    <n v="0.15"/>
    <s v="Pipeline"/>
    <m/>
    <n v="54"/>
    <n v="7143.05"/>
    <n v="13920"/>
  </r>
  <r>
    <s v="OPP-00911"/>
    <d v="2025-11-03T00:00:00"/>
    <x v="30"/>
    <s v="Account 0519"/>
    <s v="Logistics"/>
    <s v="Mid-Market"/>
    <x v="3"/>
    <x v="3"/>
    <s v="Partner"/>
    <x v="1"/>
    <x v="1"/>
    <s v="Expansion"/>
    <n v="69000"/>
    <n v="0.106"/>
    <n v="0.1"/>
    <s v="Pipeline"/>
    <m/>
    <n v="78"/>
    <n v="5142.38"/>
    <n v="6900"/>
  </r>
  <r>
    <s v="OPP-00912"/>
    <d v="2026-07-02T00:00:00"/>
    <x v="303"/>
    <s v="Account 0252"/>
    <s v="Manufacturing"/>
    <s v="Mid-Market"/>
    <x v="0"/>
    <x v="1"/>
    <s v="Outbound"/>
    <x v="4"/>
    <x v="1"/>
    <s v="Expansion"/>
    <n v="83600"/>
    <n v="8.5000000000000006E-2"/>
    <n v="0.1"/>
    <s v="Pipeline"/>
    <m/>
    <n v="86"/>
    <n v="6373.46"/>
    <n v="8360"/>
  </r>
  <r>
    <s v="OPP-00913"/>
    <d v="2026-04-26T00:00:00"/>
    <x v="6"/>
    <s v="Account 0906"/>
    <s v="Manufacturing"/>
    <s v="SMB"/>
    <x v="0"/>
    <x v="2"/>
    <s v="Partner"/>
    <x v="1"/>
    <x v="0"/>
    <s v="Expansion"/>
    <n v="22300"/>
    <n v="0.12"/>
    <n v="0"/>
    <s v="Closed"/>
    <s v="Security Review"/>
    <n v="139"/>
    <n v="1634.52"/>
    <n v="0"/>
  </r>
  <r>
    <s v="OPP-00914"/>
    <d v="2026-04-14T00:00:00"/>
    <x v="276"/>
    <s v="Account 0641"/>
    <s v="Logistics"/>
    <s v="SMB"/>
    <x v="1"/>
    <x v="0"/>
    <s v="Partner"/>
    <x v="2"/>
    <x v="4"/>
    <s v="Expansion"/>
    <n v="28400"/>
    <n v="0.185"/>
    <n v="0.55000000000000004"/>
    <s v="Best Case"/>
    <m/>
    <n v="76"/>
    <n v="1929"/>
    <n v="15620.000000000002"/>
  </r>
  <r>
    <s v="OPP-00915"/>
    <d v="2025-12-19T00:00:00"/>
    <x v="2"/>
    <s v="Account 0861"/>
    <s v="EdTech"/>
    <s v="Enterprise"/>
    <x v="3"/>
    <x v="0"/>
    <s v="Inbound"/>
    <x v="1"/>
    <x v="2"/>
    <s v="Renewal"/>
    <n v="264500"/>
    <n v="0.22500000000000001"/>
    <n v="1"/>
    <s v="Closed"/>
    <m/>
    <n v="95"/>
    <n v="17090.97"/>
    <n v="264500"/>
  </r>
  <r>
    <s v="OPP-00916"/>
    <d v="2026-05-30T00:00:00"/>
    <x v="126"/>
    <s v="Account 0350"/>
    <s v="Healthcare"/>
    <s v="SMB"/>
    <x v="2"/>
    <x v="4"/>
    <s v="Outbound"/>
    <x v="0"/>
    <x v="6"/>
    <s v="Renewal"/>
    <n v="7800"/>
    <n v="0.112"/>
    <n v="0.25"/>
    <s v="Pipeline"/>
    <m/>
    <n v="86"/>
    <n v="577.41"/>
    <n v="1950"/>
  </r>
  <r>
    <s v="OPP-00917"/>
    <d v="2026-01-16T00:00:00"/>
    <x v="168"/>
    <s v="Account 0607"/>
    <s v="EdTech"/>
    <s v="SMB"/>
    <x v="3"/>
    <x v="7"/>
    <s v="Product-Led"/>
    <x v="2"/>
    <x v="0"/>
    <s v="Renewal"/>
    <n v="28500"/>
    <n v="9.4E-2"/>
    <n v="0"/>
    <s v="Closed"/>
    <s v="Champion Left"/>
    <n v="108"/>
    <n v="2151.23"/>
    <n v="0"/>
  </r>
  <r>
    <s v="OPP-00918"/>
    <d v="2026-06-27T00:00:00"/>
    <x v="6"/>
    <s v="Account 0502"/>
    <s v="Logistics"/>
    <s v="Enterprise"/>
    <x v="4"/>
    <x v="5"/>
    <s v="Webinar"/>
    <x v="3"/>
    <x v="0"/>
    <s v="New Business"/>
    <n v="169900"/>
    <n v="0.105"/>
    <n v="0"/>
    <s v="Closed"/>
    <s v="Champion Left"/>
    <n v="77"/>
    <n v="12675.36"/>
    <n v="0"/>
  </r>
  <r>
    <s v="OPP-00919"/>
    <d v="2026-03-30T00:00:00"/>
    <x v="316"/>
    <s v="Account 0566"/>
    <s v="FinTech"/>
    <s v="Enterprise"/>
    <x v="4"/>
    <x v="10"/>
    <s v="Referral"/>
    <x v="1"/>
    <x v="5"/>
    <s v="Renewal"/>
    <n v="318300"/>
    <n v="9.5000000000000001E-2"/>
    <n v="0.4"/>
    <s v="Pipeline"/>
    <m/>
    <n v="33"/>
    <n v="24016.57"/>
    <n v="127320"/>
  </r>
  <r>
    <s v="OPP-00920"/>
    <d v="2026-04-19T00:00:00"/>
    <x v="199"/>
    <s v="Account 0116"/>
    <s v="EdTech"/>
    <s v="SMB"/>
    <x v="4"/>
    <x v="0"/>
    <s v="Outbound"/>
    <x v="3"/>
    <x v="5"/>
    <s v="Expansion"/>
    <n v="22700"/>
    <n v="0.14399999999999999"/>
    <n v="0.35"/>
    <s v="Pipeline"/>
    <m/>
    <n v="63"/>
    <n v="1619.08"/>
    <n v="7944.9999999999991"/>
  </r>
  <r>
    <s v="OPP-00921"/>
    <d v="2026-04-05T00:00:00"/>
    <x v="199"/>
    <s v="Account 0632"/>
    <s v="IT Services"/>
    <s v="SMB"/>
    <x v="0"/>
    <x v="10"/>
    <s v="Webinar"/>
    <x v="4"/>
    <x v="6"/>
    <s v="Renewal"/>
    <n v="14000"/>
    <n v="0.16900000000000001"/>
    <n v="0.15"/>
    <s v="Pipeline"/>
    <m/>
    <n v="77"/>
    <n v="968.96"/>
    <n v="2100"/>
  </r>
  <r>
    <s v="OPP-00922"/>
    <d v="2025-10-29T00:00:00"/>
    <x v="317"/>
    <s v="Account 0557"/>
    <s v="Manufacturing"/>
    <s v="Enterprise"/>
    <x v="3"/>
    <x v="10"/>
    <s v="Inbound"/>
    <x v="2"/>
    <x v="1"/>
    <s v="Renewal"/>
    <n v="263100"/>
    <n v="0"/>
    <n v="0.1"/>
    <s v="Pipeline"/>
    <m/>
    <n v="117"/>
    <n v="21925"/>
    <n v="26310"/>
  </r>
  <r>
    <s v="OPP-00923"/>
    <d v="2026-04-20T00:00:00"/>
    <x v="293"/>
    <s v="Account 0915"/>
    <s v="EdTech"/>
    <s v="Mid-Market"/>
    <x v="1"/>
    <x v="5"/>
    <s v="Partner"/>
    <x v="4"/>
    <x v="0"/>
    <s v="Expansion"/>
    <n v="75400"/>
    <n v="2.9000000000000001E-2"/>
    <n v="0"/>
    <s v="Closed"/>
    <s v="No Decision"/>
    <n v="95"/>
    <n v="6098.3"/>
    <n v="0"/>
  </r>
  <r>
    <s v="OPP-00924"/>
    <d v="2026-08-16T00:00:00"/>
    <x v="119"/>
    <s v="Account 0906"/>
    <s v="Logistics"/>
    <s v="SMB"/>
    <x v="0"/>
    <x v="4"/>
    <s v="Referral"/>
    <x v="0"/>
    <x v="0"/>
    <s v="Expansion"/>
    <n v="12000"/>
    <n v="0.14399999999999999"/>
    <n v="0"/>
    <s v="Closed"/>
    <s v="Budget"/>
    <n v="21"/>
    <n v="856.46"/>
    <n v="0"/>
  </r>
  <r>
    <s v="OPP-00925"/>
    <d v="2026-09-11T00:00:00"/>
    <x v="6"/>
    <s v="Account 0050"/>
    <s v="EdTech"/>
    <s v="SMB"/>
    <x v="3"/>
    <x v="3"/>
    <s v="Product-Led"/>
    <x v="1"/>
    <x v="2"/>
    <s v="New Business"/>
    <n v="16300"/>
    <n v="0.13"/>
    <n v="1"/>
    <s v="Closed"/>
    <m/>
    <n v="1"/>
    <n v="1181.77"/>
    <n v="16300"/>
  </r>
  <r>
    <s v="OPP-00926"/>
    <d v="2026-02-24T00:00:00"/>
    <x v="318"/>
    <s v="Account 0805"/>
    <s v="Healthcare"/>
    <s v="Enterprise"/>
    <x v="1"/>
    <x v="4"/>
    <s v="Partner"/>
    <x v="2"/>
    <x v="5"/>
    <s v="Expansion"/>
    <n v="328800"/>
    <n v="1E-3"/>
    <n v="0.35"/>
    <s v="Pipeline"/>
    <m/>
    <n v="97"/>
    <n v="27366.12"/>
    <n v="115079.99999999999"/>
  </r>
  <r>
    <s v="OPP-00927"/>
    <d v="2026-04-11T00:00:00"/>
    <x v="18"/>
    <s v="Account 0070"/>
    <s v="IT Services"/>
    <s v="SMB"/>
    <x v="1"/>
    <x v="3"/>
    <s v="Partner"/>
    <x v="0"/>
    <x v="4"/>
    <s v="Renewal"/>
    <n v="27800"/>
    <n v="8.4000000000000005E-2"/>
    <n v="0.55000000000000004"/>
    <s v="Best Case"/>
    <m/>
    <n v="114"/>
    <n v="2121.15"/>
    <n v="15290.000000000002"/>
  </r>
  <r>
    <s v="OPP-00928"/>
    <d v="2026-02-03T00:00:00"/>
    <x v="25"/>
    <s v="Account 0321"/>
    <s v="SaaS"/>
    <s v="SMB"/>
    <x v="2"/>
    <x v="10"/>
    <s v="Webinar"/>
    <x v="2"/>
    <x v="1"/>
    <s v="Renewal"/>
    <n v="11000"/>
    <n v="0.15"/>
    <n v="0.1"/>
    <s v="Pipeline"/>
    <m/>
    <n v="81"/>
    <n v="779.42"/>
    <n v="1100"/>
  </r>
  <r>
    <s v="OPP-00929"/>
    <d v="2026-05-23T00:00:00"/>
    <x v="16"/>
    <s v="Account 0080"/>
    <s v="Healthcare"/>
    <s v="Mid-Market"/>
    <x v="1"/>
    <x v="9"/>
    <s v="Product-Led"/>
    <x v="2"/>
    <x v="3"/>
    <s v="Expansion"/>
    <n v="89800"/>
    <n v="0.08"/>
    <n v="0.7"/>
    <s v="Commit"/>
    <m/>
    <n v="152"/>
    <n v="6883.18"/>
    <n v="62859.999999999993"/>
  </r>
  <r>
    <s v="OPP-00930"/>
    <d v="2026-08-30T00:00:00"/>
    <x v="40"/>
    <s v="Account 0441"/>
    <s v="Logistics"/>
    <s v="Enterprise"/>
    <x v="1"/>
    <x v="7"/>
    <s v="Webinar"/>
    <x v="3"/>
    <x v="6"/>
    <s v="Renewal"/>
    <n v="140200"/>
    <n v="0.108"/>
    <n v="0.15"/>
    <s v="Pipeline"/>
    <m/>
    <n v="25"/>
    <n v="10426.82"/>
    <n v="21030"/>
  </r>
  <r>
    <s v="OPP-00931"/>
    <d v="2026-05-27T00:00:00"/>
    <x v="18"/>
    <s v="Account 0391"/>
    <s v="Healthcare"/>
    <s v="SMB"/>
    <x v="0"/>
    <x v="6"/>
    <s v="Webinar"/>
    <x v="3"/>
    <x v="0"/>
    <s v="New Business"/>
    <n v="25800"/>
    <n v="9.9000000000000005E-2"/>
    <n v="0"/>
    <s v="Closed"/>
    <s v="Timing"/>
    <n v="68"/>
    <n v="1936.7"/>
    <n v="0"/>
  </r>
  <r>
    <s v="OPP-00932"/>
    <d v="2025-11-01T00:00:00"/>
    <x v="19"/>
    <s v="Account 0198"/>
    <s v="E-commerce"/>
    <s v="Enterprise"/>
    <x v="3"/>
    <x v="3"/>
    <s v="Outbound"/>
    <x v="2"/>
    <x v="2"/>
    <s v="New Business"/>
    <n v="190200"/>
    <n v="0.14699999999999999"/>
    <n v="1"/>
    <s v="Closed"/>
    <m/>
    <n v="71"/>
    <n v="13518.86"/>
    <n v="190200"/>
  </r>
  <r>
    <s v="OPP-00933"/>
    <d v="2026-06-08T00:00:00"/>
    <x v="308"/>
    <s v="Account 0697"/>
    <s v="IT Services"/>
    <s v="Mid-Market"/>
    <x v="1"/>
    <x v="6"/>
    <s v="Inbound"/>
    <x v="0"/>
    <x v="1"/>
    <s v="Expansion"/>
    <n v="55700"/>
    <n v="0"/>
    <n v="0.15"/>
    <s v="Pipeline"/>
    <m/>
    <n v="104"/>
    <n v="4641.67"/>
    <n v="8355"/>
  </r>
  <r>
    <s v="OPP-00934"/>
    <d v="2026-06-26T00:00:00"/>
    <x v="290"/>
    <s v="Account 0341"/>
    <s v="FinTech"/>
    <s v="Mid-Market"/>
    <x v="4"/>
    <x v="7"/>
    <s v="Inbound"/>
    <x v="2"/>
    <x v="4"/>
    <s v="New Business"/>
    <n v="91800"/>
    <n v="0.157"/>
    <n v="0.5"/>
    <s v="Best Case"/>
    <m/>
    <n v="95"/>
    <n v="6451.26"/>
    <n v="45900"/>
  </r>
  <r>
    <s v="OPP-00935"/>
    <d v="2026-09-09T00:00:00"/>
    <x v="179"/>
    <s v="Account 0611"/>
    <s v="Logistics"/>
    <s v="SMB"/>
    <x v="2"/>
    <x v="2"/>
    <s v="Inbound"/>
    <x v="4"/>
    <x v="1"/>
    <s v="Renewal"/>
    <n v="16900"/>
    <n v="0.13800000000000001"/>
    <n v="0.05"/>
    <s v="Pipeline"/>
    <m/>
    <n v="10"/>
    <n v="1213.52"/>
    <n v="845"/>
  </r>
  <r>
    <s v="OPP-00936"/>
    <d v="2025-10-25T00:00:00"/>
    <x v="241"/>
    <s v="Account 0921"/>
    <s v="E-commerce"/>
    <s v="SMB"/>
    <x v="4"/>
    <x v="4"/>
    <s v="Partner"/>
    <x v="0"/>
    <x v="4"/>
    <s v="Expansion"/>
    <n v="24700"/>
    <n v="0.161"/>
    <n v="0.5"/>
    <s v="Best Case"/>
    <m/>
    <n v="142"/>
    <n v="1727.65"/>
    <n v="12350"/>
  </r>
  <r>
    <s v="OPP-00937"/>
    <d v="2025-11-02T00:00:00"/>
    <x v="142"/>
    <s v="Account 0266"/>
    <s v="Logistics"/>
    <s v="SMB"/>
    <x v="4"/>
    <x v="2"/>
    <s v="Webinar"/>
    <x v="3"/>
    <x v="3"/>
    <s v="New Business"/>
    <n v="20600"/>
    <n v="0.20899999999999999"/>
    <n v="0.75"/>
    <s v="Commit"/>
    <m/>
    <n v="103"/>
    <n v="1358.07"/>
    <n v="15450"/>
  </r>
  <r>
    <s v="OPP-00938"/>
    <d v="2025-11-19T00:00:00"/>
    <x v="319"/>
    <s v="Account 0459"/>
    <s v="Manufacturing"/>
    <s v="Mid-Market"/>
    <x v="4"/>
    <x v="7"/>
    <s v="Partner"/>
    <x v="4"/>
    <x v="2"/>
    <s v="Expansion"/>
    <n v="58900"/>
    <n v="0"/>
    <n v="1"/>
    <s v="Closed"/>
    <m/>
    <n v="160"/>
    <n v="4908.33"/>
    <n v="58900"/>
  </r>
  <r>
    <s v="OPP-00939"/>
    <d v="2026-04-27T00:00:00"/>
    <x v="28"/>
    <s v="Account 0180"/>
    <s v="FinTech"/>
    <s v="Mid-Market"/>
    <x v="0"/>
    <x v="7"/>
    <s v="Partner"/>
    <x v="4"/>
    <x v="6"/>
    <s v="Renewal"/>
    <n v="63700"/>
    <n v="0"/>
    <n v="0.2"/>
    <s v="Pipeline"/>
    <m/>
    <n v="70"/>
    <n v="5308.33"/>
    <n v="12740"/>
  </r>
  <r>
    <s v="OPP-00940"/>
    <d v="2026-03-24T00:00:00"/>
    <x v="199"/>
    <s v="Account 0156"/>
    <s v="SaaS"/>
    <s v="SMB"/>
    <x v="0"/>
    <x v="3"/>
    <s v="Inbound"/>
    <x v="0"/>
    <x v="1"/>
    <s v="Renewal"/>
    <n v="29200"/>
    <n v="0.214"/>
    <n v="0.1"/>
    <s v="Pipeline"/>
    <m/>
    <n v="89"/>
    <n v="1912.97"/>
    <n v="2920"/>
  </r>
  <r>
    <s v="OPP-00941"/>
    <d v="2026-01-21T00:00:00"/>
    <x v="237"/>
    <s v="Account 0845"/>
    <s v="E-commerce"/>
    <s v="Mid-Market"/>
    <x v="1"/>
    <x v="2"/>
    <s v="Referral"/>
    <x v="3"/>
    <x v="2"/>
    <s v="Renewal"/>
    <n v="33000"/>
    <n v="0"/>
    <n v="1"/>
    <s v="Closed"/>
    <m/>
    <n v="71"/>
    <n v="2750"/>
    <n v="33000"/>
  </r>
  <r>
    <s v="OPP-00942"/>
    <d v="2025-11-08T00:00:00"/>
    <x v="198"/>
    <s v="Account 0164"/>
    <s v="SaaS"/>
    <s v="Enterprise"/>
    <x v="0"/>
    <x v="1"/>
    <s v="Inbound"/>
    <x v="2"/>
    <x v="1"/>
    <s v="New Business"/>
    <n v="107300"/>
    <n v="4.3999999999999997E-2"/>
    <n v="0.1"/>
    <s v="Pipeline"/>
    <m/>
    <n v="148"/>
    <n v="8546.27"/>
    <n v="10730"/>
  </r>
  <r>
    <s v="OPP-00943"/>
    <d v="2025-11-09T00:00:00"/>
    <x v="180"/>
    <s v="Account 0863"/>
    <s v="Healthcare"/>
    <s v="Mid-Market"/>
    <x v="4"/>
    <x v="9"/>
    <s v="Referral"/>
    <x v="0"/>
    <x v="4"/>
    <s v="New Business"/>
    <n v="36600"/>
    <n v="0.11899999999999999"/>
    <n v="0.6"/>
    <s v="Best Case"/>
    <m/>
    <n v="142"/>
    <n v="2687.06"/>
    <n v="21960"/>
  </r>
  <r>
    <s v="OPP-00944"/>
    <d v="2026-05-21T00:00:00"/>
    <x v="47"/>
    <s v="Account 0515"/>
    <s v="Healthcare"/>
    <s v="SMB"/>
    <x v="0"/>
    <x v="8"/>
    <s v="Referral"/>
    <x v="0"/>
    <x v="6"/>
    <s v="New Business"/>
    <n v="7600"/>
    <n v="8.5000000000000006E-2"/>
    <n v="0.2"/>
    <s v="Pipeline"/>
    <m/>
    <n v="62"/>
    <n v="579.39"/>
    <n v="1520"/>
  </r>
  <r>
    <s v="OPP-00945"/>
    <d v="2026-05-09T00:00:00"/>
    <x v="320"/>
    <s v="Account 0414"/>
    <s v="Healthcare"/>
    <s v="Mid-Market"/>
    <x v="0"/>
    <x v="11"/>
    <s v="Product-Led"/>
    <x v="0"/>
    <x v="6"/>
    <s v="New Business"/>
    <n v="31600"/>
    <n v="7.9000000000000001E-2"/>
    <n v="0.2"/>
    <s v="Pipeline"/>
    <m/>
    <n v="182"/>
    <n v="2425.1799999999998"/>
    <n v="6320"/>
  </r>
  <r>
    <s v="OPP-00946"/>
    <d v="2026-09-04T00:00:00"/>
    <x v="43"/>
    <s v="Account 0890"/>
    <s v="SaaS"/>
    <s v="Mid-Market"/>
    <x v="2"/>
    <x v="5"/>
    <s v="Inbound"/>
    <x v="4"/>
    <x v="1"/>
    <s v="Expansion"/>
    <n v="63900"/>
    <n v="0.08"/>
    <n v="0.1"/>
    <s v="Pipeline"/>
    <m/>
    <n v="26"/>
    <n v="4899.57"/>
    <n v="6390"/>
  </r>
  <r>
    <s v="OPP-00947"/>
    <d v="2026-01-24T00:00:00"/>
    <x v="227"/>
    <s v="Account 0144"/>
    <s v="EdTech"/>
    <s v="SMB"/>
    <x v="1"/>
    <x v="3"/>
    <s v="Webinar"/>
    <x v="3"/>
    <x v="5"/>
    <s v="Renewal"/>
    <n v="20100"/>
    <n v="0.10299999999999999"/>
    <n v="0.3"/>
    <s v="Pipeline"/>
    <m/>
    <n v="84"/>
    <n v="1501.95"/>
    <n v="6030"/>
  </r>
  <r>
    <s v="OPP-00948"/>
    <d v="2026-07-29T00:00:00"/>
    <x v="107"/>
    <s v="Account 0565"/>
    <s v="FinTech"/>
    <s v="Enterprise"/>
    <x v="3"/>
    <x v="5"/>
    <s v="Product-Led"/>
    <x v="0"/>
    <x v="5"/>
    <s v="New Business"/>
    <n v="206800"/>
    <n v="2.3E-2"/>
    <n v="0.4"/>
    <s v="Pipeline"/>
    <m/>
    <n v="103"/>
    <n v="16832.490000000002"/>
    <n v="82720"/>
  </r>
  <r>
    <s v="OPP-00949"/>
    <d v="2025-12-17T00:00:00"/>
    <x v="88"/>
    <s v="Account 0233"/>
    <s v="EdTech"/>
    <s v="Enterprise"/>
    <x v="4"/>
    <x v="7"/>
    <s v="Inbound"/>
    <x v="2"/>
    <x v="6"/>
    <s v="Expansion"/>
    <n v="160000"/>
    <n v="4.9000000000000002E-2"/>
    <n v="0.15"/>
    <s v="Pipeline"/>
    <m/>
    <n v="52"/>
    <n v="12675.09"/>
    <n v="24000"/>
  </r>
  <r>
    <s v="OPP-00950"/>
    <d v="2026-04-03T00:00:00"/>
    <x v="61"/>
    <s v="Account 0943"/>
    <s v="SaaS"/>
    <s v="SMB"/>
    <x v="3"/>
    <x v="6"/>
    <s v="Referral"/>
    <x v="2"/>
    <x v="6"/>
    <s v="Expansion"/>
    <n v="14900"/>
    <n v="4.4999999999999998E-2"/>
    <n v="0.2"/>
    <s v="Pipeline"/>
    <m/>
    <n v="66"/>
    <n v="1185.4000000000001"/>
    <n v="2980"/>
  </r>
  <r>
    <s v="OPP-00951"/>
    <d v="2026-02-14T00:00:00"/>
    <x v="190"/>
    <s v="Account 0221"/>
    <s v="IT Services"/>
    <s v="SMB"/>
    <x v="3"/>
    <x v="0"/>
    <s v="Partner"/>
    <x v="1"/>
    <x v="1"/>
    <s v="New Business"/>
    <n v="17900"/>
    <n v="2.9000000000000001E-2"/>
    <n v="0.1"/>
    <s v="Pipeline"/>
    <m/>
    <n v="140"/>
    <n v="1447.84"/>
    <n v="1790"/>
  </r>
  <r>
    <s v="OPP-00952"/>
    <d v="2026-02-11T00:00:00"/>
    <x v="13"/>
    <s v="Account 0570"/>
    <s v="Healthcare"/>
    <s v="SMB"/>
    <x v="0"/>
    <x v="9"/>
    <s v="Outbound"/>
    <x v="1"/>
    <x v="4"/>
    <s v="New Business"/>
    <n v="28200"/>
    <n v="0.13500000000000001"/>
    <n v="0.55000000000000004"/>
    <s v="Best Case"/>
    <m/>
    <n v="125"/>
    <n v="2033.15"/>
    <n v="15510.000000000002"/>
  </r>
  <r>
    <s v="OPP-00953"/>
    <d v="2026-03-21T00:00:00"/>
    <x v="184"/>
    <s v="Account 0299"/>
    <s v="Healthcare"/>
    <s v="Mid-Market"/>
    <x v="3"/>
    <x v="1"/>
    <s v="Partner"/>
    <x v="3"/>
    <x v="1"/>
    <s v="New Business"/>
    <n v="48300"/>
    <n v="0.247"/>
    <n v="0.05"/>
    <s v="Pipeline"/>
    <m/>
    <n v="146"/>
    <n v="3029.08"/>
    <n v="2415"/>
  </r>
  <r>
    <s v="OPP-00954"/>
    <d v="2026-02-16T00:00:00"/>
    <x v="28"/>
    <s v="Account 0291"/>
    <s v="Manufacturing"/>
    <s v="SMB"/>
    <x v="1"/>
    <x v="0"/>
    <s v="Partner"/>
    <x v="4"/>
    <x v="1"/>
    <s v="New Business"/>
    <n v="15500"/>
    <n v="0.108"/>
    <n v="0.15"/>
    <s v="Pipeline"/>
    <m/>
    <n v="140"/>
    <n v="1151.58"/>
    <n v="2325"/>
  </r>
  <r>
    <s v="OPP-00955"/>
    <d v="2026-05-21T00:00:00"/>
    <x v="157"/>
    <s v="Account 0125"/>
    <s v="Logistics"/>
    <s v="SMB"/>
    <x v="2"/>
    <x v="5"/>
    <s v="Webinar"/>
    <x v="2"/>
    <x v="2"/>
    <s v="Renewal"/>
    <n v="13700"/>
    <n v="0.17499999999999999"/>
    <n v="0.95"/>
    <s v="Closed"/>
    <m/>
    <n v="101"/>
    <n v="941.94"/>
    <n v="13015"/>
  </r>
  <r>
    <s v="OPP-00956"/>
    <d v="2026-06-19T00:00:00"/>
    <x v="27"/>
    <s v="Account 0586"/>
    <s v="Manufacturing"/>
    <s v="Mid-Market"/>
    <x v="3"/>
    <x v="2"/>
    <s v="Inbound"/>
    <x v="2"/>
    <x v="3"/>
    <s v="Expansion"/>
    <n v="37300"/>
    <n v="0.17199999999999999"/>
    <n v="0.75"/>
    <s v="Commit"/>
    <m/>
    <n v="28"/>
    <n v="2572.94"/>
    <n v="27975"/>
  </r>
  <r>
    <s v="OPP-00957"/>
    <d v="2026-08-26T00:00:00"/>
    <x v="78"/>
    <s v="Account 0773"/>
    <s v="Logistics"/>
    <s v="Mid-Market"/>
    <x v="1"/>
    <x v="4"/>
    <s v="Webinar"/>
    <x v="1"/>
    <x v="3"/>
    <s v="New Business"/>
    <n v="26800"/>
    <n v="6.7000000000000004E-2"/>
    <n v="0.8"/>
    <s v="Commit"/>
    <m/>
    <n v="69"/>
    <n v="2083.4299999999998"/>
    <n v="21440"/>
  </r>
  <r>
    <s v="OPP-00958"/>
    <d v="2026-07-03T00:00:00"/>
    <x v="169"/>
    <s v="Account 0541"/>
    <s v="FinTech"/>
    <s v="SMB"/>
    <x v="1"/>
    <x v="4"/>
    <s v="Inbound"/>
    <x v="1"/>
    <x v="4"/>
    <s v="Expansion"/>
    <n v="22800"/>
    <n v="0.122"/>
    <n v="0.55000000000000004"/>
    <s v="Best Case"/>
    <m/>
    <n v="94"/>
    <n v="1668.74"/>
    <n v="12540.000000000002"/>
  </r>
  <r>
    <s v="OPP-00959"/>
    <d v="2026-01-20T00:00:00"/>
    <x v="106"/>
    <s v="Account 0791"/>
    <s v="Manufacturing"/>
    <s v="Mid-Market"/>
    <x v="0"/>
    <x v="8"/>
    <s v="Product-Led"/>
    <x v="4"/>
    <x v="0"/>
    <s v="Renewal"/>
    <n v="91000"/>
    <n v="0.16400000000000001"/>
    <n v="0"/>
    <s v="Closed"/>
    <s v="No Decision"/>
    <n v="163"/>
    <n v="6338.16"/>
    <n v="0"/>
  </r>
  <r>
    <s v="OPP-00960"/>
    <d v="2025-12-19T00:00:00"/>
    <x v="166"/>
    <s v="Account 0737"/>
    <s v="EdTech"/>
    <s v="SMB"/>
    <x v="2"/>
    <x v="1"/>
    <s v="Referral"/>
    <x v="3"/>
    <x v="2"/>
    <s v="Expansion"/>
    <n v="25700"/>
    <n v="9.8000000000000004E-2"/>
    <n v="0.95"/>
    <s v="Closed"/>
    <m/>
    <n v="91"/>
    <n v="1931.75"/>
    <n v="24415"/>
  </r>
  <r>
    <s v="OPP-00961"/>
    <d v="2026-03-14T00:00:00"/>
    <x v="117"/>
    <s v="Account 0257"/>
    <s v="EdTech"/>
    <s v="Mid-Market"/>
    <x v="1"/>
    <x v="9"/>
    <s v="Partner"/>
    <x v="1"/>
    <x v="1"/>
    <s v="New Business"/>
    <n v="34500"/>
    <n v="0"/>
    <n v="0.1"/>
    <s v="Pipeline"/>
    <m/>
    <n v="138"/>
    <n v="2875"/>
    <n v="3450"/>
  </r>
  <r>
    <s v="OPP-00962"/>
    <d v="2026-08-27T00:00:00"/>
    <x v="21"/>
    <s v="Account 0692"/>
    <s v="EdTech"/>
    <s v="SMB"/>
    <x v="3"/>
    <x v="9"/>
    <s v="Outbound"/>
    <x v="0"/>
    <x v="6"/>
    <s v="Renewal"/>
    <n v="15400"/>
    <n v="0.109"/>
    <n v="0.2"/>
    <s v="Pipeline"/>
    <m/>
    <n v="52"/>
    <n v="1143.93"/>
    <n v="3080"/>
  </r>
  <r>
    <s v="OPP-00963"/>
    <d v="2026-06-10T00:00:00"/>
    <x v="47"/>
    <s v="Account 0861"/>
    <s v="SaaS"/>
    <s v="Mid-Market"/>
    <x v="1"/>
    <x v="4"/>
    <s v="Inbound"/>
    <x v="0"/>
    <x v="6"/>
    <s v="Renewal"/>
    <n v="71500"/>
    <n v="2.4E-2"/>
    <n v="0.2"/>
    <s v="Pipeline"/>
    <m/>
    <n v="42"/>
    <n v="5814.76"/>
    <n v="14300"/>
  </r>
  <r>
    <s v="OPP-00964"/>
    <d v="2025-10-15T00:00:00"/>
    <x v="277"/>
    <s v="Account 0333"/>
    <s v="EdTech"/>
    <s v="Enterprise"/>
    <x v="0"/>
    <x v="4"/>
    <s v="Webinar"/>
    <x v="2"/>
    <x v="2"/>
    <s v="New Business"/>
    <n v="159900"/>
    <n v="0.221"/>
    <n v="1"/>
    <s v="Closed"/>
    <m/>
    <n v="125"/>
    <n v="10378.93"/>
    <n v="159900"/>
  </r>
  <r>
    <s v="OPP-00965"/>
    <d v="2026-07-18T00:00:00"/>
    <x v="299"/>
    <s v="Account 0138"/>
    <s v="Manufacturing"/>
    <s v="SMB"/>
    <x v="3"/>
    <x v="8"/>
    <s v="Product-Led"/>
    <x v="2"/>
    <x v="5"/>
    <s v="Renewal"/>
    <n v="9600"/>
    <n v="0.16300000000000001"/>
    <n v="0.35"/>
    <s v="Pipeline"/>
    <m/>
    <n v="81"/>
    <n v="669.63"/>
    <n v="3360"/>
  </r>
  <r>
    <s v="OPP-00966"/>
    <d v="2026-04-03T00:00:00"/>
    <x v="101"/>
    <s v="Account 0016"/>
    <s v="FinTech"/>
    <s v="Mid-Market"/>
    <x v="0"/>
    <x v="10"/>
    <s v="Webinar"/>
    <x v="1"/>
    <x v="2"/>
    <s v="Renewal"/>
    <n v="87600"/>
    <n v="0.221"/>
    <n v="1"/>
    <s v="Closed"/>
    <m/>
    <n v="37"/>
    <n v="5690.29"/>
    <n v="87600"/>
  </r>
  <r>
    <s v="OPP-00967"/>
    <d v="2026-09-09T00:00:00"/>
    <x v="280"/>
    <s v="Account 0483"/>
    <s v="SaaS"/>
    <s v="Enterprise"/>
    <x v="3"/>
    <x v="10"/>
    <s v="Referral"/>
    <x v="3"/>
    <x v="4"/>
    <s v="New Business"/>
    <n v="180200"/>
    <n v="7.9000000000000001E-2"/>
    <n v="0.55000000000000004"/>
    <s v="Best Case"/>
    <m/>
    <n v="34"/>
    <n v="13830.12"/>
    <n v="99110.000000000015"/>
  </r>
  <r>
    <s v="OPP-00968"/>
    <d v="2026-07-22T00:00:00"/>
    <x v="321"/>
    <s v="Account 0038"/>
    <s v="FinTech"/>
    <s v="SMB"/>
    <x v="0"/>
    <x v="10"/>
    <s v="Referral"/>
    <x v="0"/>
    <x v="4"/>
    <s v="New Business"/>
    <n v="9400"/>
    <n v="0.09"/>
    <n v="0.5"/>
    <s v="Best Case"/>
    <m/>
    <n v="97"/>
    <n v="712.71"/>
    <n v="4700"/>
  </r>
  <r>
    <s v="OPP-00969"/>
    <d v="2026-04-04T00:00:00"/>
    <x v="29"/>
    <s v="Account 0736"/>
    <s v="Manufacturing"/>
    <s v="SMB"/>
    <x v="4"/>
    <x v="5"/>
    <s v="Product-Led"/>
    <x v="3"/>
    <x v="1"/>
    <s v="Renewal"/>
    <n v="24000"/>
    <n v="0"/>
    <n v="0.1"/>
    <s v="Pipeline"/>
    <m/>
    <n v="124"/>
    <n v="2000"/>
    <n v="2400"/>
  </r>
  <r>
    <s v="OPP-00970"/>
    <d v="2026-02-13T00:00:00"/>
    <x v="129"/>
    <s v="Account 0864"/>
    <s v="Healthcare"/>
    <s v="Enterprise"/>
    <x v="3"/>
    <x v="4"/>
    <s v="Inbound"/>
    <x v="3"/>
    <x v="5"/>
    <s v="New Business"/>
    <n v="210500"/>
    <n v="0.14099999999999999"/>
    <n v="0.35"/>
    <s v="Pipeline"/>
    <m/>
    <n v="68"/>
    <n v="15077.02"/>
    <n v="73675"/>
  </r>
  <r>
    <s v="OPP-00971"/>
    <d v="2025-10-04T00:00:00"/>
    <x v="71"/>
    <s v="Account 0509"/>
    <s v="Manufacturing"/>
    <s v="Mid-Market"/>
    <x v="2"/>
    <x v="11"/>
    <s v="Webinar"/>
    <x v="3"/>
    <x v="5"/>
    <s v="New Business"/>
    <n v="86800"/>
    <n v="0"/>
    <n v="0.35"/>
    <s v="Pipeline"/>
    <m/>
    <n v="114"/>
    <n v="7233.33"/>
    <n v="30379.999999999996"/>
  </r>
  <r>
    <s v="OPP-00972"/>
    <d v="2026-08-21T00:00:00"/>
    <x v="322"/>
    <s v="Account 0101"/>
    <s v="IT Services"/>
    <s v="SMB"/>
    <x v="2"/>
    <x v="4"/>
    <s v="Partner"/>
    <x v="4"/>
    <x v="1"/>
    <s v="Expansion"/>
    <n v="19800"/>
    <n v="0.10199999999999999"/>
    <n v="0.1"/>
    <s v="Pipeline"/>
    <m/>
    <n v="25"/>
    <n v="1482.24"/>
    <n v="1980"/>
  </r>
  <r>
    <s v="OPP-00973"/>
    <d v="2025-10-20T00:00:00"/>
    <x v="161"/>
    <s v="Account 0397"/>
    <s v="Manufacturing"/>
    <s v="Mid-Market"/>
    <x v="3"/>
    <x v="1"/>
    <s v="Inbound"/>
    <x v="2"/>
    <x v="4"/>
    <s v="New Business"/>
    <n v="89200"/>
    <n v="4.2000000000000003E-2"/>
    <n v="0.6"/>
    <s v="Best Case"/>
    <m/>
    <n v="41"/>
    <n v="7120.28"/>
    <n v="53520"/>
  </r>
  <r>
    <s v="OPP-00974"/>
    <d v="2026-07-22T00:00:00"/>
    <x v="75"/>
    <s v="Account 0127"/>
    <s v="SaaS"/>
    <s v="SMB"/>
    <x v="0"/>
    <x v="0"/>
    <s v="Product-Led"/>
    <x v="0"/>
    <x v="6"/>
    <s v="Renewal"/>
    <n v="14600"/>
    <n v="0.19600000000000001"/>
    <n v="0.2"/>
    <s v="Pipeline"/>
    <m/>
    <n v="34"/>
    <n v="978.39"/>
    <n v="2920"/>
  </r>
  <r>
    <s v="OPP-00975"/>
    <d v="2026-04-12T00:00:00"/>
    <x v="104"/>
    <s v="Account 0850"/>
    <s v="EdTech"/>
    <s v="Mid-Market"/>
    <x v="0"/>
    <x v="7"/>
    <s v="Webinar"/>
    <x v="0"/>
    <x v="3"/>
    <s v="Expansion"/>
    <n v="48700"/>
    <n v="0.161"/>
    <n v="0.75"/>
    <s v="Commit"/>
    <m/>
    <n v="145"/>
    <n v="3404.45"/>
    <n v="36525"/>
  </r>
  <r>
    <s v="OPP-00976"/>
    <d v="2026-08-05T00:00:00"/>
    <x v="257"/>
    <s v="Account 0815"/>
    <s v="SaaS"/>
    <s v="SMB"/>
    <x v="0"/>
    <x v="4"/>
    <s v="Referral"/>
    <x v="1"/>
    <x v="2"/>
    <s v="Expansion"/>
    <n v="27200"/>
    <n v="0.152"/>
    <n v="1"/>
    <s v="Closed"/>
    <m/>
    <n v="23"/>
    <n v="1922.69"/>
    <n v="27200"/>
  </r>
  <r>
    <s v="OPP-00977"/>
    <d v="2026-01-18T00:00:00"/>
    <x v="118"/>
    <s v="Account 0163"/>
    <s v="Healthcare"/>
    <s v="SMB"/>
    <x v="0"/>
    <x v="10"/>
    <s v="Referral"/>
    <x v="1"/>
    <x v="1"/>
    <s v="Renewal"/>
    <n v="16100"/>
    <n v="0.125"/>
    <n v="0.1"/>
    <s v="Pipeline"/>
    <m/>
    <n v="115"/>
    <n v="1173.48"/>
    <n v="1610"/>
  </r>
  <r>
    <s v="OPP-00978"/>
    <d v="2026-07-20T00:00:00"/>
    <x v="239"/>
    <s v="Account 0221"/>
    <s v="FinTech"/>
    <s v="Enterprise"/>
    <x v="2"/>
    <x v="7"/>
    <s v="Webinar"/>
    <x v="4"/>
    <x v="6"/>
    <s v="Expansion"/>
    <n v="127500"/>
    <n v="8.5000000000000006E-2"/>
    <n v="0.2"/>
    <s v="Pipeline"/>
    <m/>
    <n v="30"/>
    <n v="9721.14"/>
    <n v="25500"/>
  </r>
  <r>
    <s v="OPP-00979"/>
    <d v="2026-07-31T00:00:00"/>
    <x v="285"/>
    <s v="Account 0691"/>
    <s v="FinTech"/>
    <s v="Mid-Market"/>
    <x v="1"/>
    <x v="9"/>
    <s v="Outbound"/>
    <x v="4"/>
    <x v="5"/>
    <s v="New Business"/>
    <n v="81900"/>
    <n v="0.192"/>
    <n v="0.35"/>
    <s v="Pipeline"/>
    <m/>
    <n v="70"/>
    <n v="5515.44"/>
    <n v="28665"/>
  </r>
  <r>
    <s v="OPP-00980"/>
    <d v="2026-07-16T00:00:00"/>
    <x v="6"/>
    <s v="Account 0937"/>
    <s v="EdTech"/>
    <s v="Mid-Market"/>
    <x v="0"/>
    <x v="3"/>
    <s v="Webinar"/>
    <x v="4"/>
    <x v="0"/>
    <s v="Renewal"/>
    <n v="93600"/>
    <n v="3.5999999999999997E-2"/>
    <n v="0"/>
    <s v="Closed"/>
    <s v="Budget"/>
    <n v="58"/>
    <n v="7515.64"/>
    <n v="0"/>
  </r>
  <r>
    <s v="OPP-00981"/>
    <d v="2025-12-29T00:00:00"/>
    <x v="116"/>
    <s v="Account 0437"/>
    <s v="E-commerce"/>
    <s v="Mid-Market"/>
    <x v="3"/>
    <x v="10"/>
    <s v="Product-Led"/>
    <x v="0"/>
    <x v="2"/>
    <s v="New Business"/>
    <n v="64700"/>
    <n v="0.17"/>
    <n v="1"/>
    <s v="Closed"/>
    <m/>
    <n v="18"/>
    <n v="4474.16"/>
    <n v="64700"/>
  </r>
  <r>
    <s v="OPP-00982"/>
    <d v="2025-10-26T00:00:00"/>
    <x v="80"/>
    <s v="Account 0538"/>
    <s v="E-commerce"/>
    <s v="Enterprise"/>
    <x v="1"/>
    <x v="6"/>
    <s v="Outbound"/>
    <x v="2"/>
    <x v="0"/>
    <s v="Expansion"/>
    <n v="225600"/>
    <n v="0.20899999999999999"/>
    <n v="0"/>
    <s v="Closed"/>
    <s v="Security Review"/>
    <n v="23"/>
    <n v="14873.04"/>
    <n v="0"/>
  </r>
  <r>
    <s v="OPP-00983"/>
    <d v="2026-01-23T00:00:00"/>
    <x v="100"/>
    <s v="Account 0663"/>
    <s v="FinTech"/>
    <s v="Enterprise"/>
    <x v="0"/>
    <x v="9"/>
    <s v="Referral"/>
    <x v="2"/>
    <x v="0"/>
    <s v="New Business"/>
    <n v="307300"/>
    <n v="0.02"/>
    <n v="0.05"/>
    <s v="Closed"/>
    <s v="No Decision"/>
    <n v="74"/>
    <n v="25088.54"/>
    <n v="15365"/>
  </r>
  <r>
    <s v="OPP-00984"/>
    <d v="2026-01-06T00:00:00"/>
    <x v="177"/>
    <s v="Account 0580"/>
    <s v="Logistics"/>
    <s v="SMB"/>
    <x v="0"/>
    <x v="5"/>
    <s v="Webinar"/>
    <x v="0"/>
    <x v="6"/>
    <s v="New Business"/>
    <n v="7700"/>
    <n v="5.2999999999999999E-2"/>
    <n v="0.15"/>
    <s v="Pipeline"/>
    <m/>
    <n v="129"/>
    <n v="607.66"/>
    <n v="1155"/>
  </r>
  <r>
    <s v="OPP-00985"/>
    <d v="2026-09-03T00:00:00"/>
    <x v="323"/>
    <s v="Account 0198"/>
    <s v="SaaS"/>
    <s v="SMB"/>
    <x v="2"/>
    <x v="10"/>
    <s v="Product-Led"/>
    <x v="2"/>
    <x v="1"/>
    <s v="Expansion"/>
    <n v="23700"/>
    <n v="0"/>
    <n v="0.1"/>
    <s v="Pipeline"/>
    <m/>
    <n v="14"/>
    <n v="1975"/>
    <n v="2370"/>
  </r>
  <r>
    <s v="OPP-00986"/>
    <d v="2025-10-30T00:00:00"/>
    <x v="68"/>
    <s v="Account 0827"/>
    <s v="IT Services"/>
    <s v="SMB"/>
    <x v="4"/>
    <x v="3"/>
    <s v="Webinar"/>
    <x v="2"/>
    <x v="5"/>
    <s v="Expansion"/>
    <n v="15300"/>
    <n v="0.14799999999999999"/>
    <n v="0.35"/>
    <s v="Pipeline"/>
    <m/>
    <n v="64"/>
    <n v="1086.1600000000001"/>
    <n v="5355"/>
  </r>
  <r>
    <s v="OPP-00987"/>
    <d v="2026-03-27T00:00:00"/>
    <x v="8"/>
    <s v="Account 0621"/>
    <s v="E-commerce"/>
    <s v="Mid-Market"/>
    <x v="4"/>
    <x v="4"/>
    <s v="Outbound"/>
    <x v="0"/>
    <x v="0"/>
    <s v="Renewal"/>
    <n v="66600"/>
    <n v="0"/>
    <n v="0"/>
    <s v="Closed"/>
    <s v="Champion Left"/>
    <n v="121"/>
    <n v="5550"/>
    <n v="0"/>
  </r>
  <r>
    <s v="OPP-00988"/>
    <d v="2026-05-04T00:00:00"/>
    <x v="324"/>
    <s v="Account 0665"/>
    <s v="FinTech"/>
    <s v="Enterprise"/>
    <x v="2"/>
    <x v="3"/>
    <s v="Partner"/>
    <x v="2"/>
    <x v="1"/>
    <s v="New Business"/>
    <n v="208800"/>
    <n v="0.16900000000000001"/>
    <n v="0.15"/>
    <s v="Pipeline"/>
    <m/>
    <n v="70"/>
    <n v="14465.58"/>
    <n v="31320"/>
  </r>
  <r>
    <s v="OPP-00989"/>
    <d v="2026-07-05T00:00:00"/>
    <x v="183"/>
    <s v="Account 0438"/>
    <s v="Manufacturing"/>
    <s v="Mid-Market"/>
    <x v="3"/>
    <x v="5"/>
    <s v="Referral"/>
    <x v="4"/>
    <x v="1"/>
    <s v="Expansion"/>
    <n v="40100"/>
    <n v="0.20100000000000001"/>
    <n v="0.1"/>
    <s v="Pipeline"/>
    <m/>
    <n v="39"/>
    <n v="2668.76"/>
    <n v="4010"/>
  </r>
  <r>
    <s v="OPP-00990"/>
    <d v="2026-05-26T00:00:00"/>
    <x v="175"/>
    <s v="Account 0106"/>
    <s v="FinTech"/>
    <s v="Enterprise"/>
    <x v="4"/>
    <x v="8"/>
    <s v="Outbound"/>
    <x v="4"/>
    <x v="4"/>
    <s v="Expansion"/>
    <n v="345900"/>
    <n v="0.11"/>
    <n v="0.5"/>
    <s v="Best Case"/>
    <m/>
    <n v="47"/>
    <n v="25655.62"/>
    <n v="172950"/>
  </r>
  <r>
    <s v="OPP-00991"/>
    <d v="2026-07-26T00:00:00"/>
    <x v="4"/>
    <s v="Account 0159"/>
    <s v="Manufacturing"/>
    <s v="Mid-Market"/>
    <x v="1"/>
    <x v="6"/>
    <s v="Referral"/>
    <x v="2"/>
    <x v="5"/>
    <s v="Renewal"/>
    <n v="38300"/>
    <n v="0.154"/>
    <n v="0.3"/>
    <s v="Pipeline"/>
    <m/>
    <n v="85"/>
    <n v="2699.11"/>
    <n v="11490"/>
  </r>
  <r>
    <s v="OPP-00992"/>
    <d v="2026-09-06T00:00:00"/>
    <x v="6"/>
    <s v="Account 0164"/>
    <s v="SaaS"/>
    <s v="SMB"/>
    <x v="0"/>
    <x v="8"/>
    <s v="Outbound"/>
    <x v="1"/>
    <x v="0"/>
    <s v="Renewal"/>
    <n v="8400"/>
    <n v="0.193"/>
    <n v="0"/>
    <s v="Closed"/>
    <s v="Competitor"/>
    <n v="6"/>
    <n v="564.6"/>
    <n v="0"/>
  </r>
  <r>
    <s v="OPP-00993"/>
    <d v="2026-03-09T00:00:00"/>
    <x v="75"/>
    <s v="Account 0932"/>
    <s v="IT Services"/>
    <s v="SMB"/>
    <x v="2"/>
    <x v="4"/>
    <s v="Outbound"/>
    <x v="3"/>
    <x v="2"/>
    <s v="New Business"/>
    <n v="25700"/>
    <n v="0.19"/>
    <n v="1"/>
    <s v="Closed"/>
    <m/>
    <n v="169"/>
    <n v="1735.24"/>
    <n v="25700"/>
  </r>
  <r>
    <s v="OPP-00994"/>
    <d v="2026-08-19T00:00:00"/>
    <x v="81"/>
    <s v="Account 0658"/>
    <s v="FinTech"/>
    <s v="Mid-Market"/>
    <x v="3"/>
    <x v="6"/>
    <s v="Webinar"/>
    <x v="4"/>
    <x v="6"/>
    <s v="Renewal"/>
    <n v="92800"/>
    <n v="7.9000000000000001E-2"/>
    <n v="0.15"/>
    <s v="Pipeline"/>
    <m/>
    <n v="53"/>
    <n v="7123.01"/>
    <n v="13920"/>
  </r>
  <r>
    <s v="OPP-00995"/>
    <d v="2026-04-10T00:00:00"/>
    <x v="292"/>
    <s v="Account 0799"/>
    <s v="Manufacturing"/>
    <s v="SMB"/>
    <x v="1"/>
    <x v="6"/>
    <s v="Outbound"/>
    <x v="0"/>
    <x v="1"/>
    <s v="Expansion"/>
    <n v="29000"/>
    <n v="9.1999999999999998E-2"/>
    <n v="0.1"/>
    <s v="Pipeline"/>
    <m/>
    <n v="77"/>
    <n v="2194.21"/>
    <n v="2900"/>
  </r>
  <r>
    <s v="OPP-00996"/>
    <d v="2026-08-04T00:00:00"/>
    <x v="6"/>
    <s v="Account 0464"/>
    <s v="EdTech"/>
    <s v="SMB"/>
    <x v="2"/>
    <x v="10"/>
    <s v="Product-Led"/>
    <x v="3"/>
    <x v="0"/>
    <s v="Expansion"/>
    <n v="23400"/>
    <n v="7.1999999999999995E-2"/>
    <n v="0"/>
    <s v="Closed"/>
    <s v="Budget"/>
    <n v="39"/>
    <n v="1809.26"/>
    <n v="0"/>
  </r>
  <r>
    <s v="OPP-00997"/>
    <d v="2026-04-10T00:00:00"/>
    <x v="41"/>
    <s v="Account 0420"/>
    <s v="FinTech"/>
    <s v="SMB"/>
    <x v="1"/>
    <x v="10"/>
    <s v="Inbound"/>
    <x v="1"/>
    <x v="4"/>
    <s v="New Business"/>
    <n v="21400"/>
    <n v="0.14599999999999999"/>
    <n v="0.55000000000000004"/>
    <s v="Best Case"/>
    <m/>
    <n v="42"/>
    <n v="1523.84"/>
    <n v="11770.000000000002"/>
  </r>
  <r>
    <s v="OPP-00998"/>
    <d v="2025-12-30T00:00:00"/>
    <x v="174"/>
    <s v="Account 0823"/>
    <s v="E-commerce"/>
    <s v="SMB"/>
    <x v="3"/>
    <x v="1"/>
    <s v="Webinar"/>
    <x v="3"/>
    <x v="5"/>
    <s v="New Business"/>
    <n v="12000"/>
    <n v="9.1999999999999998E-2"/>
    <n v="0.35"/>
    <s v="Pipeline"/>
    <m/>
    <n v="78"/>
    <n v="907.65"/>
    <n v="4200"/>
  </r>
  <r>
    <s v="OPP-00999"/>
    <d v="2026-01-05T00:00:00"/>
    <x v="71"/>
    <s v="Account 0325"/>
    <s v="Logistics"/>
    <s v="SMB"/>
    <x v="4"/>
    <x v="3"/>
    <s v="Referral"/>
    <x v="1"/>
    <x v="2"/>
    <s v="New Business"/>
    <n v="29700"/>
    <n v="0.21299999999999999"/>
    <n v="1"/>
    <s v="Closed"/>
    <m/>
    <n v="21"/>
    <n v="1946.59"/>
    <n v="29700"/>
  </r>
  <r>
    <s v="OPP-01000"/>
    <d v="2025-11-28T00:00:00"/>
    <x v="220"/>
    <s v="Account 0637"/>
    <s v="SaaS"/>
    <s v="Mid-Market"/>
    <x v="2"/>
    <x v="5"/>
    <s v="Inbound"/>
    <x v="0"/>
    <x v="6"/>
    <s v="Renewal"/>
    <n v="43500"/>
    <n v="9.2999999999999999E-2"/>
    <n v="0.2"/>
    <s v="Pipeline"/>
    <m/>
    <n v="101"/>
    <n v="3288.57"/>
    <n v="8700"/>
  </r>
  <r>
    <s v="OPP-01001"/>
    <d v="2026-01-13T00:00:00"/>
    <x v="55"/>
    <s v="Account 0355"/>
    <s v="Healthcare"/>
    <s v="Enterprise"/>
    <x v="0"/>
    <x v="7"/>
    <s v="Outbound"/>
    <x v="0"/>
    <x v="3"/>
    <s v="Renewal"/>
    <n v="319000"/>
    <n v="0.29299999999999998"/>
    <n v="0.75"/>
    <s v="Commit"/>
    <m/>
    <n v="96"/>
    <n v="18781.400000000001"/>
    <n v="239250"/>
  </r>
  <r>
    <s v="OPP-01002"/>
    <d v="2026-04-18T00:00:00"/>
    <x v="226"/>
    <s v="Account 0593"/>
    <s v="E-commerce"/>
    <s v="SMB"/>
    <x v="3"/>
    <x v="6"/>
    <s v="Partner"/>
    <x v="4"/>
    <x v="4"/>
    <s v="Expansion"/>
    <n v="13600"/>
    <n v="0.18099999999999999"/>
    <n v="0.55000000000000004"/>
    <s v="Best Case"/>
    <m/>
    <n v="63"/>
    <n v="928.44"/>
    <n v="7480.0000000000009"/>
  </r>
  <r>
    <s v="OPP-01003"/>
    <d v="2025-11-21T00:00:00"/>
    <x v="229"/>
    <s v="Account 0228"/>
    <s v="Healthcare"/>
    <s v="SMB"/>
    <x v="0"/>
    <x v="3"/>
    <s v="Outbound"/>
    <x v="1"/>
    <x v="2"/>
    <s v="New Business"/>
    <n v="16700"/>
    <n v="6.2E-2"/>
    <n v="0.95"/>
    <s v="Closed"/>
    <m/>
    <n v="96"/>
    <n v="1305.46"/>
    <n v="15865"/>
  </r>
  <r>
    <s v="OPP-01004"/>
    <d v="2026-03-17T00:00:00"/>
    <x v="255"/>
    <s v="Account 0230"/>
    <s v="SaaS"/>
    <s v="SMB"/>
    <x v="3"/>
    <x v="0"/>
    <s v="Product-Led"/>
    <x v="4"/>
    <x v="6"/>
    <s v="Renewal"/>
    <n v="15300"/>
    <n v="8.8999999999999996E-2"/>
    <n v="0.2"/>
    <s v="Pipeline"/>
    <m/>
    <n v="92"/>
    <n v="1161.01"/>
    <n v="3060"/>
  </r>
  <r>
    <s v="OPP-01005"/>
    <d v="2026-03-08T00:00:00"/>
    <x v="87"/>
    <s v="Account 0193"/>
    <s v="Logistics"/>
    <s v="Mid-Market"/>
    <x v="1"/>
    <x v="10"/>
    <s v="Inbound"/>
    <x v="3"/>
    <x v="4"/>
    <s v="New Business"/>
    <n v="65500"/>
    <n v="8.2000000000000003E-2"/>
    <n v="0.5"/>
    <s v="Best Case"/>
    <m/>
    <n v="88"/>
    <n v="5011.6499999999996"/>
    <n v="32750"/>
  </r>
  <r>
    <s v="OPP-01006"/>
    <d v="2026-04-09T00:00:00"/>
    <x v="6"/>
    <s v="Account 0767"/>
    <s v="EdTech"/>
    <s v="SMB"/>
    <x v="0"/>
    <x v="3"/>
    <s v="Product-Led"/>
    <x v="2"/>
    <x v="2"/>
    <s v="Renewal"/>
    <n v="6000"/>
    <n v="0.109"/>
    <n v="1"/>
    <s v="Closed"/>
    <m/>
    <n v="156"/>
    <n v="445.57"/>
    <n v="6000"/>
  </r>
  <r>
    <s v="OPP-01007"/>
    <d v="2026-09-03T00:00:00"/>
    <x v="253"/>
    <s v="Account 0896"/>
    <s v="IT Services"/>
    <s v="Mid-Market"/>
    <x v="3"/>
    <x v="8"/>
    <s v="Product-Led"/>
    <x v="2"/>
    <x v="4"/>
    <s v="Expansion"/>
    <n v="96800"/>
    <n v="0.06"/>
    <n v="0.55000000000000004"/>
    <s v="Best Case"/>
    <m/>
    <n v="43"/>
    <n v="7583.28"/>
    <n v="53240.000000000007"/>
  </r>
  <r>
    <s v="OPP-01008"/>
    <d v="2026-03-21T00:00:00"/>
    <x v="50"/>
    <s v="Account 0242"/>
    <s v="SaaS"/>
    <s v="SMB"/>
    <x v="1"/>
    <x v="3"/>
    <s v="Outbound"/>
    <x v="0"/>
    <x v="2"/>
    <s v="Expansion"/>
    <n v="25800"/>
    <n v="0.124"/>
    <n v="1"/>
    <s v="Closed"/>
    <m/>
    <n v="166"/>
    <n v="1883.07"/>
    <n v="25800"/>
  </r>
  <r>
    <s v="OPP-01009"/>
    <d v="2026-04-06T00:00:00"/>
    <x v="47"/>
    <s v="Account 0404"/>
    <s v="SaaS"/>
    <s v="Mid-Market"/>
    <x v="2"/>
    <x v="6"/>
    <s v="Referral"/>
    <x v="1"/>
    <x v="6"/>
    <s v="New Business"/>
    <n v="79900"/>
    <n v="0.17100000000000001"/>
    <n v="0.2"/>
    <s v="Pipeline"/>
    <m/>
    <n v="107"/>
    <n v="5519.3"/>
    <n v="15980"/>
  </r>
  <r>
    <s v="OPP-01010"/>
    <d v="2026-01-25T00:00:00"/>
    <x v="59"/>
    <s v="Account 0773"/>
    <s v="Healthcare"/>
    <s v="SMB"/>
    <x v="2"/>
    <x v="4"/>
    <s v="Webinar"/>
    <x v="4"/>
    <x v="4"/>
    <s v="Renewal"/>
    <n v="19500"/>
    <n v="5.0999999999999997E-2"/>
    <n v="0.55000000000000004"/>
    <s v="Best Case"/>
    <m/>
    <n v="44"/>
    <n v="1541.63"/>
    <n v="10725"/>
  </r>
  <r>
    <s v="OPP-01011"/>
    <d v="2026-02-14T00:00:00"/>
    <x v="318"/>
    <s v="Account 0391"/>
    <s v="EdTech"/>
    <s v="Enterprise"/>
    <x v="4"/>
    <x v="2"/>
    <s v="Referral"/>
    <x v="0"/>
    <x v="4"/>
    <s v="New Business"/>
    <n v="228000"/>
    <n v="5.8999999999999997E-2"/>
    <n v="0.55000000000000004"/>
    <s v="Best Case"/>
    <m/>
    <n v="107"/>
    <n v="17875.439999999999"/>
    <n v="125400.00000000001"/>
  </r>
  <r>
    <s v="OPP-01012"/>
    <d v="2026-04-08T00:00:00"/>
    <x v="33"/>
    <s v="Account 0543"/>
    <s v="Logistics"/>
    <s v="Mid-Market"/>
    <x v="3"/>
    <x v="4"/>
    <s v="Referral"/>
    <x v="1"/>
    <x v="5"/>
    <s v="New Business"/>
    <n v="28800"/>
    <n v="8.1000000000000003E-2"/>
    <n v="0.35"/>
    <s v="Pipeline"/>
    <m/>
    <n v="126"/>
    <n v="2206.5100000000002"/>
    <n v="10080"/>
  </r>
  <r>
    <s v="OPP-01013"/>
    <d v="2025-12-01T00:00:00"/>
    <x v="124"/>
    <s v="Account 0669"/>
    <s v="Manufacturing"/>
    <s v="Enterprise"/>
    <x v="4"/>
    <x v="5"/>
    <s v="Referral"/>
    <x v="3"/>
    <x v="1"/>
    <s v="New Business"/>
    <n v="220500"/>
    <n v="0.09"/>
    <n v="0.15"/>
    <s v="Pipeline"/>
    <m/>
    <n v="94"/>
    <n v="16714.080000000002"/>
    <n v="33075"/>
  </r>
  <r>
    <s v="OPP-01014"/>
    <d v="2026-05-09T00:00:00"/>
    <x v="70"/>
    <s v="Account 0559"/>
    <s v="Logistics"/>
    <s v="SMB"/>
    <x v="0"/>
    <x v="1"/>
    <s v="Product-Led"/>
    <x v="3"/>
    <x v="4"/>
    <s v="New Business"/>
    <n v="18500"/>
    <n v="4.9000000000000002E-2"/>
    <n v="0.5"/>
    <s v="Best Case"/>
    <m/>
    <n v="152"/>
    <n v="1466.44"/>
    <n v="9250"/>
  </r>
  <r>
    <s v="OPP-01015"/>
    <d v="2025-12-15T00:00:00"/>
    <x v="272"/>
    <s v="Account 0830"/>
    <s v="FinTech"/>
    <s v="Mid-Market"/>
    <x v="3"/>
    <x v="9"/>
    <s v="Partner"/>
    <x v="4"/>
    <x v="5"/>
    <s v="New Business"/>
    <n v="66200"/>
    <n v="8.3000000000000004E-2"/>
    <n v="0.35"/>
    <s v="Pipeline"/>
    <m/>
    <n v="47"/>
    <n v="5059.21"/>
    <n v="23170"/>
  </r>
  <r>
    <s v="OPP-01016"/>
    <d v="2026-06-13T00:00:00"/>
    <x v="273"/>
    <s v="Account 0762"/>
    <s v="FinTech"/>
    <s v="SMB"/>
    <x v="1"/>
    <x v="10"/>
    <s v="Outbound"/>
    <x v="2"/>
    <x v="4"/>
    <s v="Expansion"/>
    <n v="20500"/>
    <n v="0.126"/>
    <n v="0.55000000000000004"/>
    <s v="Best Case"/>
    <m/>
    <n v="107"/>
    <n v="1492.9"/>
    <n v="11275.000000000002"/>
  </r>
  <r>
    <s v="OPP-01017"/>
    <d v="2025-11-28T00:00:00"/>
    <x v="325"/>
    <s v="Account 0778"/>
    <s v="Healthcare"/>
    <s v="Enterprise"/>
    <x v="1"/>
    <x v="0"/>
    <s v="Product-Led"/>
    <x v="3"/>
    <x v="5"/>
    <s v="Expansion"/>
    <n v="111800"/>
    <n v="0.158"/>
    <n v="0.35"/>
    <s v="Pipeline"/>
    <m/>
    <n v="107"/>
    <n v="7843.55"/>
    <n v="39130"/>
  </r>
  <r>
    <s v="OPP-01018"/>
    <d v="2026-08-28T00:00:00"/>
    <x v="70"/>
    <s v="Account 0321"/>
    <s v="E-commerce"/>
    <s v="SMB"/>
    <x v="0"/>
    <x v="6"/>
    <s v="Inbound"/>
    <x v="4"/>
    <x v="3"/>
    <s v="Expansion"/>
    <n v="15800"/>
    <n v="0.29599999999999999"/>
    <n v="0.75"/>
    <s v="Commit"/>
    <m/>
    <n v="41"/>
    <n v="926.3"/>
    <n v="11850"/>
  </r>
  <r>
    <s v="OPP-01019"/>
    <d v="2025-11-03T00:00:00"/>
    <x v="211"/>
    <s v="Account 0031"/>
    <s v="FinTech"/>
    <s v="SMB"/>
    <x v="3"/>
    <x v="4"/>
    <s v="Product-Led"/>
    <x v="2"/>
    <x v="1"/>
    <s v="Expansion"/>
    <n v="25400"/>
    <n v="0.188"/>
    <n v="0.1"/>
    <s v="Pipeline"/>
    <m/>
    <n v="140"/>
    <n v="1719.54"/>
    <n v="2540"/>
  </r>
  <r>
    <s v="OPP-01020"/>
    <d v="2026-06-05T00:00:00"/>
    <x v="326"/>
    <s v="Account 0170"/>
    <s v="Logistics"/>
    <s v="Enterprise"/>
    <x v="2"/>
    <x v="10"/>
    <s v="Inbound"/>
    <x v="1"/>
    <x v="5"/>
    <s v="Renewal"/>
    <n v="303900"/>
    <n v="0.114"/>
    <n v="0.3"/>
    <s v="Pipeline"/>
    <m/>
    <n v="28"/>
    <n v="22443.87"/>
    <n v="91170"/>
  </r>
  <r>
    <s v="OPP-01021"/>
    <d v="2026-07-24T00:00:00"/>
    <x v="327"/>
    <s v="Account 0238"/>
    <s v="Manufacturing"/>
    <s v="Enterprise"/>
    <x v="2"/>
    <x v="2"/>
    <s v="Webinar"/>
    <x v="3"/>
    <x v="5"/>
    <s v="Expansion"/>
    <n v="233600"/>
    <n v="3.5999999999999997E-2"/>
    <n v="0.3"/>
    <s v="Pipeline"/>
    <m/>
    <n v="45"/>
    <n v="18774.95"/>
    <n v="70080"/>
  </r>
  <r>
    <s v="OPP-01022"/>
    <d v="2026-05-11T00:00:00"/>
    <x v="20"/>
    <s v="Account 0663"/>
    <s v="Manufacturing"/>
    <s v="SMB"/>
    <x v="3"/>
    <x v="1"/>
    <s v="Inbound"/>
    <x v="1"/>
    <x v="5"/>
    <s v="Expansion"/>
    <n v="11100"/>
    <n v="0.13200000000000001"/>
    <n v="0.35"/>
    <s v="Pipeline"/>
    <m/>
    <n v="112"/>
    <n v="802.67"/>
    <n v="3884.9999999999995"/>
  </r>
  <r>
    <s v="OPP-01023"/>
    <d v="2026-02-18T00:00:00"/>
    <x v="28"/>
    <s v="Account 0175"/>
    <s v="Healthcare"/>
    <s v="Mid-Market"/>
    <x v="0"/>
    <x v="9"/>
    <s v="Partner"/>
    <x v="1"/>
    <x v="1"/>
    <s v="Expansion"/>
    <n v="31100"/>
    <n v="0.17499999999999999"/>
    <n v="0.1"/>
    <s v="Pipeline"/>
    <m/>
    <n v="138"/>
    <n v="2138.56"/>
    <n v="3110"/>
  </r>
  <r>
    <s v="OPP-01024"/>
    <d v="2026-04-11T00:00:00"/>
    <x v="207"/>
    <s v="Account 0546"/>
    <s v="Healthcare"/>
    <s v="Enterprise"/>
    <x v="1"/>
    <x v="4"/>
    <s v="Webinar"/>
    <x v="0"/>
    <x v="2"/>
    <s v="New Business"/>
    <n v="240400"/>
    <n v="3.4000000000000002E-2"/>
    <n v="1"/>
    <s v="Closed"/>
    <m/>
    <n v="46"/>
    <n v="19360.53"/>
    <n v="240400"/>
  </r>
  <r>
    <s v="OPP-01025"/>
    <d v="2026-06-18T00:00:00"/>
    <x v="6"/>
    <s v="Account 0081"/>
    <s v="Manufacturing"/>
    <s v="SMB"/>
    <x v="2"/>
    <x v="5"/>
    <s v="Inbound"/>
    <x v="0"/>
    <x v="0"/>
    <s v="Expansion"/>
    <n v="13400"/>
    <n v="3.1E-2"/>
    <n v="0"/>
    <s v="Closed"/>
    <s v="Competitor"/>
    <n v="86"/>
    <n v="1082.07"/>
    <n v="0"/>
  </r>
  <r>
    <s v="OPP-01026"/>
    <d v="2025-10-10T00:00:00"/>
    <x v="153"/>
    <s v="Account 0502"/>
    <s v="Healthcare"/>
    <s v="Mid-Market"/>
    <x v="4"/>
    <x v="11"/>
    <s v="Referral"/>
    <x v="1"/>
    <x v="4"/>
    <s v="Renewal"/>
    <n v="83300"/>
    <n v="0"/>
    <n v="0.55000000000000004"/>
    <s v="Best Case"/>
    <m/>
    <n v="42"/>
    <n v="6941.67"/>
    <n v="45815.000000000007"/>
  </r>
  <r>
    <s v="OPP-01027"/>
    <d v="2026-08-09T00:00:00"/>
    <x v="127"/>
    <s v="Account 0234"/>
    <s v="Healthcare"/>
    <s v="Mid-Market"/>
    <x v="4"/>
    <x v="2"/>
    <s v="Referral"/>
    <x v="1"/>
    <x v="6"/>
    <s v="Renewal"/>
    <n v="59800"/>
    <n v="0.184"/>
    <n v="0.2"/>
    <s v="Pipeline"/>
    <m/>
    <n v="58"/>
    <n v="4065.92"/>
    <n v="11960"/>
  </r>
  <r>
    <s v="OPP-01028"/>
    <d v="2026-08-04T00:00:00"/>
    <x v="6"/>
    <s v="Account 0308"/>
    <s v="EdTech"/>
    <s v="Mid-Market"/>
    <x v="2"/>
    <x v="9"/>
    <s v="Referral"/>
    <x v="3"/>
    <x v="2"/>
    <s v="Expansion"/>
    <n v="36400"/>
    <n v="0.11799999999999999"/>
    <n v="0.95"/>
    <s v="Closed"/>
    <m/>
    <n v="39"/>
    <n v="2675.94"/>
    <n v="34580"/>
  </r>
  <r>
    <s v="OPP-01029"/>
    <d v="2026-03-12T00:00:00"/>
    <x v="163"/>
    <s v="Account 0713"/>
    <s v="E-commerce"/>
    <s v="Enterprise"/>
    <x v="1"/>
    <x v="9"/>
    <s v="Partner"/>
    <x v="0"/>
    <x v="6"/>
    <s v="Expansion"/>
    <n v="246700"/>
    <n v="0"/>
    <n v="0.2"/>
    <s v="Pipeline"/>
    <m/>
    <n v="28"/>
    <n v="20558.330000000002"/>
    <n v="49340"/>
  </r>
  <r>
    <s v="OPP-01030"/>
    <d v="2025-11-05T00:00:00"/>
    <x v="142"/>
    <s v="Account 0421"/>
    <s v="Healthcare"/>
    <s v="Enterprise"/>
    <x v="4"/>
    <x v="8"/>
    <s v="Product-Led"/>
    <x v="1"/>
    <x v="2"/>
    <s v="Renewal"/>
    <n v="81400"/>
    <n v="0.157"/>
    <n v="1"/>
    <s v="Closed"/>
    <m/>
    <n v="100"/>
    <n v="5720.02"/>
    <n v="81400"/>
  </r>
  <r>
    <s v="OPP-01031"/>
    <d v="2025-12-17T00:00:00"/>
    <x v="198"/>
    <s v="Account 0258"/>
    <s v="Healthcare"/>
    <s v="SMB"/>
    <x v="2"/>
    <x v="8"/>
    <s v="Outbound"/>
    <x v="0"/>
    <x v="4"/>
    <s v="New Business"/>
    <n v="15000"/>
    <n v="0.152"/>
    <n v="0.55000000000000004"/>
    <s v="Best Case"/>
    <m/>
    <n v="109"/>
    <n v="1060.6199999999999"/>
    <n v="8250"/>
  </r>
  <r>
    <s v="OPP-01032"/>
    <d v="2025-11-25T00:00:00"/>
    <x v="328"/>
    <s v="Account 0801"/>
    <s v="Healthcare"/>
    <s v="Enterprise"/>
    <x v="3"/>
    <x v="7"/>
    <s v="Product-Led"/>
    <x v="4"/>
    <x v="2"/>
    <s v="New Business"/>
    <n v="150600"/>
    <n v="0.19800000000000001"/>
    <n v="1"/>
    <s v="Closed"/>
    <m/>
    <n v="20"/>
    <n v="10068.69"/>
    <n v="150600"/>
  </r>
  <r>
    <s v="OPP-01033"/>
    <d v="2026-08-09T00:00:00"/>
    <x v="203"/>
    <s v="Account 0091"/>
    <s v="Manufacturing"/>
    <s v="SMB"/>
    <x v="4"/>
    <x v="1"/>
    <s v="Webinar"/>
    <x v="2"/>
    <x v="6"/>
    <s v="Expansion"/>
    <n v="23800"/>
    <n v="0.153"/>
    <n v="0.2"/>
    <s v="Pipeline"/>
    <m/>
    <n v="81"/>
    <n v="1679.51"/>
    <n v="4760"/>
  </r>
  <r>
    <s v="OPP-01034"/>
    <d v="2026-03-14T00:00:00"/>
    <x v="23"/>
    <s v="Account 0643"/>
    <s v="E-commerce"/>
    <s v="SMB"/>
    <x v="4"/>
    <x v="0"/>
    <s v="Referral"/>
    <x v="1"/>
    <x v="5"/>
    <s v="New Business"/>
    <n v="28700"/>
    <n v="8.2000000000000003E-2"/>
    <n v="0.3"/>
    <s v="Pipeline"/>
    <m/>
    <n v="70"/>
    <n v="2195.37"/>
    <n v="8610"/>
  </r>
  <r>
    <s v="OPP-01035"/>
    <d v="2026-01-22T00:00:00"/>
    <x v="1"/>
    <s v="Account 0681"/>
    <s v="FinTech"/>
    <s v="Mid-Market"/>
    <x v="0"/>
    <x v="7"/>
    <s v="Inbound"/>
    <x v="2"/>
    <x v="2"/>
    <s v="Expansion"/>
    <n v="88100"/>
    <n v="7.8E-2"/>
    <n v="1"/>
    <s v="Closed"/>
    <m/>
    <n v="43"/>
    <n v="6767.58"/>
    <n v="88100"/>
  </r>
  <r>
    <s v="OPP-01036"/>
    <d v="2026-01-07T00:00:00"/>
    <x v="120"/>
    <s v="Account 0849"/>
    <s v="Logistics"/>
    <s v="Mid-Market"/>
    <x v="3"/>
    <x v="2"/>
    <s v="Product-Led"/>
    <x v="4"/>
    <x v="5"/>
    <s v="New Business"/>
    <n v="29000"/>
    <n v="0.11899999999999999"/>
    <n v="0.35"/>
    <s v="Pipeline"/>
    <m/>
    <n v="118"/>
    <n v="2127.98"/>
    <n v="10150"/>
  </r>
  <r>
    <s v="OPP-01037"/>
    <d v="2026-04-10T00:00:00"/>
    <x v="49"/>
    <s v="Account 0133"/>
    <s v="FinTech"/>
    <s v="Enterprise"/>
    <x v="4"/>
    <x v="8"/>
    <s v="Outbound"/>
    <x v="2"/>
    <x v="3"/>
    <s v="Renewal"/>
    <n v="274100"/>
    <n v="0.16400000000000001"/>
    <n v="0.8"/>
    <s v="Commit"/>
    <m/>
    <n v="91"/>
    <n v="19102.689999999999"/>
    <n v="219280"/>
  </r>
  <r>
    <s v="OPP-01038"/>
    <d v="2026-03-24T00:00:00"/>
    <x v="57"/>
    <s v="Account 0317"/>
    <s v="Healthcare"/>
    <s v="SMB"/>
    <x v="1"/>
    <x v="6"/>
    <s v="Outbound"/>
    <x v="3"/>
    <x v="2"/>
    <s v="Expansion"/>
    <n v="21700"/>
    <n v="7.0999999999999994E-2"/>
    <n v="1"/>
    <s v="Closed"/>
    <m/>
    <n v="28"/>
    <n v="1680.66"/>
    <n v="21700"/>
  </r>
  <r>
    <s v="OPP-01039"/>
    <d v="2026-03-24T00:00:00"/>
    <x v="64"/>
    <s v="Account 0496"/>
    <s v="FinTech"/>
    <s v="SMB"/>
    <x v="2"/>
    <x v="8"/>
    <s v="Referral"/>
    <x v="3"/>
    <x v="4"/>
    <s v="Expansion"/>
    <n v="12300"/>
    <n v="0"/>
    <n v="0.6"/>
    <s v="Best Case"/>
    <m/>
    <n v="77"/>
    <n v="1025"/>
    <n v="7380"/>
  </r>
  <r>
    <s v="OPP-01040"/>
    <d v="2025-11-18T00:00:00"/>
    <x v="2"/>
    <s v="Account 0794"/>
    <s v="Healthcare"/>
    <s v="Mid-Market"/>
    <x v="1"/>
    <x v="2"/>
    <s v="Outbound"/>
    <x v="0"/>
    <x v="3"/>
    <s v="Expansion"/>
    <n v="39500"/>
    <n v="0.16300000000000001"/>
    <n v="0.75"/>
    <s v="Commit"/>
    <m/>
    <n v="126"/>
    <n v="2756.11"/>
    <n v="29625"/>
  </r>
  <r>
    <s v="OPP-01041"/>
    <d v="2026-05-22T00:00:00"/>
    <x v="278"/>
    <s v="Account 0740"/>
    <s v="Logistics"/>
    <s v="SMB"/>
    <x v="3"/>
    <x v="5"/>
    <s v="Outbound"/>
    <x v="3"/>
    <x v="6"/>
    <s v="Expansion"/>
    <n v="12700"/>
    <n v="0.107"/>
    <n v="0.2"/>
    <s v="Pipeline"/>
    <m/>
    <n v="28"/>
    <n v="944.75"/>
    <n v="2540"/>
  </r>
  <r>
    <s v="OPP-01042"/>
    <d v="2026-07-19T00:00:00"/>
    <x v="20"/>
    <s v="Account 0017"/>
    <s v="SaaS"/>
    <s v="Enterprise"/>
    <x v="4"/>
    <x v="6"/>
    <s v="Inbound"/>
    <x v="3"/>
    <x v="2"/>
    <s v="Renewal"/>
    <n v="271800"/>
    <n v="0.17699999999999999"/>
    <n v="1"/>
    <s v="Closed"/>
    <m/>
    <n v="43"/>
    <n v="18649.55"/>
    <n v="271800"/>
  </r>
  <r>
    <s v="OPP-01043"/>
    <d v="2026-03-17T00:00:00"/>
    <x v="32"/>
    <s v="Account 0665"/>
    <s v="E-commerce"/>
    <s v="Mid-Market"/>
    <x v="2"/>
    <x v="6"/>
    <s v="Outbound"/>
    <x v="4"/>
    <x v="1"/>
    <s v="New Business"/>
    <n v="55600"/>
    <n v="6.3E-2"/>
    <n v="0.1"/>
    <s v="Pipeline"/>
    <m/>
    <n v="120"/>
    <n v="4342.41"/>
    <n v="5560"/>
  </r>
  <r>
    <s v="OPP-01044"/>
    <d v="2026-02-12T00:00:00"/>
    <x v="49"/>
    <s v="Account 0066"/>
    <s v="EdTech"/>
    <s v="Mid-Market"/>
    <x v="0"/>
    <x v="5"/>
    <s v="Product-Led"/>
    <x v="3"/>
    <x v="4"/>
    <s v="Renewal"/>
    <n v="51900"/>
    <n v="0.114"/>
    <n v="0.55000000000000004"/>
    <s v="Best Case"/>
    <m/>
    <n v="148"/>
    <n v="3831.88"/>
    <n v="28545.000000000004"/>
  </r>
  <r>
    <s v="OPP-01045"/>
    <d v="2026-01-10T00:00:00"/>
    <x v="229"/>
    <s v="Account 0480"/>
    <s v="FinTech"/>
    <s v="Mid-Market"/>
    <x v="3"/>
    <x v="1"/>
    <s v="Inbound"/>
    <x v="0"/>
    <x v="0"/>
    <s v="New Business"/>
    <n v="45400"/>
    <n v="9.5000000000000001E-2"/>
    <n v="0"/>
    <s v="Closed"/>
    <s v="Timing"/>
    <n v="46"/>
    <n v="3425.31"/>
    <n v="0"/>
  </r>
  <r>
    <s v="OPP-01046"/>
    <d v="2026-06-28T00:00:00"/>
    <x v="135"/>
    <s v="Account 0174"/>
    <s v="EdTech"/>
    <s v="Mid-Market"/>
    <x v="3"/>
    <x v="3"/>
    <s v="Inbound"/>
    <x v="4"/>
    <x v="5"/>
    <s v="New Business"/>
    <n v="82600"/>
    <n v="0.14199999999999999"/>
    <n v="0.35"/>
    <s v="Pipeline"/>
    <m/>
    <n v="118"/>
    <n v="5903.93"/>
    <n v="28909.999999999996"/>
  </r>
  <r>
    <s v="OPP-01047"/>
    <d v="2026-04-30T00:00:00"/>
    <x v="249"/>
    <s v="Account 0194"/>
    <s v="Healthcare"/>
    <s v="SMB"/>
    <x v="4"/>
    <x v="11"/>
    <s v="Referral"/>
    <x v="3"/>
    <x v="3"/>
    <s v="Renewal"/>
    <n v="16200"/>
    <n v="8.7999999999999995E-2"/>
    <n v="0.75"/>
    <s v="Commit"/>
    <m/>
    <n v="61"/>
    <n v="1231.1199999999999"/>
    <n v="12150"/>
  </r>
  <r>
    <s v="OPP-01048"/>
    <d v="2026-04-11T00:00:00"/>
    <x v="69"/>
    <s v="Account 0565"/>
    <s v="E-commerce"/>
    <s v="SMB"/>
    <x v="1"/>
    <x v="4"/>
    <s v="Referral"/>
    <x v="3"/>
    <x v="3"/>
    <s v="Renewal"/>
    <n v="18500"/>
    <n v="7.0999999999999994E-2"/>
    <n v="0.75"/>
    <s v="Commit"/>
    <m/>
    <n v="68"/>
    <n v="1431.68"/>
    <n v="13875"/>
  </r>
  <r>
    <s v="OPP-01049"/>
    <d v="2026-03-18T00:00:00"/>
    <x v="98"/>
    <s v="Account 0208"/>
    <s v="Manufacturing"/>
    <s v="SMB"/>
    <x v="4"/>
    <x v="4"/>
    <s v="Partner"/>
    <x v="0"/>
    <x v="1"/>
    <s v="New Business"/>
    <n v="12600"/>
    <n v="0.10299999999999999"/>
    <n v="0.05"/>
    <s v="Pipeline"/>
    <m/>
    <n v="101"/>
    <n v="942.36"/>
    <n v="630"/>
  </r>
  <r>
    <s v="OPP-01050"/>
    <d v="2025-11-04T00:00:00"/>
    <x v="137"/>
    <s v="Account 0476"/>
    <s v="Logistics"/>
    <s v="SMB"/>
    <x v="1"/>
    <x v="1"/>
    <s v="Inbound"/>
    <x v="1"/>
    <x v="2"/>
    <s v="New Business"/>
    <n v="6400"/>
    <n v="0.14000000000000001"/>
    <n v="0.95"/>
    <s v="Closed"/>
    <m/>
    <n v="137"/>
    <n v="458.48"/>
    <n v="6080"/>
  </r>
  <r>
    <s v="OPP-01051"/>
    <d v="2026-01-07T00:00:00"/>
    <x v="329"/>
    <s v="Account 0598"/>
    <s v="FinTech"/>
    <s v="SMB"/>
    <x v="4"/>
    <x v="10"/>
    <s v="Inbound"/>
    <x v="4"/>
    <x v="0"/>
    <s v="New Business"/>
    <n v="28500"/>
    <n v="8.5999999999999993E-2"/>
    <n v="0"/>
    <s v="Closed"/>
    <s v="No Decision"/>
    <n v="130"/>
    <n v="2170.2600000000002"/>
    <n v="0"/>
  </r>
  <r>
    <s v="OPP-01052"/>
    <d v="2025-10-30T00:00:00"/>
    <x v="116"/>
    <s v="Account 0794"/>
    <s v="IT Services"/>
    <s v="Mid-Market"/>
    <x v="0"/>
    <x v="7"/>
    <s v="Outbound"/>
    <x v="0"/>
    <x v="6"/>
    <s v="Renewal"/>
    <n v="96300"/>
    <n v="0.14899999999999999"/>
    <n v="0.15"/>
    <s v="Pipeline"/>
    <m/>
    <n v="78"/>
    <n v="6826"/>
    <n v="14445"/>
  </r>
  <r>
    <s v="OPP-01053"/>
    <d v="2026-05-31T00:00:00"/>
    <x v="273"/>
    <s v="Account 0429"/>
    <s v="IT Services"/>
    <s v="SMB"/>
    <x v="3"/>
    <x v="2"/>
    <s v="Inbound"/>
    <x v="2"/>
    <x v="5"/>
    <s v="Expansion"/>
    <n v="29300"/>
    <n v="0.156"/>
    <n v="0.3"/>
    <s v="Pipeline"/>
    <m/>
    <n v="120"/>
    <n v="2060.19"/>
    <n v="8790"/>
  </r>
  <r>
    <s v="OPP-01054"/>
    <d v="2025-11-25T00:00:00"/>
    <x v="313"/>
    <s v="Account 0240"/>
    <s v="Logistics"/>
    <s v="Enterprise"/>
    <x v="2"/>
    <x v="9"/>
    <s v="Outbound"/>
    <x v="0"/>
    <x v="4"/>
    <s v="Renewal"/>
    <n v="107400"/>
    <n v="0.11"/>
    <n v="0.6"/>
    <s v="Best Case"/>
    <m/>
    <n v="86"/>
    <n v="7963.69"/>
    <n v="64440"/>
  </r>
  <r>
    <s v="OPP-01055"/>
    <d v="2026-04-27T00:00:00"/>
    <x v="226"/>
    <s v="Account 0362"/>
    <s v="Manufacturing"/>
    <s v="Mid-Market"/>
    <x v="2"/>
    <x v="7"/>
    <s v="Partner"/>
    <x v="0"/>
    <x v="4"/>
    <s v="Renewal"/>
    <n v="49500"/>
    <n v="0.16500000000000001"/>
    <n v="0.6"/>
    <s v="Best Case"/>
    <m/>
    <n v="54"/>
    <n v="3444.52"/>
    <n v="29700"/>
  </r>
  <r>
    <s v="OPP-01056"/>
    <d v="2026-05-02T00:00:00"/>
    <x v="103"/>
    <s v="Account 0165"/>
    <s v="Manufacturing"/>
    <s v="SMB"/>
    <x v="2"/>
    <x v="9"/>
    <s v="Outbound"/>
    <x v="1"/>
    <x v="0"/>
    <s v="Expansion"/>
    <n v="14300"/>
    <n v="1.2E-2"/>
    <n v="0"/>
    <s v="Closed"/>
    <s v="Timing"/>
    <n v="87"/>
    <n v="1177.82"/>
    <n v="0"/>
  </r>
  <r>
    <s v="OPP-01057"/>
    <d v="2025-11-04T00:00:00"/>
    <x v="145"/>
    <s v="Account 0510"/>
    <s v="EdTech"/>
    <s v="SMB"/>
    <x v="2"/>
    <x v="2"/>
    <s v="Partner"/>
    <x v="2"/>
    <x v="5"/>
    <s v="Expansion"/>
    <n v="15800"/>
    <n v="0"/>
    <n v="0.35"/>
    <s v="Pipeline"/>
    <m/>
    <n v="150"/>
    <n v="1316.67"/>
    <n v="5530"/>
  </r>
  <r>
    <s v="OPP-01058"/>
    <d v="2026-02-26T00:00:00"/>
    <x v="171"/>
    <s v="Account 0686"/>
    <s v="E-commerce"/>
    <s v="SMB"/>
    <x v="1"/>
    <x v="6"/>
    <s v="Webinar"/>
    <x v="4"/>
    <x v="0"/>
    <s v="Renewal"/>
    <n v="16900"/>
    <n v="0.122"/>
    <n v="0"/>
    <s v="Closed"/>
    <s v="No Decision"/>
    <n v="44"/>
    <n v="1237.07"/>
    <n v="0"/>
  </r>
  <r>
    <s v="OPP-01059"/>
    <d v="2026-08-21T00:00:00"/>
    <x v="156"/>
    <s v="Account 0484"/>
    <s v="Healthcare"/>
    <s v="SMB"/>
    <x v="0"/>
    <x v="9"/>
    <s v="Webinar"/>
    <x v="3"/>
    <x v="4"/>
    <s v="Expansion"/>
    <n v="10400"/>
    <n v="0.14099999999999999"/>
    <n v="0.55000000000000004"/>
    <s v="Best Case"/>
    <m/>
    <n v="43"/>
    <n v="744.63"/>
    <n v="5720.0000000000009"/>
  </r>
  <r>
    <s v="OPP-01060"/>
    <d v="2025-11-07T00:00:00"/>
    <x v="144"/>
    <s v="Account 0583"/>
    <s v="FinTech"/>
    <s v="SMB"/>
    <x v="4"/>
    <x v="11"/>
    <s v="Partner"/>
    <x v="4"/>
    <x v="2"/>
    <s v="Renewal"/>
    <n v="27000"/>
    <n v="0.17899999999999999"/>
    <n v="0.95"/>
    <s v="Closed"/>
    <m/>
    <n v="46"/>
    <n v="1848"/>
    <n v="25650"/>
  </r>
  <r>
    <s v="OPP-01061"/>
    <d v="2025-12-15T00:00:00"/>
    <x v="101"/>
    <s v="Account 0371"/>
    <s v="E-commerce"/>
    <s v="SMB"/>
    <x v="1"/>
    <x v="10"/>
    <s v="Partner"/>
    <x v="3"/>
    <x v="5"/>
    <s v="Expansion"/>
    <n v="23300"/>
    <n v="0.13800000000000001"/>
    <n v="0.35"/>
    <s v="Pipeline"/>
    <m/>
    <n v="146"/>
    <n v="1674.59"/>
    <n v="8154.9999999999991"/>
  </r>
  <r>
    <s v="OPP-01062"/>
    <d v="2026-03-05T00:00:00"/>
    <x v="61"/>
    <s v="Account 0426"/>
    <s v="SaaS"/>
    <s v="SMB"/>
    <x v="0"/>
    <x v="0"/>
    <s v="Inbound"/>
    <x v="4"/>
    <x v="5"/>
    <s v="Renewal"/>
    <n v="18300"/>
    <n v="4.4999999999999998E-2"/>
    <n v="0.35"/>
    <s v="Pipeline"/>
    <m/>
    <n v="95"/>
    <n v="1456.51"/>
    <n v="6405"/>
  </r>
  <r>
    <s v="OPP-01063"/>
    <d v="2026-05-13T00:00:00"/>
    <x v="18"/>
    <s v="Account 0647"/>
    <s v="EdTech"/>
    <s v="SMB"/>
    <x v="1"/>
    <x v="11"/>
    <s v="Inbound"/>
    <x v="4"/>
    <x v="1"/>
    <s v="Expansion"/>
    <n v="17000"/>
    <n v="8.6999999999999994E-2"/>
    <n v="0.15"/>
    <s v="Pipeline"/>
    <m/>
    <n v="82"/>
    <n v="1293.1099999999999"/>
    <n v="2550"/>
  </r>
  <r>
    <s v="OPP-01064"/>
    <d v="2026-07-24T00:00:00"/>
    <x v="246"/>
    <s v="Account 0726"/>
    <s v="IT Services"/>
    <s v="Enterprise"/>
    <x v="0"/>
    <x v="0"/>
    <s v="Webinar"/>
    <x v="2"/>
    <x v="3"/>
    <s v="Expansion"/>
    <n v="181600"/>
    <n v="0.121"/>
    <n v="0.75"/>
    <s v="Commit"/>
    <m/>
    <n v="29"/>
    <n v="13307.28"/>
    <n v="136200"/>
  </r>
  <r>
    <s v="OPP-01065"/>
    <d v="2025-12-11T00:00:00"/>
    <x v="214"/>
    <s v="Account 0944"/>
    <s v="SaaS"/>
    <s v="Mid-Market"/>
    <x v="3"/>
    <x v="1"/>
    <s v="Outbound"/>
    <x v="2"/>
    <x v="1"/>
    <s v="New Business"/>
    <n v="44400"/>
    <n v="7.2999999999999995E-2"/>
    <n v="0.1"/>
    <s v="Pipeline"/>
    <m/>
    <n v="59"/>
    <n v="3428.75"/>
    <n v="4440"/>
  </r>
  <r>
    <s v="OPP-01066"/>
    <d v="2026-09-04T00:00:00"/>
    <x v="6"/>
    <s v="Account 0740"/>
    <s v="IT Services"/>
    <s v="SMB"/>
    <x v="4"/>
    <x v="3"/>
    <s v="Webinar"/>
    <x v="2"/>
    <x v="2"/>
    <s v="New Business"/>
    <n v="27600"/>
    <n v="0.1"/>
    <n v="1"/>
    <s v="Closed"/>
    <m/>
    <n v="8"/>
    <n v="2069.67"/>
    <n v="27600"/>
  </r>
  <r>
    <s v="OPP-01067"/>
    <d v="2025-10-21T00:00:00"/>
    <x v="62"/>
    <s v="Account 0555"/>
    <s v="IT Services"/>
    <s v="SMB"/>
    <x v="2"/>
    <x v="9"/>
    <s v="Referral"/>
    <x v="3"/>
    <x v="5"/>
    <s v="Renewal"/>
    <n v="23400"/>
    <n v="0.10299999999999999"/>
    <n v="0.4"/>
    <s v="Pipeline"/>
    <m/>
    <n v="104"/>
    <n v="1749.37"/>
    <n v="9360"/>
  </r>
  <r>
    <s v="OPP-01068"/>
    <d v="2025-12-27T00:00:00"/>
    <x v="63"/>
    <s v="Account 0752"/>
    <s v="IT Services"/>
    <s v="SMB"/>
    <x v="4"/>
    <x v="0"/>
    <s v="Outbound"/>
    <x v="2"/>
    <x v="0"/>
    <s v="Expansion"/>
    <n v="25500"/>
    <n v="0.16400000000000001"/>
    <n v="0.05"/>
    <s v="Closed"/>
    <s v="No Decision"/>
    <n v="55"/>
    <n v="1775.97"/>
    <n v="1275"/>
  </r>
  <r>
    <s v="OPP-01069"/>
    <d v="2025-11-25T00:00:00"/>
    <x v="230"/>
    <s v="Account 0092"/>
    <s v="IT Services"/>
    <s v="SMB"/>
    <x v="0"/>
    <x v="9"/>
    <s v="Webinar"/>
    <x v="1"/>
    <x v="5"/>
    <s v="Expansion"/>
    <n v="10700"/>
    <n v="8.8999999999999996E-2"/>
    <n v="0.35"/>
    <s v="Pipeline"/>
    <m/>
    <n v="44"/>
    <n v="812.11"/>
    <n v="3744.9999999999995"/>
  </r>
  <r>
    <s v="OPP-01070"/>
    <d v="2026-09-08T00:00:00"/>
    <x v="259"/>
    <s v="Account 0751"/>
    <s v="Healthcare"/>
    <s v="Enterprise"/>
    <x v="1"/>
    <x v="5"/>
    <s v="Product-Led"/>
    <x v="2"/>
    <x v="1"/>
    <s v="Expansion"/>
    <n v="153600"/>
    <n v="8.9999999999999993E-3"/>
    <n v="0.1"/>
    <s v="Pipeline"/>
    <m/>
    <n v="64"/>
    <n v="12687.21"/>
    <n v="15360"/>
  </r>
  <r>
    <s v="OPP-01071"/>
    <d v="2026-01-13T00:00:00"/>
    <x v="95"/>
    <s v="Account 0846"/>
    <s v="Logistics"/>
    <s v="Mid-Market"/>
    <x v="1"/>
    <x v="8"/>
    <s v="Inbound"/>
    <x v="4"/>
    <x v="6"/>
    <s v="Renewal"/>
    <n v="92600"/>
    <n v="3.4000000000000002E-2"/>
    <n v="0.2"/>
    <s v="Pipeline"/>
    <m/>
    <n v="65"/>
    <n v="7452.37"/>
    <n v="18520"/>
  </r>
  <r>
    <s v="OPP-01072"/>
    <d v="2026-05-27T00:00:00"/>
    <x v="31"/>
    <s v="Account 0320"/>
    <s v="SaaS"/>
    <s v="Enterprise"/>
    <x v="1"/>
    <x v="1"/>
    <s v="Partner"/>
    <x v="4"/>
    <x v="4"/>
    <s v="Renewal"/>
    <n v="245200"/>
    <n v="0.128"/>
    <n v="0.55000000000000004"/>
    <s v="Best Case"/>
    <m/>
    <n v="63"/>
    <n v="17824.14"/>
    <n v="134860"/>
  </r>
  <r>
    <s v="OPP-01073"/>
    <d v="2026-03-02T00:00:00"/>
    <x v="38"/>
    <s v="Account 0783"/>
    <s v="Healthcare"/>
    <s v="Mid-Market"/>
    <x v="3"/>
    <x v="1"/>
    <s v="Referral"/>
    <x v="1"/>
    <x v="3"/>
    <s v="Renewal"/>
    <n v="40800"/>
    <n v="0.11600000000000001"/>
    <n v="0.7"/>
    <s v="Commit"/>
    <m/>
    <n v="65"/>
    <n v="3005.95"/>
    <n v="28560"/>
  </r>
  <r>
    <s v="OPP-01074"/>
    <d v="2026-01-04T00:00:00"/>
    <x v="229"/>
    <s v="Account 0567"/>
    <s v="EdTech"/>
    <s v="Mid-Market"/>
    <x v="4"/>
    <x v="2"/>
    <s v="Inbound"/>
    <x v="0"/>
    <x v="2"/>
    <s v="Expansion"/>
    <n v="26800"/>
    <n v="9.0999999999999998E-2"/>
    <n v="1"/>
    <s v="Closed"/>
    <m/>
    <n v="52"/>
    <n v="2030.73"/>
    <n v="26800"/>
  </r>
  <r>
    <s v="OPP-01075"/>
    <d v="2026-08-28T00:00:00"/>
    <x v="6"/>
    <s v="Account 0264"/>
    <s v="IT Services"/>
    <s v="SMB"/>
    <x v="1"/>
    <x v="7"/>
    <s v="Inbound"/>
    <x v="2"/>
    <x v="0"/>
    <s v="Expansion"/>
    <n v="18000"/>
    <n v="0.20399999999999999"/>
    <n v="0.05"/>
    <s v="Closed"/>
    <s v="Poor Fit"/>
    <n v="15"/>
    <n v="1193.93"/>
    <n v="900"/>
  </r>
  <r>
    <s v="OPP-01076"/>
    <d v="2025-10-07T00:00:00"/>
    <x v="221"/>
    <s v="Account 0738"/>
    <s v="EdTech"/>
    <s v="SMB"/>
    <x v="2"/>
    <x v="6"/>
    <s v="Webinar"/>
    <x v="4"/>
    <x v="4"/>
    <s v="Renewal"/>
    <n v="25300"/>
    <n v="0.108"/>
    <n v="0.55000000000000004"/>
    <s v="Best Case"/>
    <m/>
    <n v="64"/>
    <n v="1881.56"/>
    <n v="13915.000000000002"/>
  </r>
  <r>
    <s v="OPP-01077"/>
    <d v="2026-02-13T00:00:00"/>
    <x v="34"/>
    <s v="Account 0364"/>
    <s v="Manufacturing"/>
    <s v="Mid-Market"/>
    <x v="0"/>
    <x v="8"/>
    <s v="Product-Led"/>
    <x v="2"/>
    <x v="4"/>
    <s v="Renewal"/>
    <n v="30500"/>
    <n v="0.13200000000000001"/>
    <n v="0.55000000000000004"/>
    <s v="Best Case"/>
    <m/>
    <n v="142"/>
    <n v="2205.91"/>
    <n v="16775"/>
  </r>
  <r>
    <s v="OPP-01078"/>
    <d v="2026-01-22T00:00:00"/>
    <x v="189"/>
    <s v="Account 0523"/>
    <s v="E-commerce"/>
    <s v="Mid-Market"/>
    <x v="0"/>
    <x v="2"/>
    <s v="Webinar"/>
    <x v="2"/>
    <x v="3"/>
    <s v="New Business"/>
    <n v="36400"/>
    <n v="9.2999999999999999E-2"/>
    <n v="0.8"/>
    <s v="Commit"/>
    <m/>
    <n v="40"/>
    <n v="2750.58"/>
    <n v="29120"/>
  </r>
  <r>
    <s v="OPP-01079"/>
    <d v="2026-08-21T00:00:00"/>
    <x v="323"/>
    <s v="Account 0444"/>
    <s v="Healthcare"/>
    <s v="Mid-Market"/>
    <x v="4"/>
    <x v="0"/>
    <s v="Webinar"/>
    <x v="1"/>
    <x v="1"/>
    <s v="Renewal"/>
    <n v="55000"/>
    <n v="5.6000000000000001E-2"/>
    <n v="0.1"/>
    <s v="Pipeline"/>
    <m/>
    <n v="27"/>
    <n v="4326.71"/>
    <n v="5500"/>
  </r>
  <r>
    <s v="OPP-01080"/>
    <d v="2026-08-02T00:00:00"/>
    <x v="141"/>
    <s v="Account 0872"/>
    <s v="SaaS"/>
    <s v="Enterprise"/>
    <x v="0"/>
    <x v="8"/>
    <s v="Webinar"/>
    <x v="0"/>
    <x v="6"/>
    <s v="Renewal"/>
    <n v="267000"/>
    <n v="8.8999999999999996E-2"/>
    <n v="0.15"/>
    <s v="Pipeline"/>
    <m/>
    <n v="30"/>
    <n v="20270.77"/>
    <n v="40050"/>
  </r>
  <r>
    <s v="OPP-01081"/>
    <d v="2025-10-24T00:00:00"/>
    <x v="330"/>
    <s v="Account 0468"/>
    <s v="Healthcare"/>
    <s v="SMB"/>
    <x v="1"/>
    <x v="0"/>
    <s v="Webinar"/>
    <x v="0"/>
    <x v="2"/>
    <s v="Renewal"/>
    <n v="30000"/>
    <n v="0.13700000000000001"/>
    <n v="0.95"/>
    <s v="Closed"/>
    <m/>
    <n v="27"/>
    <n v="2157.58"/>
    <n v="28500"/>
  </r>
  <r>
    <s v="OPP-01082"/>
    <d v="2026-03-31T00:00:00"/>
    <x v="6"/>
    <s v="Account 0136"/>
    <s v="Manufacturing"/>
    <s v="SMB"/>
    <x v="4"/>
    <x v="4"/>
    <s v="Outbound"/>
    <x v="2"/>
    <x v="0"/>
    <s v="Expansion"/>
    <n v="16700"/>
    <n v="0.104"/>
    <n v="0"/>
    <s v="Closed"/>
    <s v="Poor Fit"/>
    <n v="165"/>
    <n v="1247"/>
    <n v="0"/>
  </r>
  <r>
    <s v="OPP-01083"/>
    <d v="2026-04-25T00:00:00"/>
    <x v="6"/>
    <s v="Account 0336"/>
    <s v="Healthcare"/>
    <s v="SMB"/>
    <x v="3"/>
    <x v="0"/>
    <s v="Outbound"/>
    <x v="4"/>
    <x v="2"/>
    <s v="Expansion"/>
    <n v="11700"/>
    <n v="8.7999999999999995E-2"/>
    <n v="1"/>
    <s v="Closed"/>
    <m/>
    <n v="140"/>
    <n v="889.34"/>
    <n v="11700"/>
  </r>
  <r>
    <s v="OPP-01084"/>
    <d v="2026-04-04T00:00:00"/>
    <x v="292"/>
    <s v="Account 0045"/>
    <s v="FinTech"/>
    <s v="SMB"/>
    <x v="3"/>
    <x v="11"/>
    <s v="Product-Led"/>
    <x v="1"/>
    <x v="4"/>
    <s v="Expansion"/>
    <n v="21000"/>
    <n v="0.11600000000000001"/>
    <n v="0.55000000000000004"/>
    <s v="Best Case"/>
    <m/>
    <n v="83"/>
    <n v="1547.07"/>
    <n v="11550.000000000002"/>
  </r>
  <r>
    <s v="OPP-01085"/>
    <d v="2025-11-14T00:00:00"/>
    <x v="174"/>
    <s v="Account 0588"/>
    <s v="Healthcare"/>
    <s v="Mid-Market"/>
    <x v="4"/>
    <x v="5"/>
    <s v="Inbound"/>
    <x v="3"/>
    <x v="0"/>
    <s v="Expansion"/>
    <n v="35900"/>
    <n v="2.1999999999999999E-2"/>
    <n v="0"/>
    <s v="Closed"/>
    <s v="Budget"/>
    <n v="124"/>
    <n v="2925.15"/>
    <n v="0"/>
  </r>
  <r>
    <s v="OPP-01086"/>
    <d v="2026-09-01T00:00:00"/>
    <x v="288"/>
    <s v="Account 0215"/>
    <s v="Healthcare"/>
    <s v="SMB"/>
    <x v="0"/>
    <x v="2"/>
    <s v="Inbound"/>
    <x v="1"/>
    <x v="4"/>
    <s v="Expansion"/>
    <n v="10500"/>
    <n v="0.26400000000000001"/>
    <n v="0.6"/>
    <s v="Best Case"/>
    <m/>
    <n v="33"/>
    <n v="643.88"/>
    <n v="6300"/>
  </r>
  <r>
    <s v="OPP-01087"/>
    <d v="2026-07-24T00:00:00"/>
    <x v="6"/>
    <s v="Account 0333"/>
    <s v="Healthcare"/>
    <s v="SMB"/>
    <x v="4"/>
    <x v="4"/>
    <s v="Webinar"/>
    <x v="4"/>
    <x v="2"/>
    <s v="New Business"/>
    <n v="6200"/>
    <n v="0.224"/>
    <n v="1"/>
    <s v="Closed"/>
    <m/>
    <n v="50"/>
    <n v="401.19"/>
    <n v="6200"/>
  </r>
  <r>
    <s v="OPP-01088"/>
    <d v="2025-11-18T00:00:00"/>
    <x v="230"/>
    <s v="Account 0067"/>
    <s v="Manufacturing"/>
    <s v="Mid-Market"/>
    <x v="0"/>
    <x v="8"/>
    <s v="Referral"/>
    <x v="2"/>
    <x v="4"/>
    <s v="Renewal"/>
    <n v="68000"/>
    <n v="0.13200000000000001"/>
    <n v="0.55000000000000004"/>
    <s v="Best Case"/>
    <m/>
    <n v="51"/>
    <n v="4921.12"/>
    <n v="37400"/>
  </r>
  <r>
    <s v="OPP-01089"/>
    <d v="2026-02-21T00:00:00"/>
    <x v="243"/>
    <s v="Account 0894"/>
    <s v="IT Services"/>
    <s v="Mid-Market"/>
    <x v="3"/>
    <x v="9"/>
    <s v="Partner"/>
    <x v="4"/>
    <x v="6"/>
    <s v="New Business"/>
    <n v="88300"/>
    <n v="8.5000000000000006E-2"/>
    <n v="0.2"/>
    <s v="Pipeline"/>
    <m/>
    <n v="124"/>
    <n v="6730.52"/>
    <n v="17660"/>
  </r>
  <r>
    <s v="OPP-01090"/>
    <d v="2026-04-01T00:00:00"/>
    <x v="5"/>
    <s v="Account 0018"/>
    <s v="EdTech"/>
    <s v="Enterprise"/>
    <x v="3"/>
    <x v="8"/>
    <s v="Outbound"/>
    <x v="3"/>
    <x v="1"/>
    <s v="New Business"/>
    <n v="126100"/>
    <n v="6.0999999999999999E-2"/>
    <n v="0.1"/>
    <s v="Pipeline"/>
    <m/>
    <n v="108"/>
    <n v="9867.11"/>
    <n v="12610"/>
  </r>
  <r>
    <s v="OPP-01091"/>
    <d v="2026-02-15T00:00:00"/>
    <x v="284"/>
    <s v="Account 0942"/>
    <s v="IT Services"/>
    <s v="Enterprise"/>
    <x v="2"/>
    <x v="1"/>
    <s v="Partner"/>
    <x v="2"/>
    <x v="6"/>
    <s v="Expansion"/>
    <n v="248600"/>
    <n v="0.16800000000000001"/>
    <n v="0.2"/>
    <s v="Pipeline"/>
    <m/>
    <n v="57"/>
    <n v="17245.57"/>
    <n v="49720"/>
  </r>
  <r>
    <s v="OPP-01092"/>
    <d v="2025-10-19T00:00:00"/>
    <x v="331"/>
    <s v="Account 0671"/>
    <s v="Healthcare"/>
    <s v="SMB"/>
    <x v="0"/>
    <x v="1"/>
    <s v="Partner"/>
    <x v="3"/>
    <x v="2"/>
    <s v="Renewal"/>
    <n v="16100"/>
    <n v="1.2999999999999999E-2"/>
    <n v="0.95"/>
    <s v="Closed"/>
    <m/>
    <n v="97"/>
    <n v="1323.98"/>
    <n v="15295"/>
  </r>
  <r>
    <s v="OPP-01093"/>
    <d v="2026-01-25T00:00:00"/>
    <x v="167"/>
    <s v="Account 0278"/>
    <s v="SaaS"/>
    <s v="Enterprise"/>
    <x v="3"/>
    <x v="0"/>
    <s v="Inbound"/>
    <x v="0"/>
    <x v="1"/>
    <s v="New Business"/>
    <n v="197600"/>
    <n v="0.124"/>
    <n v="0.15"/>
    <s v="Pipeline"/>
    <m/>
    <n v="66"/>
    <n v="14418.56"/>
    <n v="29640"/>
  </r>
  <r>
    <s v="OPP-01094"/>
    <d v="2026-01-13T00:00:00"/>
    <x v="69"/>
    <s v="Account 0937"/>
    <s v="Healthcare"/>
    <s v="Mid-Market"/>
    <x v="4"/>
    <x v="1"/>
    <s v="Webinar"/>
    <x v="4"/>
    <x v="0"/>
    <s v="New Business"/>
    <n v="54900"/>
    <n v="3.5000000000000003E-2"/>
    <n v="0"/>
    <s v="Closed"/>
    <s v="Competitor"/>
    <n v="156"/>
    <n v="4413.57"/>
    <n v="0"/>
  </r>
  <r>
    <s v="OPP-01095"/>
    <d v="2026-03-22T00:00:00"/>
    <x v="238"/>
    <s v="Account 0501"/>
    <s v="EdTech"/>
    <s v="SMB"/>
    <x v="0"/>
    <x v="8"/>
    <s v="Product-Led"/>
    <x v="4"/>
    <x v="1"/>
    <s v="Renewal"/>
    <n v="18900"/>
    <n v="0.128"/>
    <n v="0.1"/>
    <s v="Pipeline"/>
    <m/>
    <n v="57"/>
    <n v="1372.99"/>
    <n v="1890"/>
  </r>
  <r>
    <s v="OPP-01096"/>
    <d v="2025-11-07T00:00:00"/>
    <x v="213"/>
    <s v="Account 0300"/>
    <s v="EdTech"/>
    <s v="Mid-Market"/>
    <x v="4"/>
    <x v="4"/>
    <s v="Referral"/>
    <x v="0"/>
    <x v="2"/>
    <s v="Expansion"/>
    <n v="42100"/>
    <n v="0.216"/>
    <n v="1"/>
    <s v="Closed"/>
    <m/>
    <n v="95"/>
    <n v="2749.13"/>
    <n v="42100"/>
  </r>
  <r>
    <s v="OPP-01097"/>
    <d v="2025-10-14T00:00:00"/>
    <x v="19"/>
    <s v="Account 0112"/>
    <s v="Healthcare"/>
    <s v="SMB"/>
    <x v="1"/>
    <x v="10"/>
    <s v="Partner"/>
    <x v="1"/>
    <x v="5"/>
    <s v="Expansion"/>
    <n v="19900"/>
    <n v="8.4000000000000005E-2"/>
    <n v="0.35"/>
    <s v="Pipeline"/>
    <m/>
    <n v="89"/>
    <n v="1518.86"/>
    <n v="6965"/>
  </r>
  <r>
    <s v="OPP-01098"/>
    <d v="2026-08-16T00:00:00"/>
    <x v="332"/>
    <s v="Account 0881"/>
    <s v="EdTech"/>
    <s v="SMB"/>
    <x v="2"/>
    <x v="8"/>
    <s v="Product-Led"/>
    <x v="1"/>
    <x v="1"/>
    <s v="Renewal"/>
    <n v="24000"/>
    <n v="0.1"/>
    <n v="0.1"/>
    <s v="Pipeline"/>
    <m/>
    <n v="38"/>
    <n v="1799.57"/>
    <n v="2400"/>
  </r>
  <r>
    <s v="OPP-01099"/>
    <d v="2026-03-11T00:00:00"/>
    <x v="41"/>
    <s v="Account 0760"/>
    <s v="FinTech"/>
    <s v="SMB"/>
    <x v="1"/>
    <x v="8"/>
    <s v="Product-Led"/>
    <x v="2"/>
    <x v="1"/>
    <s v="Expansion"/>
    <n v="6800"/>
    <n v="0.13500000000000001"/>
    <n v="0.1"/>
    <s v="Pipeline"/>
    <m/>
    <n v="72"/>
    <n v="490.42"/>
    <n v="680"/>
  </r>
  <r>
    <s v="OPP-01100"/>
    <d v="2025-11-22T00:00:00"/>
    <x v="228"/>
    <s v="Account 0402"/>
    <s v="Logistics"/>
    <s v="SMB"/>
    <x v="2"/>
    <x v="9"/>
    <s v="Referral"/>
    <x v="1"/>
    <x v="1"/>
    <s v="Renewal"/>
    <n v="7300"/>
    <n v="0.16300000000000001"/>
    <n v="0.1"/>
    <s v="Pipeline"/>
    <m/>
    <n v="29"/>
    <n v="509.31"/>
    <n v="730"/>
  </r>
  <r>
    <s v="OPP-01101"/>
    <d v="2026-06-26T00:00:00"/>
    <x v="274"/>
    <s v="Account 0519"/>
    <s v="EdTech"/>
    <s v="Mid-Market"/>
    <x v="3"/>
    <x v="8"/>
    <s v="Outbound"/>
    <x v="2"/>
    <x v="3"/>
    <s v="Expansion"/>
    <n v="53900"/>
    <n v="9.9000000000000005E-2"/>
    <n v="0.75"/>
    <s v="Commit"/>
    <m/>
    <n v="62"/>
    <n v="4048.62"/>
    <n v="40425"/>
  </r>
  <r>
    <s v="OPP-01102"/>
    <d v="2026-06-12T00:00:00"/>
    <x v="201"/>
    <s v="Account 0844"/>
    <s v="Healthcare"/>
    <s v="Enterprise"/>
    <x v="2"/>
    <x v="4"/>
    <s v="Inbound"/>
    <x v="3"/>
    <x v="4"/>
    <s v="Expansion"/>
    <n v="314300"/>
    <n v="3.1E-2"/>
    <n v="0.55000000000000004"/>
    <s v="Best Case"/>
    <m/>
    <n v="57"/>
    <n v="25370.35"/>
    <n v="172865"/>
  </r>
  <r>
    <s v="OPP-01103"/>
    <d v="2025-11-17T00:00:00"/>
    <x v="333"/>
    <s v="Account 0372"/>
    <s v="Logistics"/>
    <s v="SMB"/>
    <x v="1"/>
    <x v="9"/>
    <s v="Outbound"/>
    <x v="1"/>
    <x v="1"/>
    <s v="Renewal"/>
    <n v="22200"/>
    <n v="5.1999999999999998E-2"/>
    <n v="0.15"/>
    <s v="Pipeline"/>
    <m/>
    <n v="53"/>
    <n v="1754.31"/>
    <n v="3330"/>
  </r>
  <r>
    <s v="OPP-01104"/>
    <d v="2026-04-07T00:00:00"/>
    <x v="232"/>
    <s v="Account 0032"/>
    <s v="Logistics"/>
    <s v="Mid-Market"/>
    <x v="3"/>
    <x v="0"/>
    <s v="Outbound"/>
    <x v="2"/>
    <x v="4"/>
    <s v="Expansion"/>
    <n v="27600"/>
    <n v="8.7999999999999995E-2"/>
    <n v="0.55000000000000004"/>
    <s v="Best Case"/>
    <m/>
    <n v="115"/>
    <n v="2098.6"/>
    <n v="15180.000000000002"/>
  </r>
  <r>
    <s v="OPP-01105"/>
    <d v="2026-07-21T00:00:00"/>
    <x v="46"/>
    <s v="Account 0634"/>
    <s v="E-commerce"/>
    <s v="Enterprise"/>
    <x v="3"/>
    <x v="8"/>
    <s v="Inbound"/>
    <x v="2"/>
    <x v="4"/>
    <s v="Expansion"/>
    <n v="248400"/>
    <n v="0.109"/>
    <n v="0.5"/>
    <s v="Best Case"/>
    <m/>
    <n v="68"/>
    <n v="18449.07"/>
    <n v="124200"/>
  </r>
  <r>
    <s v="OPP-01106"/>
    <d v="2025-10-25T00:00:00"/>
    <x v="137"/>
    <s v="Account 0432"/>
    <s v="EdTech"/>
    <s v="Enterprise"/>
    <x v="1"/>
    <x v="11"/>
    <s v="Partner"/>
    <x v="0"/>
    <x v="2"/>
    <s v="Expansion"/>
    <n v="170800"/>
    <n v="0.157"/>
    <n v="1"/>
    <s v="Closed"/>
    <m/>
    <n v="147"/>
    <n v="11999.63"/>
    <n v="170800"/>
  </r>
  <r>
    <s v="OPP-01107"/>
    <d v="2026-04-28T00:00:00"/>
    <x v="67"/>
    <s v="Account 0119"/>
    <s v="Logistics"/>
    <s v="SMB"/>
    <x v="2"/>
    <x v="6"/>
    <s v="Outbound"/>
    <x v="2"/>
    <x v="1"/>
    <s v="Renewal"/>
    <n v="23500"/>
    <n v="0.18099999999999999"/>
    <n v="0.1"/>
    <s v="Pipeline"/>
    <m/>
    <n v="26"/>
    <n v="1604.43"/>
    <n v="2350"/>
  </r>
  <r>
    <s v="OPP-01108"/>
    <d v="2026-04-21T00:00:00"/>
    <x v="252"/>
    <s v="Account 0465"/>
    <s v="Healthcare"/>
    <s v="SMB"/>
    <x v="0"/>
    <x v="1"/>
    <s v="Product-Led"/>
    <x v="0"/>
    <x v="6"/>
    <s v="New Business"/>
    <n v="28700"/>
    <n v="0"/>
    <n v="0.25"/>
    <s v="Pipeline"/>
    <m/>
    <n v="194"/>
    <n v="2391.67"/>
    <n v="7175"/>
  </r>
  <r>
    <s v="OPP-01109"/>
    <d v="2026-02-21T00:00:00"/>
    <x v="207"/>
    <s v="Account 0141"/>
    <s v="IT Services"/>
    <s v="Mid-Market"/>
    <x v="2"/>
    <x v="7"/>
    <s v="Inbound"/>
    <x v="4"/>
    <x v="5"/>
    <s v="Renewal"/>
    <n v="79000"/>
    <n v="0.159"/>
    <n v="0.35"/>
    <s v="Pipeline"/>
    <m/>
    <n v="95"/>
    <n v="5534.62"/>
    <n v="27650"/>
  </r>
  <r>
    <s v="OPP-01110"/>
    <d v="2025-12-05T00:00:00"/>
    <x v="1"/>
    <s v="Account 0050"/>
    <s v="Manufacturing"/>
    <s v="Mid-Market"/>
    <x v="2"/>
    <x v="1"/>
    <s v="Product-Led"/>
    <x v="4"/>
    <x v="5"/>
    <s v="New Business"/>
    <n v="96800"/>
    <n v="8.9999999999999993E-3"/>
    <n v="0.4"/>
    <s v="Pipeline"/>
    <m/>
    <n v="91"/>
    <n v="7990.15"/>
    <n v="38720"/>
  </r>
  <r>
    <s v="OPP-01111"/>
    <d v="2025-12-18T00:00:00"/>
    <x v="319"/>
    <s v="Account 0517"/>
    <s v="FinTech"/>
    <s v="SMB"/>
    <x v="1"/>
    <x v="8"/>
    <s v="Partner"/>
    <x v="0"/>
    <x v="3"/>
    <s v="Renewal"/>
    <n v="13800"/>
    <n v="9.6000000000000002E-2"/>
    <n v="0.8"/>
    <s v="Commit"/>
    <m/>
    <n v="131"/>
    <n v="1039.0899999999999"/>
    <n v="11040"/>
  </r>
  <r>
    <s v="OPP-01112"/>
    <d v="2025-10-30T00:00:00"/>
    <x v="161"/>
    <s v="Account 0233"/>
    <s v="IT Services"/>
    <s v="SMB"/>
    <x v="2"/>
    <x v="2"/>
    <s v="Inbound"/>
    <x v="3"/>
    <x v="4"/>
    <s v="New Business"/>
    <n v="23600"/>
    <n v="5.7000000000000002E-2"/>
    <n v="0.5"/>
    <s v="Best Case"/>
    <m/>
    <n v="31"/>
    <n v="1855.06"/>
    <n v="11800"/>
  </r>
  <r>
    <s v="OPP-01113"/>
    <d v="2025-12-10T00:00:00"/>
    <x v="205"/>
    <s v="Account 0936"/>
    <s v="EdTech"/>
    <s v="SMB"/>
    <x v="3"/>
    <x v="7"/>
    <s v="Inbound"/>
    <x v="3"/>
    <x v="2"/>
    <s v="Expansion"/>
    <n v="28000"/>
    <n v="0.14099999999999999"/>
    <n v="1"/>
    <s v="Closed"/>
    <m/>
    <n v="162"/>
    <n v="2004.25"/>
    <n v="28000"/>
  </r>
  <r>
    <s v="OPP-01114"/>
    <d v="2026-06-19T00:00:00"/>
    <x v="6"/>
    <s v="Account 0230"/>
    <s v="Healthcare"/>
    <s v="SMB"/>
    <x v="3"/>
    <x v="2"/>
    <s v="Webinar"/>
    <x v="0"/>
    <x v="2"/>
    <s v="Expansion"/>
    <n v="19800"/>
    <n v="0.154"/>
    <n v="1"/>
    <s v="Closed"/>
    <m/>
    <n v="85"/>
    <n v="1396.63"/>
    <n v="19800"/>
  </r>
  <r>
    <s v="OPP-01115"/>
    <d v="2026-02-21T00:00:00"/>
    <x v="238"/>
    <s v="Account 0367"/>
    <s v="Manufacturing"/>
    <s v="Mid-Market"/>
    <x v="4"/>
    <x v="6"/>
    <s v="Outbound"/>
    <x v="1"/>
    <x v="4"/>
    <s v="Renewal"/>
    <n v="84800"/>
    <n v="0.13500000000000001"/>
    <n v="0.55000000000000004"/>
    <s v="Best Case"/>
    <m/>
    <n v="86"/>
    <n v="6109.18"/>
    <n v="46640.000000000007"/>
  </r>
  <r>
    <s v="OPP-01116"/>
    <d v="2026-07-07T00:00:00"/>
    <x v="73"/>
    <s v="Account 0660"/>
    <s v="IT Services"/>
    <s v="Mid-Market"/>
    <x v="2"/>
    <x v="5"/>
    <s v="Webinar"/>
    <x v="0"/>
    <x v="3"/>
    <s v="Expansion"/>
    <n v="69000"/>
    <n v="6.9000000000000006E-2"/>
    <n v="0.7"/>
    <s v="Commit"/>
    <m/>
    <n v="87"/>
    <n v="5354.98"/>
    <n v="48300"/>
  </r>
  <r>
    <s v="OPP-01117"/>
    <d v="2026-09-11T00:00:00"/>
    <x v="6"/>
    <s v="Account 0841"/>
    <s v="Healthcare"/>
    <s v="SMB"/>
    <x v="4"/>
    <x v="0"/>
    <s v="Partner"/>
    <x v="2"/>
    <x v="0"/>
    <s v="Expansion"/>
    <n v="18800"/>
    <n v="0.16700000000000001"/>
    <n v="0"/>
    <s v="Closed"/>
    <s v="Budget"/>
    <n v="1"/>
    <n v="1304.94"/>
    <n v="0"/>
  </r>
  <r>
    <s v="OPP-01118"/>
    <d v="2025-12-12T00:00:00"/>
    <x v="307"/>
    <s v="Account 0211"/>
    <s v="Healthcare"/>
    <s v="SMB"/>
    <x v="4"/>
    <x v="10"/>
    <s v="Webinar"/>
    <x v="4"/>
    <x v="4"/>
    <s v="Renewal"/>
    <n v="17100"/>
    <n v="0.12"/>
    <n v="0.6"/>
    <s v="Best Case"/>
    <m/>
    <n v="66"/>
    <n v="1253.5899999999999"/>
    <n v="10260"/>
  </r>
  <r>
    <s v="OPP-01119"/>
    <d v="2026-03-05T00:00:00"/>
    <x v="56"/>
    <s v="Account 0570"/>
    <s v="SaaS"/>
    <s v="SMB"/>
    <x v="3"/>
    <x v="0"/>
    <s v="Webinar"/>
    <x v="0"/>
    <x v="2"/>
    <s v="New Business"/>
    <n v="23200"/>
    <n v="7.6999999999999999E-2"/>
    <n v="1"/>
    <s v="Closed"/>
    <m/>
    <n v="125"/>
    <n v="1784.74"/>
    <n v="23200"/>
  </r>
  <r>
    <s v="OPP-01120"/>
    <d v="2026-01-14T00:00:00"/>
    <x v="256"/>
    <s v="Account 0704"/>
    <s v="FinTech"/>
    <s v="Mid-Market"/>
    <x v="2"/>
    <x v="4"/>
    <s v="Product-Led"/>
    <x v="0"/>
    <x v="1"/>
    <s v="Renewal"/>
    <n v="50200"/>
    <n v="6.6000000000000003E-2"/>
    <n v="0.05"/>
    <s v="Pipeline"/>
    <m/>
    <n v="114"/>
    <n v="3905.37"/>
    <n v="2510"/>
  </r>
  <r>
    <s v="OPP-01121"/>
    <d v="2026-01-13T00:00:00"/>
    <x v="12"/>
    <s v="Account 0355"/>
    <s v="IT Services"/>
    <s v="Enterprise"/>
    <x v="3"/>
    <x v="8"/>
    <s v="Product-Led"/>
    <x v="0"/>
    <x v="2"/>
    <s v="New Business"/>
    <n v="207100"/>
    <n v="0.21"/>
    <n v="1"/>
    <s v="Closed"/>
    <m/>
    <n v="71"/>
    <n v="13636.63"/>
    <n v="207100"/>
  </r>
  <r>
    <s v="OPP-01122"/>
    <d v="2026-08-29T00:00:00"/>
    <x v="21"/>
    <s v="Account 0466"/>
    <s v="Logistics"/>
    <s v="Enterprise"/>
    <x v="4"/>
    <x v="0"/>
    <s v="Referral"/>
    <x v="0"/>
    <x v="3"/>
    <s v="New Business"/>
    <n v="181200"/>
    <n v="0.157"/>
    <n v="0.75"/>
    <s v="Commit"/>
    <m/>
    <n v="50"/>
    <n v="12734.52"/>
    <n v="135900"/>
  </r>
  <r>
    <s v="OPP-01123"/>
    <d v="2025-12-25T00:00:00"/>
    <x v="168"/>
    <s v="Account 0030"/>
    <s v="Manufacturing"/>
    <s v="SMB"/>
    <x v="1"/>
    <x v="3"/>
    <s v="Outbound"/>
    <x v="1"/>
    <x v="5"/>
    <s v="New Business"/>
    <n v="9300"/>
    <n v="0.10199999999999999"/>
    <n v="0.35"/>
    <s v="Pipeline"/>
    <m/>
    <n v="130"/>
    <n v="695.67"/>
    <n v="3255"/>
  </r>
  <r>
    <s v="OPP-01124"/>
    <d v="2026-05-08T00:00:00"/>
    <x v="197"/>
    <s v="Account 0205"/>
    <s v="SaaS"/>
    <s v="Enterprise"/>
    <x v="3"/>
    <x v="11"/>
    <s v="Product-Led"/>
    <x v="3"/>
    <x v="1"/>
    <s v="Renewal"/>
    <n v="152800"/>
    <n v="4.1000000000000002E-2"/>
    <n v="0.05"/>
    <s v="Pipeline"/>
    <m/>
    <n v="110"/>
    <n v="12205.89"/>
    <n v="7640"/>
  </r>
  <r>
    <s v="OPP-01125"/>
    <d v="2026-03-30T00:00:00"/>
    <x v="238"/>
    <s v="Account 0503"/>
    <s v="SaaS"/>
    <s v="Mid-Market"/>
    <x v="3"/>
    <x v="6"/>
    <s v="Partner"/>
    <x v="4"/>
    <x v="5"/>
    <s v="Expansion"/>
    <n v="76000"/>
    <n v="0.17499999999999999"/>
    <n v="0.4"/>
    <s v="Pipeline"/>
    <m/>
    <n v="49"/>
    <n v="5224.87"/>
    <n v="30400"/>
  </r>
  <r>
    <s v="OPP-01126"/>
    <d v="2026-08-08T00:00:00"/>
    <x v="202"/>
    <s v="Account 0897"/>
    <s v="E-commerce"/>
    <s v="SMB"/>
    <x v="1"/>
    <x v="6"/>
    <s v="Partner"/>
    <x v="4"/>
    <x v="1"/>
    <s v="Expansion"/>
    <n v="19900"/>
    <n v="0.13700000000000001"/>
    <n v="0.1"/>
    <s v="Pipeline"/>
    <m/>
    <n v="37"/>
    <n v="1431.79"/>
    <n v="1990"/>
  </r>
  <r>
    <s v="OPP-01127"/>
    <d v="2026-01-20T00:00:00"/>
    <x v="76"/>
    <s v="Account 0040"/>
    <s v="SaaS"/>
    <s v="Mid-Market"/>
    <x v="2"/>
    <x v="9"/>
    <s v="Outbound"/>
    <x v="3"/>
    <x v="4"/>
    <s v="Expansion"/>
    <n v="39000"/>
    <n v="7.3999999999999996E-2"/>
    <n v="0.6"/>
    <s v="Best Case"/>
    <m/>
    <n v="142"/>
    <n v="3008.38"/>
    <n v="23400"/>
  </r>
  <r>
    <s v="OPP-01128"/>
    <d v="2026-07-10T00:00:00"/>
    <x v="85"/>
    <s v="Account 0734"/>
    <s v="EdTech"/>
    <s v="SMB"/>
    <x v="0"/>
    <x v="3"/>
    <s v="Webinar"/>
    <x v="3"/>
    <x v="0"/>
    <s v="New Business"/>
    <n v="25300"/>
    <n v="0.21099999999999999"/>
    <n v="0"/>
    <s v="Closed"/>
    <s v="Competitor"/>
    <n v="38"/>
    <n v="1664.29"/>
    <n v="0"/>
  </r>
  <r>
    <s v="OPP-01129"/>
    <d v="2026-02-07T00:00:00"/>
    <x v="3"/>
    <s v="Account 0729"/>
    <s v="Logistics"/>
    <s v="Mid-Market"/>
    <x v="3"/>
    <x v="2"/>
    <s v="Inbound"/>
    <x v="3"/>
    <x v="1"/>
    <s v="New Business"/>
    <n v="64500"/>
    <n v="0.11"/>
    <n v="0.05"/>
    <s v="Pipeline"/>
    <m/>
    <n v="101"/>
    <n v="4784.1000000000004"/>
    <n v="3225"/>
  </r>
  <r>
    <s v="OPP-01130"/>
    <d v="2025-10-29T00:00:00"/>
    <x v="62"/>
    <s v="Account 0191"/>
    <s v="Logistics"/>
    <s v="SMB"/>
    <x v="2"/>
    <x v="7"/>
    <s v="Webinar"/>
    <x v="0"/>
    <x v="2"/>
    <s v="New Business"/>
    <n v="23000"/>
    <n v="0.106"/>
    <n v="1"/>
    <s v="Closed"/>
    <m/>
    <n v="96"/>
    <n v="1714.19"/>
    <n v="23000"/>
  </r>
  <r>
    <s v="OPP-01131"/>
    <d v="2026-07-09T00:00:00"/>
    <x v="6"/>
    <s v="Account 0693"/>
    <s v="Manufacturing"/>
    <s v="Enterprise"/>
    <x v="0"/>
    <x v="1"/>
    <s v="Outbound"/>
    <x v="0"/>
    <x v="2"/>
    <s v="Renewal"/>
    <n v="341600"/>
    <n v="6.8000000000000005E-2"/>
    <n v="0.95"/>
    <s v="Closed"/>
    <m/>
    <n v="65"/>
    <n v="26534.48"/>
    <n v="324520"/>
  </r>
  <r>
    <s v="OPP-01132"/>
    <d v="2025-11-08T00:00:00"/>
    <x v="164"/>
    <s v="Account 0167"/>
    <s v="SaaS"/>
    <s v="Enterprise"/>
    <x v="4"/>
    <x v="7"/>
    <s v="Referral"/>
    <x v="4"/>
    <x v="4"/>
    <s v="Renewal"/>
    <n v="234700"/>
    <n v="0.121"/>
    <n v="0.6"/>
    <s v="Best Case"/>
    <m/>
    <n v="142"/>
    <n v="17184.400000000001"/>
    <n v="140820"/>
  </r>
  <r>
    <s v="OPP-01133"/>
    <d v="2025-12-03T00:00:00"/>
    <x v="38"/>
    <s v="Account 0179"/>
    <s v="Healthcare"/>
    <s v="SMB"/>
    <x v="2"/>
    <x v="10"/>
    <s v="Partner"/>
    <x v="4"/>
    <x v="2"/>
    <s v="Expansion"/>
    <n v="27400"/>
    <n v="0.17100000000000001"/>
    <n v="1"/>
    <s v="Closed"/>
    <m/>
    <n v="154"/>
    <n v="1892.78"/>
    <n v="27400"/>
  </r>
  <r>
    <s v="OPP-01134"/>
    <d v="2026-01-26T00:00:00"/>
    <x v="140"/>
    <s v="Account 0463"/>
    <s v="Manufacturing"/>
    <s v="Mid-Market"/>
    <x v="3"/>
    <x v="10"/>
    <s v="Product-Led"/>
    <x v="3"/>
    <x v="6"/>
    <s v="Renewal"/>
    <n v="34700"/>
    <n v="6.6000000000000003E-2"/>
    <n v="0.2"/>
    <s v="Pipeline"/>
    <m/>
    <n v="122"/>
    <n v="2700"/>
    <n v="6940"/>
  </r>
  <r>
    <s v="OPP-01135"/>
    <d v="2026-06-07T00:00:00"/>
    <x v="326"/>
    <s v="Account 0716"/>
    <s v="IT Services"/>
    <s v="Mid-Market"/>
    <x v="0"/>
    <x v="5"/>
    <s v="Product-Led"/>
    <x v="0"/>
    <x v="4"/>
    <s v="Renewal"/>
    <n v="35100"/>
    <n v="0.11700000000000001"/>
    <n v="0.55000000000000004"/>
    <s v="Best Case"/>
    <m/>
    <n v="26"/>
    <n v="2582.19"/>
    <n v="19305"/>
  </r>
  <r>
    <s v="OPP-01136"/>
    <d v="2026-06-10T00:00:00"/>
    <x v="117"/>
    <s v="Account 0369"/>
    <s v="EdTech"/>
    <s v="SMB"/>
    <x v="1"/>
    <x v="0"/>
    <s v="Partner"/>
    <x v="3"/>
    <x v="4"/>
    <s v="Expansion"/>
    <n v="9500"/>
    <n v="9.0999999999999998E-2"/>
    <n v="0.6"/>
    <s v="Best Case"/>
    <m/>
    <n v="50"/>
    <n v="719.9"/>
    <n v="5700"/>
  </r>
  <r>
    <s v="OPP-01137"/>
    <d v="2026-01-07T00:00:00"/>
    <x v="128"/>
    <s v="Account 0725"/>
    <s v="E-commerce"/>
    <s v="Mid-Market"/>
    <x v="1"/>
    <x v="10"/>
    <s v="Webinar"/>
    <x v="3"/>
    <x v="4"/>
    <s v="Renewal"/>
    <n v="99800"/>
    <n v="0.11899999999999999"/>
    <n v="0.55000000000000004"/>
    <s v="Best Case"/>
    <m/>
    <n v="42"/>
    <n v="7330.48"/>
    <n v="54890.000000000007"/>
  </r>
  <r>
    <s v="OPP-01138"/>
    <d v="2025-11-06T00:00:00"/>
    <x v="302"/>
    <s v="Account 0653"/>
    <s v="EdTech"/>
    <s v="Mid-Market"/>
    <x v="0"/>
    <x v="6"/>
    <s v="Referral"/>
    <x v="3"/>
    <x v="2"/>
    <s v="New Business"/>
    <n v="37000"/>
    <n v="0.122"/>
    <n v="1"/>
    <s v="Closed"/>
    <m/>
    <n v="30"/>
    <n v="2706.09"/>
    <n v="37000"/>
  </r>
  <r>
    <s v="OPP-01139"/>
    <d v="2026-05-26T00:00:00"/>
    <x v="292"/>
    <s v="Account 0309"/>
    <s v="Manufacturing"/>
    <s v="SMB"/>
    <x v="3"/>
    <x v="7"/>
    <s v="Partner"/>
    <x v="0"/>
    <x v="2"/>
    <s v="New Business"/>
    <n v="26800"/>
    <n v="1.4999999999999999E-2"/>
    <n v="1"/>
    <s v="Closed"/>
    <m/>
    <n v="31"/>
    <n v="2200.83"/>
    <n v="26800"/>
  </r>
  <r>
    <s v="OPP-01140"/>
    <d v="2025-10-04T00:00:00"/>
    <x v="334"/>
    <s v="Account 0632"/>
    <s v="IT Services"/>
    <s v="SMB"/>
    <x v="3"/>
    <x v="8"/>
    <s v="Referral"/>
    <x v="4"/>
    <x v="6"/>
    <s v="New Business"/>
    <n v="24300"/>
    <n v="0.109"/>
    <n v="0.15"/>
    <s v="Pipeline"/>
    <m/>
    <n v="33"/>
    <n v="1803.41"/>
    <n v="3645"/>
  </r>
  <r>
    <s v="OPP-01141"/>
    <d v="2026-09-11T00:00:00"/>
    <x v="6"/>
    <s v="Account 0394"/>
    <s v="FinTech"/>
    <s v="SMB"/>
    <x v="2"/>
    <x v="9"/>
    <s v="Outbound"/>
    <x v="2"/>
    <x v="2"/>
    <s v="Expansion"/>
    <n v="8500"/>
    <n v="0.13300000000000001"/>
    <n v="1"/>
    <s v="Closed"/>
    <m/>
    <n v="1"/>
    <n v="614.12"/>
    <n v="8500"/>
  </r>
  <r>
    <s v="OPP-01142"/>
    <d v="2026-06-06T00:00:00"/>
    <x v="335"/>
    <s v="Account 0233"/>
    <s v="Manufacturing"/>
    <s v="Mid-Market"/>
    <x v="1"/>
    <x v="2"/>
    <s v="Inbound"/>
    <x v="4"/>
    <x v="4"/>
    <s v="New Business"/>
    <n v="89000"/>
    <n v="0.161"/>
    <n v="0.55000000000000004"/>
    <s v="Best Case"/>
    <m/>
    <n v="153"/>
    <n v="6221.23"/>
    <n v="48950.000000000007"/>
  </r>
  <r>
    <s v="OPP-01143"/>
    <d v="2026-01-03T00:00:00"/>
    <x v="314"/>
    <s v="Account 0100"/>
    <s v="EdTech"/>
    <s v="Enterprise"/>
    <x v="4"/>
    <x v="8"/>
    <s v="Product-Led"/>
    <x v="0"/>
    <x v="0"/>
    <s v="Renewal"/>
    <n v="136700"/>
    <n v="0.187"/>
    <n v="0"/>
    <s v="Closed"/>
    <s v="Champion Left"/>
    <n v="15"/>
    <n v="9257.33"/>
    <n v="0"/>
  </r>
  <r>
    <s v="OPP-01144"/>
    <d v="2026-02-27T00:00:00"/>
    <x v="325"/>
    <s v="Account 0513"/>
    <s v="Manufacturing"/>
    <s v="SMB"/>
    <x v="4"/>
    <x v="3"/>
    <s v="Webinar"/>
    <x v="1"/>
    <x v="0"/>
    <s v="Expansion"/>
    <n v="27100"/>
    <n v="0.153"/>
    <n v="0"/>
    <s v="Closed"/>
    <s v="Competitor"/>
    <n v="16"/>
    <n v="1911.9"/>
    <n v="0"/>
  </r>
  <r>
    <s v="OPP-01145"/>
    <d v="2025-12-17T00:00:00"/>
    <x v="211"/>
    <s v="Account 0388"/>
    <s v="IT Services"/>
    <s v="Mid-Market"/>
    <x v="3"/>
    <x v="2"/>
    <s v="Outbound"/>
    <x v="4"/>
    <x v="4"/>
    <s v="Expansion"/>
    <n v="27600"/>
    <n v="8.2000000000000003E-2"/>
    <n v="0.55000000000000004"/>
    <s v="Best Case"/>
    <m/>
    <n v="96"/>
    <n v="2110.98"/>
    <n v="15180.000000000002"/>
  </r>
  <r>
    <s v="OPP-01146"/>
    <d v="2026-07-07T00:00:00"/>
    <x v="282"/>
    <s v="Account 0051"/>
    <s v="Manufacturing"/>
    <s v="SMB"/>
    <x v="4"/>
    <x v="5"/>
    <s v="Partner"/>
    <x v="3"/>
    <x v="1"/>
    <s v="Expansion"/>
    <n v="29200"/>
    <n v="0.123"/>
    <n v="0.1"/>
    <s v="Pipeline"/>
    <m/>
    <n v="115"/>
    <n v="2135.17"/>
    <n v="2920"/>
  </r>
  <r>
    <s v="OPP-01147"/>
    <d v="2025-10-27T00:00:00"/>
    <x v="52"/>
    <s v="Account 0507"/>
    <s v="E-commerce"/>
    <s v="SMB"/>
    <x v="2"/>
    <x v="8"/>
    <s v="Inbound"/>
    <x v="3"/>
    <x v="2"/>
    <s v="New Business"/>
    <n v="25400"/>
    <n v="6.0999999999999999E-2"/>
    <n v="0.95"/>
    <s v="Closed"/>
    <m/>
    <n v="163"/>
    <n v="1987.44"/>
    <n v="24130"/>
  </r>
  <r>
    <s v="OPP-01148"/>
    <d v="2025-12-01T00:00:00"/>
    <x v="176"/>
    <s v="Account 0319"/>
    <s v="EdTech"/>
    <s v="Enterprise"/>
    <x v="0"/>
    <x v="2"/>
    <s v="Product-Led"/>
    <x v="0"/>
    <x v="2"/>
    <s v="Renewal"/>
    <n v="130700"/>
    <n v="0.10199999999999999"/>
    <n v="1"/>
    <s v="Closed"/>
    <m/>
    <n v="16"/>
    <n v="9785.49"/>
    <n v="130700"/>
  </r>
  <r>
    <s v="OPP-01149"/>
    <d v="2026-02-05T00:00:00"/>
    <x v="123"/>
    <s v="Account 0110"/>
    <s v="IT Services"/>
    <s v="Mid-Market"/>
    <x v="2"/>
    <x v="9"/>
    <s v="Partner"/>
    <x v="4"/>
    <x v="4"/>
    <s v="New Business"/>
    <n v="55500"/>
    <n v="0.14499999999999999"/>
    <n v="0.55000000000000004"/>
    <s v="Best Case"/>
    <m/>
    <n v="36"/>
    <n v="3952.74"/>
    <n v="30525.000000000004"/>
  </r>
  <r>
    <s v="OPP-01150"/>
    <d v="2026-07-31T00:00:00"/>
    <x v="16"/>
    <s v="Account 0272"/>
    <s v="Manufacturing"/>
    <s v="SMB"/>
    <x v="3"/>
    <x v="7"/>
    <s v="Referral"/>
    <x v="0"/>
    <x v="4"/>
    <s v="Expansion"/>
    <n v="14600"/>
    <n v="0.11600000000000001"/>
    <n v="0.5"/>
    <s v="Best Case"/>
    <m/>
    <n v="83"/>
    <n v="1075.74"/>
    <n v="7300"/>
  </r>
  <r>
    <s v="OPP-01151"/>
    <d v="2026-06-28T00:00:00"/>
    <x v="156"/>
    <s v="Account 0325"/>
    <s v="SaaS"/>
    <s v="Mid-Market"/>
    <x v="3"/>
    <x v="4"/>
    <s v="Referral"/>
    <x v="0"/>
    <x v="6"/>
    <s v="Renewal"/>
    <n v="76300"/>
    <n v="0.11799999999999999"/>
    <n v="0.2"/>
    <s v="Pipeline"/>
    <m/>
    <n v="97"/>
    <n v="5610.04"/>
    <n v="15260"/>
  </r>
  <r>
    <s v="OPP-01152"/>
    <d v="2026-06-17T00:00:00"/>
    <x v="270"/>
    <s v="Account 0949"/>
    <s v="Healthcare"/>
    <s v="Mid-Market"/>
    <x v="3"/>
    <x v="4"/>
    <s v="Referral"/>
    <x v="0"/>
    <x v="4"/>
    <s v="Expansion"/>
    <n v="25300"/>
    <n v="0.14899999999999999"/>
    <n v="0.55000000000000004"/>
    <s v="Best Case"/>
    <m/>
    <n v="131"/>
    <n v="1793.48"/>
    <n v="13915.000000000002"/>
  </r>
  <r>
    <s v="OPP-01153"/>
    <d v="2025-10-13T00:00:00"/>
    <x v="336"/>
    <s v="Account 0063"/>
    <s v="E-commerce"/>
    <s v="SMB"/>
    <x v="2"/>
    <x v="5"/>
    <s v="Referral"/>
    <x v="4"/>
    <x v="6"/>
    <s v="Renewal"/>
    <n v="12200"/>
    <n v="3.6999999999999998E-2"/>
    <n v="0.2"/>
    <s v="Pipeline"/>
    <m/>
    <n v="47"/>
    <n v="979.16"/>
    <n v="2440"/>
  </r>
  <r>
    <s v="OPP-01154"/>
    <d v="2026-02-11T00:00:00"/>
    <x v="154"/>
    <s v="Account 0663"/>
    <s v="IT Services"/>
    <s v="Mid-Market"/>
    <x v="1"/>
    <x v="8"/>
    <s v="Outbound"/>
    <x v="0"/>
    <x v="4"/>
    <s v="Expansion"/>
    <n v="54400"/>
    <n v="0.24299999999999999"/>
    <n v="0.5"/>
    <s v="Best Case"/>
    <m/>
    <n v="45"/>
    <n v="3432.47"/>
    <n v="27200"/>
  </r>
  <r>
    <s v="OPP-01155"/>
    <d v="2026-08-27T00:00:00"/>
    <x v="6"/>
    <s v="Account 0877"/>
    <s v="EdTech"/>
    <s v="Mid-Market"/>
    <x v="2"/>
    <x v="4"/>
    <s v="Webinar"/>
    <x v="2"/>
    <x v="2"/>
    <s v="Renewal"/>
    <n v="34700"/>
    <n v="0.17599999999999999"/>
    <n v="1"/>
    <s v="Closed"/>
    <m/>
    <n v="16"/>
    <n v="2382.89"/>
    <n v="34700"/>
  </r>
  <r>
    <s v="OPP-01156"/>
    <d v="2026-03-28T00:00:00"/>
    <x v="337"/>
    <s v="Account 0670"/>
    <s v="SaaS"/>
    <s v="Enterprise"/>
    <x v="4"/>
    <x v="6"/>
    <s v="Referral"/>
    <x v="1"/>
    <x v="5"/>
    <s v="Renewal"/>
    <n v="97200"/>
    <n v="0.17599999999999999"/>
    <n v="0.35"/>
    <s v="Pipeline"/>
    <m/>
    <n v="74"/>
    <n v="6676.88"/>
    <n v="34020"/>
  </r>
  <r>
    <s v="OPP-01157"/>
    <d v="2026-08-08T00:00:00"/>
    <x v="40"/>
    <s v="Account 0854"/>
    <s v="Healthcare"/>
    <s v="Mid-Market"/>
    <x v="4"/>
    <x v="5"/>
    <s v="Webinar"/>
    <x v="4"/>
    <x v="6"/>
    <s v="New Business"/>
    <n v="64800"/>
    <n v="0.25600000000000001"/>
    <n v="0.2"/>
    <s v="Pipeline"/>
    <m/>
    <n v="47"/>
    <n v="4015.12"/>
    <n v="12960"/>
  </r>
  <r>
    <s v="OPP-01158"/>
    <d v="2026-02-26T00:00:00"/>
    <x v="77"/>
    <s v="Account 0873"/>
    <s v="E-commerce"/>
    <s v="SMB"/>
    <x v="0"/>
    <x v="8"/>
    <s v="Webinar"/>
    <x v="3"/>
    <x v="3"/>
    <s v="Renewal"/>
    <n v="12000"/>
    <n v="0"/>
    <n v="0.75"/>
    <s v="Commit"/>
    <m/>
    <n v="47"/>
    <n v="1000"/>
    <n v="9000"/>
  </r>
  <r>
    <s v="OPP-01159"/>
    <d v="2026-08-20T00:00:00"/>
    <x v="288"/>
    <s v="Account 0836"/>
    <s v="IT Services"/>
    <s v="Enterprise"/>
    <x v="1"/>
    <x v="10"/>
    <s v="Webinar"/>
    <x v="4"/>
    <x v="6"/>
    <s v="Renewal"/>
    <n v="263800"/>
    <n v="6.0000000000000001E-3"/>
    <n v="0.2"/>
    <s v="Pipeline"/>
    <m/>
    <n v="45"/>
    <n v="21859.34"/>
    <n v="52760"/>
  </r>
  <r>
    <s v="OPP-01160"/>
    <d v="2026-02-17T00:00:00"/>
    <x v="289"/>
    <s v="Account 0529"/>
    <s v="FinTech"/>
    <s v="SMB"/>
    <x v="2"/>
    <x v="4"/>
    <s v="Product-Led"/>
    <x v="0"/>
    <x v="3"/>
    <s v="New Business"/>
    <n v="9000"/>
    <n v="6.9000000000000006E-2"/>
    <n v="0.8"/>
    <s v="Commit"/>
    <m/>
    <n v="81"/>
    <n v="698.15"/>
    <n v="7200"/>
  </r>
  <r>
    <s v="OPP-01161"/>
    <d v="2026-07-10T00:00:00"/>
    <x v="157"/>
    <s v="Account 0352"/>
    <s v="FinTech"/>
    <s v="Enterprise"/>
    <x v="2"/>
    <x v="11"/>
    <s v="Outbound"/>
    <x v="3"/>
    <x v="3"/>
    <s v="Renewal"/>
    <n v="187500"/>
    <n v="0.13800000000000001"/>
    <n v="0.7"/>
    <s v="Commit"/>
    <m/>
    <n v="51"/>
    <n v="13465.93"/>
    <n v="131250"/>
  </r>
  <r>
    <s v="OPP-01162"/>
    <d v="2025-10-20T00:00:00"/>
    <x v="328"/>
    <s v="Account 0232"/>
    <s v="SaaS"/>
    <s v="Enterprise"/>
    <x v="2"/>
    <x v="7"/>
    <s v="Product-Led"/>
    <x v="1"/>
    <x v="1"/>
    <s v="Expansion"/>
    <n v="193100"/>
    <n v="0.1"/>
    <n v="0.15"/>
    <s v="Pipeline"/>
    <m/>
    <n v="56"/>
    <n v="14482.01"/>
    <n v="28965"/>
  </r>
  <r>
    <s v="OPP-01163"/>
    <d v="2025-12-15T00:00:00"/>
    <x v="44"/>
    <s v="Account 0161"/>
    <s v="E-commerce"/>
    <s v="SMB"/>
    <x v="4"/>
    <x v="8"/>
    <s v="Outbound"/>
    <x v="0"/>
    <x v="6"/>
    <s v="Expansion"/>
    <n v="23600"/>
    <n v="0"/>
    <n v="0.25"/>
    <s v="Pipeline"/>
    <m/>
    <n v="137"/>
    <n v="1966.67"/>
    <n v="5900"/>
  </r>
  <r>
    <s v="OPP-01164"/>
    <d v="2026-07-21T00:00:00"/>
    <x v="6"/>
    <s v="Account 0725"/>
    <s v="Healthcare"/>
    <s v="Mid-Market"/>
    <x v="2"/>
    <x v="7"/>
    <s v="Product-Led"/>
    <x v="3"/>
    <x v="2"/>
    <s v="Renewal"/>
    <n v="96300"/>
    <n v="0.10100000000000001"/>
    <n v="1"/>
    <s v="Closed"/>
    <m/>
    <n v="53"/>
    <n v="7212.25"/>
    <n v="96300"/>
  </r>
  <r>
    <s v="OPP-01165"/>
    <d v="2026-01-01T00:00:00"/>
    <x v="59"/>
    <s v="Account 0885"/>
    <s v="Healthcare"/>
    <s v="Mid-Market"/>
    <x v="1"/>
    <x v="1"/>
    <s v="Inbound"/>
    <x v="1"/>
    <x v="1"/>
    <s v="Expansion"/>
    <n v="50900"/>
    <n v="0.11700000000000001"/>
    <n v="0.1"/>
    <s v="Pipeline"/>
    <m/>
    <n v="68"/>
    <n v="3744.33"/>
    <n v="5090"/>
  </r>
  <r>
    <s v="OPP-01166"/>
    <d v="2025-10-23T00:00:00"/>
    <x v="1"/>
    <s v="Account 0004"/>
    <s v="IT Services"/>
    <s v="SMB"/>
    <x v="3"/>
    <x v="5"/>
    <s v="Partner"/>
    <x v="2"/>
    <x v="5"/>
    <s v="Renewal"/>
    <n v="22100"/>
    <n v="7.0999999999999994E-2"/>
    <n v="0.35"/>
    <s v="Pipeline"/>
    <m/>
    <n v="134"/>
    <n v="1711.36"/>
    <n v="7734.9999999999991"/>
  </r>
  <r>
    <s v="OPP-01167"/>
    <d v="2025-12-08T00:00:00"/>
    <x v="212"/>
    <s v="Account 0645"/>
    <s v="Logistics"/>
    <s v="Enterprise"/>
    <x v="1"/>
    <x v="6"/>
    <s v="Product-Led"/>
    <x v="2"/>
    <x v="4"/>
    <s v="Renewal"/>
    <n v="107000"/>
    <n v="0.154"/>
    <n v="0.55000000000000004"/>
    <s v="Best Case"/>
    <m/>
    <n v="104"/>
    <n v="7544.36"/>
    <n v="58850.000000000007"/>
  </r>
  <r>
    <s v="OPP-01168"/>
    <d v="2025-11-02T00:00:00"/>
    <x v="314"/>
    <s v="Account 0687"/>
    <s v="FinTech"/>
    <s v="Enterprise"/>
    <x v="1"/>
    <x v="0"/>
    <s v="Product-Led"/>
    <x v="4"/>
    <x v="6"/>
    <s v="Expansion"/>
    <n v="217800"/>
    <n v="0.23100000000000001"/>
    <n v="0.25"/>
    <s v="Pipeline"/>
    <m/>
    <n v="77"/>
    <n v="13955.79"/>
    <n v="54450"/>
  </r>
  <r>
    <s v="OPP-01169"/>
    <d v="2026-01-12T00:00:00"/>
    <x v="214"/>
    <s v="Account 0637"/>
    <s v="Logistics"/>
    <s v="SMB"/>
    <x v="4"/>
    <x v="2"/>
    <s v="Outbound"/>
    <x v="0"/>
    <x v="6"/>
    <s v="Expansion"/>
    <n v="13400"/>
    <n v="0.113"/>
    <n v="0.15"/>
    <s v="Pipeline"/>
    <m/>
    <n v="27"/>
    <n v="991.02"/>
    <n v="2010"/>
  </r>
  <r>
    <s v="OPP-01170"/>
    <d v="2025-11-19T00:00:00"/>
    <x v="307"/>
    <s v="Account 0866"/>
    <s v="Logistics"/>
    <s v="Mid-Market"/>
    <x v="4"/>
    <x v="1"/>
    <s v="Product-Led"/>
    <x v="1"/>
    <x v="2"/>
    <s v="Renewal"/>
    <n v="80300"/>
    <n v="0.18"/>
    <n v="0.95"/>
    <s v="Closed"/>
    <m/>
    <n v="89"/>
    <n v="5489.15"/>
    <n v="76285"/>
  </r>
  <r>
    <s v="OPP-01171"/>
    <d v="2025-12-23T00:00:00"/>
    <x v="298"/>
    <s v="Account 0485"/>
    <s v="IT Services"/>
    <s v="Mid-Market"/>
    <x v="0"/>
    <x v="3"/>
    <s v="Partner"/>
    <x v="0"/>
    <x v="1"/>
    <s v="New Business"/>
    <n v="68900"/>
    <n v="0.1"/>
    <n v="0.1"/>
    <s v="Pipeline"/>
    <m/>
    <n v="140"/>
    <n v="5165.37"/>
    <n v="6890"/>
  </r>
  <r>
    <s v="OPP-01172"/>
    <d v="2026-04-26T00:00:00"/>
    <x v="8"/>
    <s v="Account 0210"/>
    <s v="Logistics"/>
    <s v="Enterprise"/>
    <x v="4"/>
    <x v="6"/>
    <s v="Product-Led"/>
    <x v="0"/>
    <x v="4"/>
    <s v="Expansion"/>
    <n v="192700"/>
    <n v="0.192"/>
    <n v="0.55000000000000004"/>
    <s v="Best Case"/>
    <m/>
    <n v="91"/>
    <n v="12976.27"/>
    <n v="105985.00000000001"/>
  </r>
  <r>
    <s v="OPP-01173"/>
    <d v="2025-10-27T00:00:00"/>
    <x v="2"/>
    <s v="Account 0812"/>
    <s v="Healthcare"/>
    <s v="Mid-Market"/>
    <x v="0"/>
    <x v="3"/>
    <s v="Partner"/>
    <x v="4"/>
    <x v="1"/>
    <s v="Expansion"/>
    <n v="78200"/>
    <n v="8.2000000000000003E-2"/>
    <n v="0.15"/>
    <s v="Pipeline"/>
    <m/>
    <n v="148"/>
    <n v="5985.53"/>
    <n v="11730"/>
  </r>
  <r>
    <s v="OPP-01174"/>
    <d v="2025-10-21T00:00:00"/>
    <x v="338"/>
    <s v="Account 0046"/>
    <s v="FinTech"/>
    <s v="SMB"/>
    <x v="3"/>
    <x v="5"/>
    <s v="Webinar"/>
    <x v="1"/>
    <x v="4"/>
    <s v="New Business"/>
    <n v="11200"/>
    <n v="0.126"/>
    <n v="0.55000000000000004"/>
    <s v="Best Case"/>
    <m/>
    <n v="124"/>
    <n v="815.68"/>
    <n v="6160.0000000000009"/>
  </r>
  <r>
    <s v="OPP-01175"/>
    <d v="2025-11-11T00:00:00"/>
    <x v="286"/>
    <s v="Account 0556"/>
    <s v="SaaS"/>
    <s v="Enterprise"/>
    <x v="3"/>
    <x v="1"/>
    <s v="Product-Led"/>
    <x v="3"/>
    <x v="6"/>
    <s v="Expansion"/>
    <n v="227500"/>
    <n v="8.5999999999999993E-2"/>
    <n v="0.2"/>
    <s v="Pipeline"/>
    <m/>
    <n v="47"/>
    <n v="17326.490000000002"/>
    <n v="45500"/>
  </r>
  <r>
    <s v="OPP-01176"/>
    <d v="2025-12-26T00:00:00"/>
    <x v="227"/>
    <s v="Account 0411"/>
    <s v="Manufacturing"/>
    <s v="Mid-Market"/>
    <x v="1"/>
    <x v="9"/>
    <s v="Outbound"/>
    <x v="4"/>
    <x v="0"/>
    <s v="Renewal"/>
    <n v="82600"/>
    <n v="0.184"/>
    <n v="0"/>
    <s v="Closed"/>
    <s v="Budget"/>
    <n v="113"/>
    <n v="5614.36"/>
    <n v="0"/>
  </r>
  <r>
    <s v="OPP-01177"/>
    <d v="2025-10-18T00:00:00"/>
    <x v="339"/>
    <s v="Account 0420"/>
    <s v="IT Services"/>
    <s v="SMB"/>
    <x v="0"/>
    <x v="0"/>
    <s v="Referral"/>
    <x v="4"/>
    <x v="4"/>
    <s v="Expansion"/>
    <n v="6700"/>
    <n v="7.8E-2"/>
    <n v="0.55000000000000004"/>
    <s v="Best Case"/>
    <m/>
    <n v="38"/>
    <n v="514.70000000000005"/>
    <n v="3685.0000000000005"/>
  </r>
  <r>
    <s v="OPP-01178"/>
    <d v="2026-07-09T00:00:00"/>
    <x v="6"/>
    <s v="Account 0361"/>
    <s v="IT Services"/>
    <s v="SMB"/>
    <x v="4"/>
    <x v="7"/>
    <s v="Inbound"/>
    <x v="4"/>
    <x v="5"/>
    <s v="New Business"/>
    <n v="23000"/>
    <n v="7.8E-2"/>
    <n v="0.3"/>
    <s v="Pipeline"/>
    <m/>
    <n v="65"/>
    <n v="1767.22"/>
    <n v="6900"/>
  </r>
  <r>
    <s v="OPP-01179"/>
    <d v="2025-10-23T00:00:00"/>
    <x v="340"/>
    <s v="Account 0503"/>
    <s v="E-commerce"/>
    <s v="Mid-Market"/>
    <x v="0"/>
    <x v="9"/>
    <s v="Outbound"/>
    <x v="2"/>
    <x v="0"/>
    <s v="Renewal"/>
    <n v="71300"/>
    <n v="0.11899999999999999"/>
    <n v="0.05"/>
    <s v="Closed"/>
    <s v="Poor Fit"/>
    <n v="41"/>
    <n v="5233.87"/>
    <n v="3565"/>
  </r>
  <r>
    <s v="OPP-01180"/>
    <d v="2026-06-02T00:00:00"/>
    <x v="33"/>
    <s v="Account 0922"/>
    <s v="FinTech"/>
    <s v="SMB"/>
    <x v="2"/>
    <x v="6"/>
    <s v="Inbound"/>
    <x v="0"/>
    <x v="2"/>
    <s v="Renewal"/>
    <n v="20100"/>
    <n v="0.14499999999999999"/>
    <n v="1"/>
    <s v="Closed"/>
    <m/>
    <n v="71"/>
    <n v="1431.7"/>
    <n v="20100"/>
  </r>
  <r>
    <s v="OPP-01181"/>
    <d v="2025-10-30T00:00:00"/>
    <x v="211"/>
    <s v="Account 0119"/>
    <s v="Manufacturing"/>
    <s v="Enterprise"/>
    <x v="2"/>
    <x v="6"/>
    <s v="Referral"/>
    <x v="3"/>
    <x v="1"/>
    <s v="Expansion"/>
    <n v="323500"/>
    <n v="5.0000000000000001E-3"/>
    <n v="0.05"/>
    <s v="Pipeline"/>
    <m/>
    <n v="144"/>
    <n v="26818.3"/>
    <n v="16175"/>
  </r>
  <r>
    <s v="OPP-01182"/>
    <d v="2026-03-17T00:00:00"/>
    <x v="44"/>
    <s v="Account 0078"/>
    <s v="FinTech"/>
    <s v="Mid-Market"/>
    <x v="1"/>
    <x v="8"/>
    <s v="Product-Led"/>
    <x v="4"/>
    <x v="6"/>
    <s v="Renewal"/>
    <n v="90000"/>
    <n v="1.7999999999999999E-2"/>
    <n v="0.2"/>
    <s v="Pipeline"/>
    <m/>
    <n v="45"/>
    <n v="7364.29"/>
    <n v="18000"/>
  </r>
  <r>
    <s v="OPP-01183"/>
    <d v="2026-06-27T00:00:00"/>
    <x v="90"/>
    <s v="Account 0342"/>
    <s v="Logistics"/>
    <s v="SMB"/>
    <x v="2"/>
    <x v="3"/>
    <s v="Product-Led"/>
    <x v="3"/>
    <x v="1"/>
    <s v="Renewal"/>
    <n v="21500"/>
    <n v="0.11899999999999999"/>
    <n v="0.05"/>
    <s v="Pipeline"/>
    <m/>
    <n v="126"/>
    <n v="1578.14"/>
    <n v="1075"/>
  </r>
  <r>
    <s v="OPP-01184"/>
    <d v="2026-05-25T00:00:00"/>
    <x v="37"/>
    <s v="Account 0326"/>
    <s v="Healthcare"/>
    <s v="SMB"/>
    <x v="4"/>
    <x v="10"/>
    <s v="Inbound"/>
    <x v="0"/>
    <x v="5"/>
    <s v="Expansion"/>
    <n v="16500"/>
    <n v="4.0000000000000001E-3"/>
    <n v="0.35"/>
    <s v="Pipeline"/>
    <m/>
    <n v="76"/>
    <n v="1369.52"/>
    <n v="5775"/>
  </r>
  <r>
    <s v="OPP-01185"/>
    <d v="2026-03-13T00:00:00"/>
    <x v="194"/>
    <s v="Account 0805"/>
    <s v="EdTech"/>
    <s v="SMB"/>
    <x v="4"/>
    <x v="0"/>
    <s v="Webinar"/>
    <x v="4"/>
    <x v="4"/>
    <s v="Renewal"/>
    <n v="13900"/>
    <n v="1.7000000000000001E-2"/>
    <n v="0.6"/>
    <s v="Best Case"/>
    <m/>
    <n v="41"/>
    <n v="1138.19"/>
    <n v="8340"/>
  </r>
  <r>
    <s v="OPP-01186"/>
    <d v="2026-02-05T00:00:00"/>
    <x v="140"/>
    <s v="Account 0166"/>
    <s v="Healthcare"/>
    <s v="SMB"/>
    <x v="1"/>
    <x v="4"/>
    <s v="Product-Led"/>
    <x v="3"/>
    <x v="6"/>
    <s v="Renewal"/>
    <n v="10900"/>
    <n v="0.105"/>
    <n v="0.2"/>
    <s v="Pipeline"/>
    <m/>
    <n v="112"/>
    <n v="813.06"/>
    <n v="2180"/>
  </r>
  <r>
    <s v="OPP-01187"/>
    <d v="2026-07-28T00:00:00"/>
    <x v="260"/>
    <s v="Account 0653"/>
    <s v="SaaS"/>
    <s v="SMB"/>
    <x v="3"/>
    <x v="4"/>
    <s v="Product-Led"/>
    <x v="2"/>
    <x v="3"/>
    <s v="New Business"/>
    <n v="24500"/>
    <n v="0.14000000000000001"/>
    <n v="0.75"/>
    <s v="Commit"/>
    <m/>
    <n v="92"/>
    <n v="1755.64"/>
    <n v="18375"/>
  </r>
  <r>
    <s v="OPP-01188"/>
    <d v="2026-06-12T00:00:00"/>
    <x v="341"/>
    <s v="Account 0293"/>
    <s v="EdTech"/>
    <s v="Mid-Market"/>
    <x v="0"/>
    <x v="8"/>
    <s v="Outbound"/>
    <x v="0"/>
    <x v="3"/>
    <s v="Expansion"/>
    <n v="32400"/>
    <n v="0.11"/>
    <n v="0.8"/>
    <s v="Commit"/>
    <m/>
    <n v="37"/>
    <n v="2402.36"/>
    <n v="25920"/>
  </r>
  <r>
    <s v="OPP-01189"/>
    <d v="2025-10-04T00:00:00"/>
    <x v="291"/>
    <s v="Account 0083"/>
    <s v="FinTech"/>
    <s v="SMB"/>
    <x v="3"/>
    <x v="0"/>
    <s v="Partner"/>
    <x v="2"/>
    <x v="0"/>
    <s v="Renewal"/>
    <n v="13600"/>
    <n v="0.10299999999999999"/>
    <n v="0"/>
    <s v="Closed"/>
    <s v="Budget"/>
    <n v="109"/>
    <n v="1016.61"/>
    <n v="0"/>
  </r>
  <r>
    <s v="OPP-01190"/>
    <d v="2025-11-27T00:00:00"/>
    <x v="338"/>
    <s v="Account 0127"/>
    <s v="EdTech"/>
    <s v="SMB"/>
    <x v="1"/>
    <x v="7"/>
    <s v="Partner"/>
    <x v="4"/>
    <x v="6"/>
    <s v="Renewal"/>
    <n v="28700"/>
    <n v="0.218"/>
    <n v="0.25"/>
    <s v="Pipeline"/>
    <m/>
    <n v="87"/>
    <n v="1870.33"/>
    <n v="7175"/>
  </r>
  <r>
    <s v="OPP-01191"/>
    <d v="2026-01-06T00:00:00"/>
    <x v="313"/>
    <s v="Account 0080"/>
    <s v="EdTech"/>
    <s v="SMB"/>
    <x v="3"/>
    <x v="2"/>
    <s v="Webinar"/>
    <x v="4"/>
    <x v="2"/>
    <s v="Renewal"/>
    <n v="8700"/>
    <n v="0.16400000000000001"/>
    <n v="0.95"/>
    <s v="Closed"/>
    <m/>
    <n v="44"/>
    <n v="606.25"/>
    <n v="8265"/>
  </r>
  <r>
    <s v="OPP-01192"/>
    <d v="2026-08-18T00:00:00"/>
    <x v="323"/>
    <s v="Account 0291"/>
    <s v="E-commerce"/>
    <s v="SMB"/>
    <x v="2"/>
    <x v="11"/>
    <s v="Referral"/>
    <x v="2"/>
    <x v="6"/>
    <s v="Renewal"/>
    <n v="7700"/>
    <n v="0.125"/>
    <n v="0.2"/>
    <s v="Pipeline"/>
    <m/>
    <n v="30"/>
    <n v="561.55999999999995"/>
    <n v="1540"/>
  </r>
  <r>
    <s v="OPP-01193"/>
    <d v="2026-06-11T00:00:00"/>
    <x v="234"/>
    <s v="Account 0891"/>
    <s v="E-commerce"/>
    <s v="SMB"/>
    <x v="0"/>
    <x v="10"/>
    <s v="Webinar"/>
    <x v="1"/>
    <x v="5"/>
    <s v="Expansion"/>
    <n v="22300"/>
    <n v="0.19500000000000001"/>
    <n v="0.4"/>
    <s v="Pipeline"/>
    <m/>
    <n v="132"/>
    <n v="1496.37"/>
    <n v="8920"/>
  </r>
  <r>
    <s v="OPP-01194"/>
    <d v="2026-04-07T00:00:00"/>
    <x v="85"/>
    <s v="Account 0563"/>
    <s v="FinTech"/>
    <s v="SMB"/>
    <x v="2"/>
    <x v="2"/>
    <s v="Referral"/>
    <x v="2"/>
    <x v="1"/>
    <s v="Renewal"/>
    <n v="21300"/>
    <n v="0.13300000000000001"/>
    <n v="0.05"/>
    <s v="Pipeline"/>
    <m/>
    <n v="132"/>
    <n v="1539.46"/>
    <n v="1065"/>
  </r>
  <r>
    <s v="OPP-01195"/>
    <d v="2026-07-16T00:00:00"/>
    <x v="299"/>
    <s v="Account 0792"/>
    <s v="IT Services"/>
    <s v="SMB"/>
    <x v="3"/>
    <x v="10"/>
    <s v="Outbound"/>
    <x v="2"/>
    <x v="4"/>
    <s v="New Business"/>
    <n v="11200"/>
    <n v="0"/>
    <n v="0.55000000000000004"/>
    <s v="Best Case"/>
    <m/>
    <n v="83"/>
    <n v="933.33"/>
    <n v="6160.0000000000009"/>
  </r>
  <r>
    <s v="OPP-01196"/>
    <d v="2026-02-23T00:00:00"/>
    <x v="191"/>
    <s v="Account 0509"/>
    <s v="Logistics"/>
    <s v="Enterprise"/>
    <x v="2"/>
    <x v="11"/>
    <s v="Inbound"/>
    <x v="0"/>
    <x v="6"/>
    <s v="New Business"/>
    <n v="281700"/>
    <n v="0.151"/>
    <n v="0.25"/>
    <s v="Pipeline"/>
    <m/>
    <n v="62"/>
    <n v="19926.87"/>
    <n v="70425"/>
  </r>
  <r>
    <s v="OPP-01197"/>
    <d v="2026-02-07T00:00:00"/>
    <x v="129"/>
    <s v="Account 0380"/>
    <s v="SaaS"/>
    <s v="Enterprise"/>
    <x v="2"/>
    <x v="10"/>
    <s v="Partner"/>
    <x v="3"/>
    <x v="5"/>
    <s v="Expansion"/>
    <n v="326000"/>
    <n v="0.155"/>
    <n v="0.35"/>
    <s v="Pipeline"/>
    <m/>
    <n v="74"/>
    <n v="22966.23"/>
    <n v="114100"/>
  </r>
  <r>
    <s v="OPP-01198"/>
    <d v="2025-10-13T00:00:00"/>
    <x v="277"/>
    <s v="Account 0661"/>
    <s v="Logistics"/>
    <s v="Enterprise"/>
    <x v="0"/>
    <x v="3"/>
    <s v="Webinar"/>
    <x v="1"/>
    <x v="4"/>
    <s v="Renewal"/>
    <n v="112100"/>
    <n v="0.02"/>
    <n v="0.55000000000000004"/>
    <s v="Best Case"/>
    <m/>
    <n v="127"/>
    <n v="9153.01"/>
    <n v="61655.000000000007"/>
  </r>
  <r>
    <s v="OPP-01199"/>
    <d v="2025-10-29T00:00:00"/>
    <x v="300"/>
    <s v="Account 0518"/>
    <s v="EdTech"/>
    <s v="SMB"/>
    <x v="2"/>
    <x v="9"/>
    <s v="Outbound"/>
    <x v="1"/>
    <x v="1"/>
    <s v="Expansion"/>
    <n v="24400"/>
    <n v="0.16300000000000001"/>
    <n v="0.15"/>
    <s v="Pipeline"/>
    <m/>
    <n v="41"/>
    <n v="1701.02"/>
    <n v="3660"/>
  </r>
  <r>
    <s v="OPP-01200"/>
    <d v="2026-08-01T00:00:00"/>
    <x v="342"/>
    <s v="Account 0440"/>
    <s v="Healthcare"/>
    <s v="Mid-Market"/>
    <x v="4"/>
    <x v="6"/>
    <s v="Referral"/>
    <x v="1"/>
    <x v="6"/>
    <s v="Expansion"/>
    <n v="87200"/>
    <n v="0.04"/>
    <n v="0.15"/>
    <s v="Pipeline"/>
    <m/>
    <n v="40"/>
    <n v="6979.47"/>
    <n v="1308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5E0F4C7-6078-9B45-B70F-D3CCAC40FC5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4:B22" firstHeaderRow="1" firstDataRow="1" firstDataCol="1"/>
  <pivotFields count="21">
    <pivotField showAll="0"/>
    <pivotField numFmtId="14" showAll="0"/>
    <pivotField numFmtId="14" showAll="0">
      <items count="344">
        <item x="334"/>
        <item x="192"/>
        <item x="54"/>
        <item x="311"/>
        <item x="173"/>
        <item x="217"/>
        <item x="223"/>
        <item x="80"/>
        <item x="330"/>
        <item x="153"/>
        <item x="102"/>
        <item x="339"/>
        <item x="336"/>
        <item x="161"/>
        <item x="251"/>
        <item x="340"/>
        <item x="281"/>
        <item x="302"/>
        <item x="17"/>
        <item x="261"/>
        <item x="300"/>
        <item x="221"/>
        <item x="92"/>
        <item x="193"/>
        <item x="328"/>
        <item x="279"/>
        <item x="176"/>
        <item x="132"/>
        <item x="228"/>
        <item x="162"/>
        <item x="144"/>
        <item x="218"/>
        <item x="305"/>
        <item x="150"/>
        <item x="286"/>
        <item x="312"/>
        <item x="219"/>
        <item x="58"/>
        <item x="68"/>
        <item x="216"/>
        <item x="136"/>
        <item x="26"/>
        <item x="66"/>
        <item x="121"/>
        <item x="230"/>
        <item x="333"/>
        <item x="262"/>
        <item x="19"/>
        <item x="79"/>
        <item x="181"/>
        <item x="116"/>
        <item x="148"/>
        <item x="314"/>
        <item x="138"/>
        <item x="30"/>
        <item x="291"/>
        <item x="222"/>
        <item x="200"/>
        <item x="331"/>
        <item x="147"/>
        <item x="71"/>
        <item x="245"/>
        <item x="22"/>
        <item x="97"/>
        <item x="7"/>
        <item x="272"/>
        <item x="165"/>
        <item x="62"/>
        <item x="247"/>
        <item x="158"/>
        <item x="88"/>
        <item x="214"/>
        <item x="244"/>
        <item x="213"/>
        <item x="146"/>
        <item x="122"/>
        <item x="142"/>
        <item x="134"/>
        <item x="231"/>
        <item x="307"/>
        <item x="277"/>
        <item x="128"/>
        <item x="313"/>
        <item x="63"/>
        <item x="210"/>
        <item x="338"/>
        <item x="317"/>
        <item x="65"/>
        <item x="229"/>
        <item x="45"/>
        <item x="94"/>
        <item x="254"/>
        <item x="268"/>
        <item x="110"/>
        <item x="189"/>
        <item x="72"/>
        <item x="124"/>
        <item x="1"/>
        <item x="206"/>
        <item x="0"/>
        <item x="220"/>
        <item x="59"/>
        <item x="84"/>
        <item x="233"/>
        <item x="123"/>
        <item x="271"/>
        <item x="325"/>
        <item x="241"/>
        <item x="295"/>
        <item x="174"/>
        <item x="95"/>
        <item x="166"/>
        <item x="137"/>
        <item x="212"/>
        <item x="211"/>
        <item x="2"/>
        <item x="12"/>
        <item x="275"/>
        <item x="112"/>
        <item x="154"/>
        <item x="143"/>
        <item x="164"/>
        <item x="180"/>
        <item x="167"/>
        <item x="237"/>
        <item x="145"/>
        <item x="170"/>
        <item x="198"/>
        <item x="24"/>
        <item x="100"/>
        <item x="52"/>
        <item x="163"/>
        <item x="171"/>
        <item x="152"/>
        <item x="284"/>
        <item x="77"/>
        <item x="186"/>
        <item x="131"/>
        <item x="310"/>
        <item x="227"/>
        <item x="55"/>
        <item x="178"/>
        <item x="57"/>
        <item x="129"/>
        <item x="194"/>
        <item x="265"/>
        <item x="25"/>
        <item x="191"/>
        <item x="160"/>
        <item x="319"/>
        <item x="204"/>
        <item x="264"/>
        <item x="44"/>
        <item x="316"/>
        <item x="225"/>
        <item x="168"/>
        <item x="120"/>
        <item x="38"/>
        <item x="149"/>
        <item x="256"/>
        <item x="289"/>
        <item x="101"/>
        <item x="283"/>
        <item x="298"/>
        <item x="118"/>
        <item x="236"/>
        <item x="177"/>
        <item x="10"/>
        <item x="329"/>
        <item x="238"/>
        <item x="3"/>
        <item x="48"/>
        <item x="205"/>
        <item x="41"/>
        <item x="23"/>
        <item x="67"/>
        <item x="248"/>
        <item x="294"/>
        <item x="207"/>
        <item x="140"/>
        <item x="133"/>
        <item x="309"/>
        <item x="130"/>
        <item x="318"/>
        <item x="151"/>
        <item x="224"/>
        <item x="87"/>
        <item x="196"/>
        <item x="209"/>
        <item x="61"/>
        <item x="64"/>
        <item x="337"/>
        <item x="76"/>
        <item x="60"/>
        <item x="297"/>
        <item x="139"/>
        <item x="13"/>
        <item x="255"/>
        <item x="69"/>
        <item x="278"/>
        <item x="226"/>
        <item x="199"/>
        <item x="36"/>
        <item x="267"/>
        <item x="269"/>
        <item x="243"/>
        <item x="292"/>
        <item x="98"/>
        <item x="315"/>
        <item x="276"/>
        <item x="249"/>
        <item x="106"/>
        <item x="326"/>
        <item x="190"/>
        <item x="34"/>
        <item x="28"/>
        <item x="304"/>
        <item x="56"/>
        <item x="42"/>
        <item x="49"/>
        <item x="86"/>
        <item x="175"/>
        <item x="324"/>
        <item x="266"/>
        <item x="32"/>
        <item x="215"/>
        <item x="27"/>
        <item x="5"/>
        <item x="341"/>
        <item x="242"/>
        <item x="47"/>
        <item x="99"/>
        <item x="293"/>
        <item x="235"/>
        <item x="8"/>
        <item x="91"/>
        <item x="103"/>
        <item x="31"/>
        <item x="117"/>
        <item x="232"/>
        <item x="108"/>
        <item x="263"/>
        <item x="18"/>
        <item x="182"/>
        <item x="93"/>
        <item x="29"/>
        <item x="11"/>
        <item x="201"/>
        <item x="37"/>
        <item x="111"/>
        <item x="287"/>
        <item x="33"/>
        <item x="183"/>
        <item x="184"/>
        <item x="296"/>
        <item x="125"/>
        <item x="85"/>
        <item x="188"/>
        <item x="239"/>
        <item x="208"/>
        <item x="114"/>
        <item x="246"/>
        <item x="172"/>
        <item x="126"/>
        <item x="75"/>
        <item x="197"/>
        <item x="274"/>
        <item x="257"/>
        <item x="51"/>
        <item x="157"/>
        <item x="20"/>
        <item x="141"/>
        <item x="53"/>
        <item x="50"/>
        <item x="104"/>
        <item x="115"/>
        <item x="119"/>
        <item x="327"/>
        <item x="35"/>
        <item x="159"/>
        <item x="342"/>
        <item x="301"/>
        <item x="6"/>
        <item x="250"/>
        <item x="202"/>
        <item x="322"/>
        <item x="109"/>
        <item x="323"/>
        <item x="240"/>
        <item x="179"/>
        <item x="308"/>
        <item x="155"/>
        <item x="105"/>
        <item x="332"/>
        <item x="40"/>
        <item x="195"/>
        <item x="303"/>
        <item x="46"/>
        <item x="273"/>
        <item x="290"/>
        <item x="43"/>
        <item x="306"/>
        <item x="73"/>
        <item x="156"/>
        <item x="288"/>
        <item x="169"/>
        <item x="127"/>
        <item x="299"/>
        <item x="70"/>
        <item x="285"/>
        <item x="74"/>
        <item x="81"/>
        <item x="15"/>
        <item x="280"/>
        <item x="258"/>
        <item x="9"/>
        <item x="253"/>
        <item x="14"/>
        <item x="21"/>
        <item x="4"/>
        <item x="185"/>
        <item x="234"/>
        <item x="16"/>
        <item x="96"/>
        <item x="135"/>
        <item x="187"/>
        <item x="270"/>
        <item x="321"/>
        <item x="260"/>
        <item x="203"/>
        <item x="282"/>
        <item x="90"/>
        <item x="252"/>
        <item x="39"/>
        <item x="78"/>
        <item x="82"/>
        <item x="113"/>
        <item x="335"/>
        <item x="320"/>
        <item x="89"/>
        <item x="107"/>
        <item x="83"/>
        <item x="259"/>
        <item t="default"/>
      </items>
    </pivotField>
    <pivotField showAll="0"/>
    <pivotField showAll="0"/>
    <pivotField showAll="0"/>
    <pivotField showAll="0">
      <items count="6">
        <item x="2"/>
        <item x="0"/>
        <item x="3"/>
        <item x="4"/>
        <item x="1"/>
        <item t="default"/>
      </items>
    </pivotField>
    <pivotField showAll="0">
      <items count="13">
        <item x="9"/>
        <item x="1"/>
        <item x="4"/>
        <item x="8"/>
        <item x="7"/>
        <item x="11"/>
        <item x="5"/>
        <item x="3"/>
        <item x="10"/>
        <item x="2"/>
        <item x="6"/>
        <item x="0"/>
        <item t="default"/>
      </items>
    </pivotField>
    <pivotField showAll="0"/>
    <pivotField showAll="0">
      <items count="6">
        <item x="4"/>
        <item x="1"/>
        <item x="3"/>
        <item x="2"/>
        <item x="0"/>
        <item t="default"/>
      </items>
    </pivotField>
    <pivotField axis="axisRow" showAll="0" sortType="descending">
      <items count="8">
        <item x="0"/>
        <item x="2"/>
        <item x="5"/>
        <item x="3"/>
        <item x="4"/>
        <item x="1"/>
        <item x="6"/>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10"/>
  </rowFields>
  <rowItems count="8">
    <i>
      <x v="5"/>
    </i>
    <i>
      <x v="1"/>
    </i>
    <i>
      <x v="2"/>
    </i>
    <i>
      <x v="4"/>
    </i>
    <i>
      <x v="6"/>
    </i>
    <i>
      <x v="3"/>
    </i>
    <i>
      <x/>
    </i>
    <i t="grand">
      <x/>
    </i>
  </rowItems>
  <colItems count="1">
    <i/>
  </colItems>
  <dataFields count="1">
    <dataField name="Sum of Amount" fld="12" showDataAs="percentOfTotal" baseField="0" baseItem="0" numFmtId="10"/>
  </dataFields>
  <formats count="2">
    <format dxfId="35">
      <pivotArea outline="0" collapsedLevelsAreSubtotals="1" fieldPosition="0"/>
    </format>
    <format dxfId="36">
      <pivotArea outline="0" fieldPosition="0">
        <references count="1">
          <reference field="4294967294" count="1">
            <x v="0"/>
          </reference>
        </references>
      </pivotArea>
    </format>
  </formats>
  <chartFormats count="8">
    <chartFormat chart="2" format="9" series="1">
      <pivotArea type="data" outline="0" fieldPosition="0">
        <references count="1">
          <reference field="4294967294" count="1" selected="0">
            <x v="0"/>
          </reference>
        </references>
      </pivotArea>
    </chartFormat>
    <chartFormat chart="2" format="10">
      <pivotArea type="data" outline="0" fieldPosition="0">
        <references count="2">
          <reference field="4294967294" count="1" selected="0">
            <x v="0"/>
          </reference>
          <reference field="10" count="1" selected="0">
            <x v="5"/>
          </reference>
        </references>
      </pivotArea>
    </chartFormat>
    <chartFormat chart="2" format="11">
      <pivotArea type="data" outline="0" fieldPosition="0">
        <references count="2">
          <reference field="4294967294" count="1" selected="0">
            <x v="0"/>
          </reference>
          <reference field="10" count="1" selected="0">
            <x v="1"/>
          </reference>
        </references>
      </pivotArea>
    </chartFormat>
    <chartFormat chart="2" format="12">
      <pivotArea type="data" outline="0" fieldPosition="0">
        <references count="2">
          <reference field="4294967294" count="1" selected="0">
            <x v="0"/>
          </reference>
          <reference field="10" count="1" selected="0">
            <x v="2"/>
          </reference>
        </references>
      </pivotArea>
    </chartFormat>
    <chartFormat chart="2" format="13">
      <pivotArea type="data" outline="0" fieldPosition="0">
        <references count="2">
          <reference field="4294967294" count="1" selected="0">
            <x v="0"/>
          </reference>
          <reference field="10" count="1" selected="0">
            <x v="4"/>
          </reference>
        </references>
      </pivotArea>
    </chartFormat>
    <chartFormat chart="2" format="14">
      <pivotArea type="data" outline="0" fieldPosition="0">
        <references count="2">
          <reference field="4294967294" count="1" selected="0">
            <x v="0"/>
          </reference>
          <reference field="10" count="1" selected="0">
            <x v="6"/>
          </reference>
        </references>
      </pivotArea>
    </chartFormat>
    <chartFormat chart="2" format="15">
      <pivotArea type="data" outline="0" fieldPosition="0">
        <references count="2">
          <reference field="4294967294" count="1" selected="0">
            <x v="0"/>
          </reference>
          <reference field="10" count="1" selected="0">
            <x v="3"/>
          </reference>
        </references>
      </pivotArea>
    </chartFormat>
    <chartFormat chart="2" format="16">
      <pivotArea type="data" outline="0" fieldPosition="0">
        <references count="2">
          <reference field="4294967294" count="1" selected="0">
            <x v="0"/>
          </reference>
          <reference field="10" count="1" selected="0">
            <x v="0"/>
          </reference>
        </references>
      </pivotArea>
    </chartFormat>
  </chartFormats>
  <pivotTableStyleInfo name="PivotStyleMedium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247F3E-5D46-404A-B96D-81B723EA4D98}"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4">
  <location ref="A3:G10" firstHeaderRow="1" firstDataRow="2" firstDataCol="1"/>
  <pivotFields count="21">
    <pivotField showAll="0"/>
    <pivotField numFmtId="14" showAll="0"/>
    <pivotField numFmtId="14" showAll="0">
      <items count="344">
        <item x="334"/>
        <item x="192"/>
        <item x="54"/>
        <item x="311"/>
        <item x="173"/>
        <item x="217"/>
        <item x="223"/>
        <item x="80"/>
        <item x="330"/>
        <item x="153"/>
        <item x="102"/>
        <item x="339"/>
        <item x="336"/>
        <item x="161"/>
        <item x="251"/>
        <item x="340"/>
        <item x="281"/>
        <item x="302"/>
        <item x="17"/>
        <item x="261"/>
        <item x="300"/>
        <item x="221"/>
        <item x="92"/>
        <item x="193"/>
        <item x="328"/>
        <item x="279"/>
        <item x="176"/>
        <item x="132"/>
        <item x="228"/>
        <item x="162"/>
        <item x="144"/>
        <item x="218"/>
        <item x="305"/>
        <item x="150"/>
        <item x="286"/>
        <item x="312"/>
        <item x="219"/>
        <item x="58"/>
        <item x="68"/>
        <item x="216"/>
        <item x="136"/>
        <item x="26"/>
        <item x="66"/>
        <item x="121"/>
        <item x="230"/>
        <item x="333"/>
        <item x="262"/>
        <item x="19"/>
        <item x="79"/>
        <item x="181"/>
        <item x="116"/>
        <item x="148"/>
        <item x="314"/>
        <item x="138"/>
        <item x="30"/>
        <item x="291"/>
        <item x="222"/>
        <item x="200"/>
        <item x="331"/>
        <item x="147"/>
        <item x="71"/>
        <item x="245"/>
        <item x="22"/>
        <item x="97"/>
        <item x="7"/>
        <item x="272"/>
        <item x="165"/>
        <item x="62"/>
        <item x="247"/>
        <item x="158"/>
        <item x="88"/>
        <item x="214"/>
        <item x="244"/>
        <item x="213"/>
        <item x="146"/>
        <item x="122"/>
        <item x="142"/>
        <item x="134"/>
        <item x="231"/>
        <item x="307"/>
        <item x="277"/>
        <item x="128"/>
        <item x="313"/>
        <item x="63"/>
        <item x="210"/>
        <item x="338"/>
        <item x="317"/>
        <item x="65"/>
        <item x="229"/>
        <item x="45"/>
        <item x="94"/>
        <item x="254"/>
        <item x="268"/>
        <item x="110"/>
        <item x="189"/>
        <item x="72"/>
        <item x="124"/>
        <item x="1"/>
        <item x="206"/>
        <item x="0"/>
        <item x="220"/>
        <item x="59"/>
        <item x="84"/>
        <item x="233"/>
        <item x="123"/>
        <item x="271"/>
        <item x="325"/>
        <item x="241"/>
        <item x="295"/>
        <item x="174"/>
        <item x="95"/>
        <item x="166"/>
        <item x="137"/>
        <item x="212"/>
        <item x="211"/>
        <item x="2"/>
        <item x="12"/>
        <item x="275"/>
        <item x="112"/>
        <item x="154"/>
        <item x="143"/>
        <item x="164"/>
        <item x="180"/>
        <item x="167"/>
        <item x="237"/>
        <item x="145"/>
        <item x="170"/>
        <item x="198"/>
        <item x="24"/>
        <item x="100"/>
        <item x="52"/>
        <item x="163"/>
        <item x="171"/>
        <item x="152"/>
        <item x="284"/>
        <item x="77"/>
        <item x="186"/>
        <item x="131"/>
        <item x="310"/>
        <item x="227"/>
        <item x="55"/>
        <item x="178"/>
        <item x="57"/>
        <item x="129"/>
        <item x="194"/>
        <item x="265"/>
        <item x="25"/>
        <item x="191"/>
        <item x="160"/>
        <item x="319"/>
        <item x="204"/>
        <item x="264"/>
        <item x="44"/>
        <item x="316"/>
        <item x="225"/>
        <item x="168"/>
        <item x="120"/>
        <item x="38"/>
        <item x="149"/>
        <item x="256"/>
        <item x="289"/>
        <item x="101"/>
        <item x="283"/>
        <item x="298"/>
        <item x="118"/>
        <item x="236"/>
        <item x="177"/>
        <item x="10"/>
        <item x="329"/>
        <item x="238"/>
        <item x="3"/>
        <item x="48"/>
        <item x="205"/>
        <item x="41"/>
        <item x="23"/>
        <item x="67"/>
        <item x="248"/>
        <item x="294"/>
        <item x="207"/>
        <item x="140"/>
        <item x="133"/>
        <item x="309"/>
        <item x="130"/>
        <item x="318"/>
        <item x="151"/>
        <item x="224"/>
        <item x="87"/>
        <item x="196"/>
        <item x="209"/>
        <item x="61"/>
        <item x="64"/>
        <item x="337"/>
        <item x="76"/>
        <item x="60"/>
        <item x="297"/>
        <item x="139"/>
        <item x="13"/>
        <item x="255"/>
        <item x="69"/>
        <item x="278"/>
        <item x="226"/>
        <item x="199"/>
        <item x="36"/>
        <item x="267"/>
        <item x="269"/>
        <item x="243"/>
        <item x="292"/>
        <item x="98"/>
        <item x="315"/>
        <item x="276"/>
        <item x="249"/>
        <item x="106"/>
        <item x="326"/>
        <item x="190"/>
        <item x="34"/>
        <item x="28"/>
        <item x="304"/>
        <item x="56"/>
        <item x="42"/>
        <item x="49"/>
        <item x="86"/>
        <item x="175"/>
        <item x="324"/>
        <item x="266"/>
        <item x="32"/>
        <item x="215"/>
        <item x="27"/>
        <item x="5"/>
        <item x="341"/>
        <item x="242"/>
        <item x="47"/>
        <item x="99"/>
        <item x="293"/>
        <item x="235"/>
        <item x="8"/>
        <item x="91"/>
        <item x="103"/>
        <item x="31"/>
        <item x="117"/>
        <item x="232"/>
        <item x="108"/>
        <item x="263"/>
        <item x="18"/>
        <item x="182"/>
        <item x="93"/>
        <item x="29"/>
        <item x="11"/>
        <item x="201"/>
        <item x="37"/>
        <item x="111"/>
        <item x="287"/>
        <item x="33"/>
        <item x="183"/>
        <item x="184"/>
        <item x="296"/>
        <item x="125"/>
        <item x="85"/>
        <item x="188"/>
        <item x="239"/>
        <item x="208"/>
        <item x="114"/>
        <item x="246"/>
        <item x="172"/>
        <item x="126"/>
        <item x="75"/>
        <item x="197"/>
        <item x="274"/>
        <item x="257"/>
        <item x="51"/>
        <item x="157"/>
        <item x="20"/>
        <item x="141"/>
        <item x="53"/>
        <item x="50"/>
        <item x="104"/>
        <item x="115"/>
        <item x="119"/>
        <item x="327"/>
        <item x="35"/>
        <item x="159"/>
        <item x="342"/>
        <item x="301"/>
        <item x="6"/>
        <item x="250"/>
        <item x="202"/>
        <item x="322"/>
        <item x="109"/>
        <item x="323"/>
        <item x="240"/>
        <item x="179"/>
        <item x="308"/>
        <item x="155"/>
        <item x="105"/>
        <item x="332"/>
        <item x="40"/>
        <item x="195"/>
        <item x="303"/>
        <item x="46"/>
        <item x="273"/>
        <item x="290"/>
        <item x="43"/>
        <item x="306"/>
        <item x="73"/>
        <item x="156"/>
        <item x="288"/>
        <item x="169"/>
        <item x="127"/>
        <item x="299"/>
        <item x="70"/>
        <item x="285"/>
        <item x="74"/>
        <item x="81"/>
        <item x="15"/>
        <item x="280"/>
        <item x="258"/>
        <item x="9"/>
        <item x="253"/>
        <item x="14"/>
        <item x="21"/>
        <item x="4"/>
        <item x="185"/>
        <item x="234"/>
        <item x="16"/>
        <item x="96"/>
        <item x="135"/>
        <item x="187"/>
        <item x="270"/>
        <item x="321"/>
        <item x="260"/>
        <item x="203"/>
        <item x="282"/>
        <item x="90"/>
        <item x="252"/>
        <item x="39"/>
        <item x="78"/>
        <item x="82"/>
        <item x="113"/>
        <item x="335"/>
        <item x="320"/>
        <item x="89"/>
        <item x="107"/>
        <item x="83"/>
        <item x="259"/>
        <item t="default"/>
      </items>
    </pivotField>
    <pivotField showAll="0"/>
    <pivotField showAll="0"/>
    <pivotField showAll="0"/>
    <pivotField axis="axisCol" showAll="0">
      <items count="6">
        <item x="2"/>
        <item x="0"/>
        <item x="3"/>
        <item x="4"/>
        <item x="1"/>
        <item t="default"/>
      </items>
    </pivotField>
    <pivotField showAll="0">
      <items count="13">
        <item x="9"/>
        <item x="1"/>
        <item x="4"/>
        <item x="8"/>
        <item x="7"/>
        <item x="11"/>
        <item x="5"/>
        <item x="3"/>
        <item x="10"/>
        <item x="2"/>
        <item x="6"/>
        <item x="0"/>
        <item t="default"/>
      </items>
    </pivotField>
    <pivotField showAll="0"/>
    <pivotField axis="axisRow" showAll="0" sortType="descending">
      <items count="6">
        <item x="4"/>
        <item x="1"/>
        <item x="3"/>
        <item x="2"/>
        <item x="0"/>
        <item t="default"/>
      </items>
      <autoSortScope>
        <pivotArea dataOnly="0" outline="0" fieldPosition="0">
          <references count="1">
            <reference field="4294967294" count="1" selected="0">
              <x v="0"/>
            </reference>
          </references>
        </pivotArea>
      </autoSortScope>
    </pivotField>
    <pivotField showAll="0">
      <items count="8">
        <item x="0"/>
        <item x="2"/>
        <item x="5"/>
        <item x="3"/>
        <item x="4"/>
        <item x="1"/>
        <item x="6"/>
        <item t="default"/>
      </items>
    </pivotField>
    <pivotField showAll="0"/>
    <pivotField dataField="1"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9"/>
  </rowFields>
  <rowItems count="6">
    <i>
      <x v="4"/>
    </i>
    <i>
      <x v="3"/>
    </i>
    <i>
      <x v="2"/>
    </i>
    <i>
      <x/>
    </i>
    <i>
      <x v="1"/>
    </i>
    <i t="grand">
      <x/>
    </i>
  </rowItems>
  <colFields count="1">
    <field x="6"/>
  </colFields>
  <colItems count="6">
    <i>
      <x/>
    </i>
    <i>
      <x v="1"/>
    </i>
    <i>
      <x v="2"/>
    </i>
    <i>
      <x v="3"/>
    </i>
    <i>
      <x v="4"/>
    </i>
    <i t="grand">
      <x/>
    </i>
  </colItems>
  <dataFields count="1">
    <dataField name="Sum of Amount" fld="12" baseField="0" baseItem="0" numFmtId="167"/>
  </dataFields>
  <formats count="1">
    <format dxfId="37">
      <pivotArea outline="0" collapsedLevelsAreSubtotals="1" fieldPosition="0">
        <references count="1">
          <reference field="4294967294" count="1" selected="0">
            <x v="0"/>
          </reference>
        </references>
      </pivotArea>
    </format>
  </formats>
  <chartFormats count="12">
    <chartFormat chart="23" format="10" series="1">
      <pivotArea type="data" outline="0" fieldPosition="0">
        <references count="1">
          <reference field="4294967294" count="1" selected="0">
            <x v="0"/>
          </reference>
        </references>
      </pivotArea>
    </chartFormat>
    <chartFormat chart="23" format="11">
      <pivotArea type="data" outline="0" fieldPosition="0">
        <references count="2">
          <reference field="4294967294" count="1" selected="0">
            <x v="0"/>
          </reference>
          <reference field="9" count="1" selected="0">
            <x v="3"/>
          </reference>
        </references>
      </pivotArea>
    </chartFormat>
    <chartFormat chart="23" format="14" series="1">
      <pivotArea type="data" outline="0" fieldPosition="0">
        <references count="2">
          <reference field="4294967294" count="1" selected="0">
            <x v="0"/>
          </reference>
          <reference field="6" count="1" selected="0">
            <x v="1"/>
          </reference>
        </references>
      </pivotArea>
    </chartFormat>
    <chartFormat chart="23" format="15" series="1">
      <pivotArea type="data" outline="0" fieldPosition="0">
        <references count="2">
          <reference field="4294967294" count="1" selected="0">
            <x v="0"/>
          </reference>
          <reference field="6" count="1" selected="0">
            <x v="2"/>
          </reference>
        </references>
      </pivotArea>
    </chartFormat>
    <chartFormat chart="23" format="16" series="1">
      <pivotArea type="data" outline="0" fieldPosition="0">
        <references count="2">
          <reference field="4294967294" count="1" selected="0">
            <x v="0"/>
          </reference>
          <reference field="6" count="1" selected="0">
            <x v="3"/>
          </reference>
        </references>
      </pivotArea>
    </chartFormat>
    <chartFormat chart="23" format="17" series="1">
      <pivotArea type="data" outline="0" fieldPosition="0">
        <references count="2">
          <reference field="4294967294" count="1" selected="0">
            <x v="0"/>
          </reference>
          <reference field="6" count="1" selected="0">
            <x v="4"/>
          </reference>
        </references>
      </pivotArea>
    </chartFormat>
    <chartFormat chart="23" format="18" series="1">
      <pivotArea type="data" outline="0" fieldPosition="0">
        <references count="2">
          <reference field="4294967294" count="1" selected="0">
            <x v="0"/>
          </reference>
          <reference field="6" count="1" selected="0">
            <x v="0"/>
          </reference>
        </references>
      </pivotArea>
    </chartFormat>
    <chartFormat chart="23" format="19">
      <pivotArea type="data" outline="0" fieldPosition="0">
        <references count="3">
          <reference field="4294967294" count="1" selected="0">
            <x v="0"/>
          </reference>
          <reference field="6" count="1" selected="0">
            <x v="0"/>
          </reference>
          <reference field="9" count="1" selected="0">
            <x v="3"/>
          </reference>
        </references>
      </pivotArea>
    </chartFormat>
    <chartFormat chart="23" format="20">
      <pivotArea type="data" outline="0" fieldPosition="0">
        <references count="3">
          <reference field="4294967294" count="1" selected="0">
            <x v="0"/>
          </reference>
          <reference field="6" count="1" selected="0">
            <x v="1"/>
          </reference>
          <reference field="9" count="1" selected="0">
            <x v="3"/>
          </reference>
        </references>
      </pivotArea>
    </chartFormat>
    <chartFormat chart="23" format="21">
      <pivotArea type="data" outline="0" fieldPosition="0">
        <references count="3">
          <reference field="4294967294" count="1" selected="0">
            <x v="0"/>
          </reference>
          <reference field="6" count="1" selected="0">
            <x v="2"/>
          </reference>
          <reference field="9" count="1" selected="0">
            <x v="3"/>
          </reference>
        </references>
      </pivotArea>
    </chartFormat>
    <chartFormat chart="23" format="22">
      <pivotArea type="data" outline="0" fieldPosition="0">
        <references count="3">
          <reference field="4294967294" count="1" selected="0">
            <x v="0"/>
          </reference>
          <reference field="6" count="1" selected="0">
            <x v="3"/>
          </reference>
          <reference field="9" count="1" selected="0">
            <x v="3"/>
          </reference>
        </references>
      </pivotArea>
    </chartFormat>
    <chartFormat chart="23" format="23">
      <pivotArea type="data" outline="0" fieldPosition="0">
        <references count="3">
          <reference field="4294967294" count="1" selected="0">
            <x v="0"/>
          </reference>
          <reference field="6" count="1" selected="0">
            <x v="4"/>
          </reference>
          <reference field="9" count="1" selected="0">
            <x v="3"/>
          </reference>
        </references>
      </pivotArea>
    </chartFormat>
  </chartFormats>
  <pivotTableStyleInfo name="PivotStyleMedium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BAF10C8-D449-2D4A-8650-FDDC82FECAD8}"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G25:H38" firstHeaderRow="1" firstDataRow="1" firstDataCol="1" rowPageCount="1" colPageCount="1"/>
  <pivotFields count="21">
    <pivotField showAll="0"/>
    <pivotField numFmtId="14" showAll="0"/>
    <pivotField numFmtId="14" showAll="0">
      <items count="344">
        <item x="334"/>
        <item x="192"/>
        <item x="54"/>
        <item x="311"/>
        <item x="173"/>
        <item x="217"/>
        <item x="223"/>
        <item x="80"/>
        <item x="330"/>
        <item x="153"/>
        <item x="102"/>
        <item x="339"/>
        <item x="336"/>
        <item x="161"/>
        <item x="251"/>
        <item x="340"/>
        <item x="281"/>
        <item x="302"/>
        <item x="17"/>
        <item x="261"/>
        <item x="300"/>
        <item x="221"/>
        <item x="92"/>
        <item x="193"/>
        <item x="328"/>
        <item x="279"/>
        <item x="176"/>
        <item x="132"/>
        <item x="228"/>
        <item x="162"/>
        <item x="144"/>
        <item x="218"/>
        <item x="305"/>
        <item x="150"/>
        <item x="286"/>
        <item x="312"/>
        <item x="219"/>
        <item x="58"/>
        <item x="68"/>
        <item x="216"/>
        <item x="136"/>
        <item x="26"/>
        <item x="66"/>
        <item x="121"/>
        <item x="230"/>
        <item x="333"/>
        <item x="262"/>
        <item x="19"/>
        <item x="79"/>
        <item x="181"/>
        <item x="116"/>
        <item x="148"/>
        <item x="314"/>
        <item x="138"/>
        <item x="30"/>
        <item x="291"/>
        <item x="222"/>
        <item x="200"/>
        <item x="331"/>
        <item x="147"/>
        <item x="71"/>
        <item x="245"/>
        <item x="22"/>
        <item x="97"/>
        <item x="7"/>
        <item x="272"/>
        <item x="165"/>
        <item x="62"/>
        <item x="247"/>
        <item x="158"/>
        <item x="88"/>
        <item x="214"/>
        <item x="244"/>
        <item x="213"/>
        <item x="146"/>
        <item x="122"/>
        <item x="142"/>
        <item x="134"/>
        <item x="231"/>
        <item x="307"/>
        <item x="277"/>
        <item x="128"/>
        <item x="313"/>
        <item x="63"/>
        <item x="210"/>
        <item x="338"/>
        <item x="317"/>
        <item x="65"/>
        <item x="229"/>
        <item x="45"/>
        <item x="94"/>
        <item x="254"/>
        <item x="268"/>
        <item x="110"/>
        <item x="189"/>
        <item x="72"/>
        <item x="124"/>
        <item x="1"/>
        <item x="206"/>
        <item x="0"/>
        <item x="220"/>
        <item x="59"/>
        <item x="84"/>
        <item x="233"/>
        <item x="123"/>
        <item x="271"/>
        <item x="325"/>
        <item x="241"/>
        <item x="295"/>
        <item x="174"/>
        <item x="95"/>
        <item x="166"/>
        <item x="137"/>
        <item x="212"/>
        <item x="211"/>
        <item x="2"/>
        <item x="12"/>
        <item x="275"/>
        <item x="112"/>
        <item x="154"/>
        <item x="143"/>
        <item x="164"/>
        <item x="180"/>
        <item x="167"/>
        <item x="237"/>
        <item x="145"/>
        <item x="170"/>
        <item x="198"/>
        <item x="24"/>
        <item x="100"/>
        <item x="52"/>
        <item x="163"/>
        <item x="171"/>
        <item x="152"/>
        <item x="284"/>
        <item x="77"/>
        <item x="186"/>
        <item x="131"/>
        <item x="310"/>
        <item x="227"/>
        <item x="55"/>
        <item x="178"/>
        <item x="57"/>
        <item x="129"/>
        <item x="194"/>
        <item x="265"/>
        <item x="25"/>
        <item x="191"/>
        <item x="160"/>
        <item x="319"/>
        <item x="204"/>
        <item x="264"/>
        <item x="44"/>
        <item x="316"/>
        <item x="225"/>
        <item x="168"/>
        <item x="120"/>
        <item x="38"/>
        <item x="149"/>
        <item x="256"/>
        <item x="289"/>
        <item x="101"/>
        <item x="283"/>
        <item x="298"/>
        <item x="118"/>
        <item x="236"/>
        <item x="177"/>
        <item x="10"/>
        <item x="329"/>
        <item x="238"/>
        <item x="3"/>
        <item x="48"/>
        <item x="205"/>
        <item x="41"/>
        <item x="23"/>
        <item x="67"/>
        <item x="248"/>
        <item x="294"/>
        <item x="207"/>
        <item x="140"/>
        <item x="133"/>
        <item x="309"/>
        <item x="130"/>
        <item x="318"/>
        <item x="151"/>
        <item x="224"/>
        <item x="87"/>
        <item x="196"/>
        <item x="209"/>
        <item x="61"/>
        <item x="64"/>
        <item x="337"/>
        <item x="76"/>
        <item x="60"/>
        <item x="297"/>
        <item x="139"/>
        <item x="13"/>
        <item x="255"/>
        <item x="69"/>
        <item x="278"/>
        <item x="226"/>
        <item x="199"/>
        <item x="36"/>
        <item x="267"/>
        <item x="269"/>
        <item x="243"/>
        <item x="292"/>
        <item x="98"/>
        <item x="315"/>
        <item x="276"/>
        <item x="249"/>
        <item x="106"/>
        <item x="326"/>
        <item x="190"/>
        <item x="34"/>
        <item x="28"/>
        <item x="304"/>
        <item x="56"/>
        <item x="42"/>
        <item x="49"/>
        <item x="86"/>
        <item x="175"/>
        <item x="324"/>
        <item x="266"/>
        <item x="32"/>
        <item x="215"/>
        <item x="27"/>
        <item x="5"/>
        <item x="341"/>
        <item x="242"/>
        <item x="47"/>
        <item x="99"/>
        <item x="293"/>
        <item x="235"/>
        <item x="8"/>
        <item x="91"/>
        <item x="103"/>
        <item x="31"/>
        <item x="117"/>
        <item x="232"/>
        <item x="108"/>
        <item x="263"/>
        <item x="18"/>
        <item x="182"/>
        <item x="93"/>
        <item x="29"/>
        <item x="11"/>
        <item x="201"/>
        <item x="37"/>
        <item x="111"/>
        <item x="287"/>
        <item x="33"/>
        <item x="183"/>
        <item x="184"/>
        <item x="296"/>
        <item x="125"/>
        <item x="85"/>
        <item x="188"/>
        <item x="239"/>
        <item x="208"/>
        <item x="114"/>
        <item x="246"/>
        <item x="172"/>
        <item x="126"/>
        <item x="75"/>
        <item x="197"/>
        <item x="274"/>
        <item x="257"/>
        <item x="51"/>
        <item x="157"/>
        <item x="20"/>
        <item x="141"/>
        <item x="53"/>
        <item x="50"/>
        <item x="104"/>
        <item x="115"/>
        <item x="119"/>
        <item x="327"/>
        <item x="35"/>
        <item x="159"/>
        <item x="342"/>
        <item x="301"/>
        <item x="6"/>
        <item x="250"/>
        <item x="202"/>
        <item x="322"/>
        <item x="109"/>
        <item x="323"/>
        <item x="240"/>
        <item x="179"/>
        <item x="308"/>
        <item x="155"/>
        <item x="105"/>
        <item x="332"/>
        <item x="40"/>
        <item x="195"/>
        <item x="303"/>
        <item x="46"/>
        <item x="273"/>
        <item x="290"/>
        <item x="43"/>
        <item x="306"/>
        <item x="73"/>
        <item x="156"/>
        <item x="288"/>
        <item x="169"/>
        <item x="127"/>
        <item x="299"/>
        <item x="70"/>
        <item x="285"/>
        <item x="74"/>
        <item x="81"/>
        <item x="15"/>
        <item x="280"/>
        <item x="258"/>
        <item x="9"/>
        <item x="253"/>
        <item x="14"/>
        <item x="21"/>
        <item x="4"/>
        <item x="185"/>
        <item x="234"/>
        <item x="16"/>
        <item x="96"/>
        <item x="135"/>
        <item x="187"/>
        <item x="270"/>
        <item x="321"/>
        <item x="260"/>
        <item x="203"/>
        <item x="282"/>
        <item x="90"/>
        <item x="252"/>
        <item x="39"/>
        <item x="78"/>
        <item x="82"/>
        <item x="113"/>
        <item x="335"/>
        <item x="320"/>
        <item x="89"/>
        <item x="107"/>
        <item x="83"/>
        <item x="259"/>
        <item t="default"/>
      </items>
    </pivotField>
    <pivotField showAll="0"/>
    <pivotField showAll="0"/>
    <pivotField showAll="0"/>
    <pivotField showAll="0">
      <items count="6">
        <item x="2"/>
        <item x="0"/>
        <item x="3"/>
        <item x="4"/>
        <item x="1"/>
        <item t="default"/>
      </items>
    </pivotField>
    <pivotField axis="axisRow" showAll="0" sortType="descending">
      <items count="13">
        <item x="9"/>
        <item x="1"/>
        <item x="4"/>
        <item x="8"/>
        <item x="7"/>
        <item x="11"/>
        <item x="5"/>
        <item x="3"/>
        <item x="10"/>
        <item x="2"/>
        <item x="6"/>
        <item x="0"/>
        <item t="default"/>
      </items>
      <autoSortScope>
        <pivotArea dataOnly="0" outline="0" fieldPosition="0">
          <references count="1">
            <reference field="4294967294" count="1" selected="0">
              <x v="0"/>
            </reference>
          </references>
        </pivotArea>
      </autoSortScope>
    </pivotField>
    <pivotField showAll="0"/>
    <pivotField showAll="0">
      <items count="6">
        <item x="4"/>
        <item x="1"/>
        <item x="3"/>
        <item x="2"/>
        <item x="0"/>
        <item t="default"/>
      </items>
    </pivotField>
    <pivotField axis="axisPage" multipleItemSelectionAllowed="1" showAll="0">
      <items count="8">
        <item x="0"/>
        <item x="2"/>
        <item x="5"/>
        <item x="3"/>
        <item x="4"/>
        <item x="1"/>
        <item x="6"/>
        <item t="default"/>
      </items>
    </pivotField>
    <pivotField showAll="0"/>
    <pivotField dataField="1"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7"/>
  </rowFields>
  <rowItems count="13">
    <i>
      <x v="10"/>
    </i>
    <i>
      <x v="3"/>
    </i>
    <i>
      <x v="8"/>
    </i>
    <i>
      <x/>
    </i>
    <i>
      <x v="1"/>
    </i>
    <i>
      <x v="9"/>
    </i>
    <i>
      <x v="4"/>
    </i>
    <i>
      <x v="6"/>
    </i>
    <i>
      <x v="11"/>
    </i>
    <i>
      <x v="2"/>
    </i>
    <i>
      <x v="7"/>
    </i>
    <i>
      <x v="5"/>
    </i>
    <i t="grand">
      <x/>
    </i>
  </rowItems>
  <colItems count="1">
    <i/>
  </colItems>
  <pageFields count="1">
    <pageField fld="10" hier="-1"/>
  </pageFields>
  <dataFields count="1">
    <dataField name="Sum of Amount" fld="12" baseField="0" baseItem="0" numFmtId="167"/>
  </dataFields>
  <formats count="1">
    <format dxfId="31">
      <pivotArea outline="0" collapsedLevelsAreSubtotals="1" fieldPosition="0"/>
    </format>
  </formats>
  <chartFormats count="27">
    <chartFormat chart="6" format="4"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0"/>
          </reference>
        </references>
      </pivotArea>
    </chartFormat>
    <chartFormat chart="18" format="2">
      <pivotArea type="data" outline="0" fieldPosition="0">
        <references count="2">
          <reference field="4294967294" count="1" selected="0">
            <x v="0"/>
          </reference>
          <reference field="7" count="1" selected="0">
            <x v="10"/>
          </reference>
        </references>
      </pivotArea>
    </chartFormat>
    <chartFormat chart="18" format="3">
      <pivotArea type="data" outline="0" fieldPosition="0">
        <references count="2">
          <reference field="4294967294" count="1" selected="0">
            <x v="0"/>
          </reference>
          <reference field="7" count="1" selected="0">
            <x v="3"/>
          </reference>
        </references>
      </pivotArea>
    </chartFormat>
    <chartFormat chart="18" format="4">
      <pivotArea type="data" outline="0" fieldPosition="0">
        <references count="2">
          <reference field="4294967294" count="1" selected="0">
            <x v="0"/>
          </reference>
          <reference field="7" count="1" selected="0">
            <x v="8"/>
          </reference>
        </references>
      </pivotArea>
    </chartFormat>
    <chartFormat chart="18" format="5">
      <pivotArea type="data" outline="0" fieldPosition="0">
        <references count="2">
          <reference field="4294967294" count="1" selected="0">
            <x v="0"/>
          </reference>
          <reference field="7" count="1" selected="0">
            <x v="0"/>
          </reference>
        </references>
      </pivotArea>
    </chartFormat>
    <chartFormat chart="18" format="6">
      <pivotArea type="data" outline="0" fieldPosition="0">
        <references count="2">
          <reference field="4294967294" count="1" selected="0">
            <x v="0"/>
          </reference>
          <reference field="7" count="1" selected="0">
            <x v="1"/>
          </reference>
        </references>
      </pivotArea>
    </chartFormat>
    <chartFormat chart="18" format="7">
      <pivotArea type="data" outline="0" fieldPosition="0">
        <references count="2">
          <reference field="4294967294" count="1" selected="0">
            <x v="0"/>
          </reference>
          <reference field="7" count="1" selected="0">
            <x v="9"/>
          </reference>
        </references>
      </pivotArea>
    </chartFormat>
    <chartFormat chart="18" format="8">
      <pivotArea type="data" outline="0" fieldPosition="0">
        <references count="2">
          <reference field="4294967294" count="1" selected="0">
            <x v="0"/>
          </reference>
          <reference field="7" count="1" selected="0">
            <x v="4"/>
          </reference>
        </references>
      </pivotArea>
    </chartFormat>
    <chartFormat chart="18" format="9">
      <pivotArea type="data" outline="0" fieldPosition="0">
        <references count="2">
          <reference field="4294967294" count="1" selected="0">
            <x v="0"/>
          </reference>
          <reference field="7" count="1" selected="0">
            <x v="6"/>
          </reference>
        </references>
      </pivotArea>
    </chartFormat>
    <chartFormat chart="18" format="10">
      <pivotArea type="data" outline="0" fieldPosition="0">
        <references count="2">
          <reference field="4294967294" count="1" selected="0">
            <x v="0"/>
          </reference>
          <reference field="7" count="1" selected="0">
            <x v="11"/>
          </reference>
        </references>
      </pivotArea>
    </chartFormat>
    <chartFormat chart="18" format="11">
      <pivotArea type="data" outline="0" fieldPosition="0">
        <references count="2">
          <reference field="4294967294" count="1" selected="0">
            <x v="0"/>
          </reference>
          <reference field="7" count="1" selected="0">
            <x v="2"/>
          </reference>
        </references>
      </pivotArea>
    </chartFormat>
    <chartFormat chart="18" format="12">
      <pivotArea type="data" outline="0" fieldPosition="0">
        <references count="2">
          <reference field="4294967294" count="1" selected="0">
            <x v="0"/>
          </reference>
          <reference field="7" count="1" selected="0">
            <x v="7"/>
          </reference>
        </references>
      </pivotArea>
    </chartFormat>
    <chartFormat chart="18" format="13">
      <pivotArea type="data" outline="0" fieldPosition="0">
        <references count="2">
          <reference field="4294967294" count="1" selected="0">
            <x v="0"/>
          </reference>
          <reference field="7" count="1" selected="0">
            <x v="5"/>
          </reference>
        </references>
      </pivotArea>
    </chartFormat>
    <chartFormat chart="19" format="14" series="1">
      <pivotArea type="data" outline="0" fieldPosition="0">
        <references count="1">
          <reference field="4294967294" count="1" selected="0">
            <x v="0"/>
          </reference>
        </references>
      </pivotArea>
    </chartFormat>
    <chartFormat chart="19" format="15">
      <pivotArea type="data" outline="0" fieldPosition="0">
        <references count="2">
          <reference field="4294967294" count="1" selected="0">
            <x v="0"/>
          </reference>
          <reference field="7" count="1" selected="0">
            <x v="10"/>
          </reference>
        </references>
      </pivotArea>
    </chartFormat>
    <chartFormat chart="19" format="16">
      <pivotArea type="data" outline="0" fieldPosition="0">
        <references count="2">
          <reference field="4294967294" count="1" selected="0">
            <x v="0"/>
          </reference>
          <reference field="7" count="1" selected="0">
            <x v="3"/>
          </reference>
        </references>
      </pivotArea>
    </chartFormat>
    <chartFormat chart="19" format="17">
      <pivotArea type="data" outline="0" fieldPosition="0">
        <references count="2">
          <reference field="4294967294" count="1" selected="0">
            <x v="0"/>
          </reference>
          <reference field="7" count="1" selected="0">
            <x v="8"/>
          </reference>
        </references>
      </pivotArea>
    </chartFormat>
    <chartFormat chart="19" format="18">
      <pivotArea type="data" outline="0" fieldPosition="0">
        <references count="2">
          <reference field="4294967294" count="1" selected="0">
            <x v="0"/>
          </reference>
          <reference field="7" count="1" selected="0">
            <x v="0"/>
          </reference>
        </references>
      </pivotArea>
    </chartFormat>
    <chartFormat chart="19" format="19">
      <pivotArea type="data" outline="0" fieldPosition="0">
        <references count="2">
          <reference field="4294967294" count="1" selected="0">
            <x v="0"/>
          </reference>
          <reference field="7" count="1" selected="0">
            <x v="1"/>
          </reference>
        </references>
      </pivotArea>
    </chartFormat>
    <chartFormat chart="19" format="20">
      <pivotArea type="data" outline="0" fieldPosition="0">
        <references count="2">
          <reference field="4294967294" count="1" selected="0">
            <x v="0"/>
          </reference>
          <reference field="7" count="1" selected="0">
            <x v="9"/>
          </reference>
        </references>
      </pivotArea>
    </chartFormat>
    <chartFormat chart="19" format="21">
      <pivotArea type="data" outline="0" fieldPosition="0">
        <references count="2">
          <reference field="4294967294" count="1" selected="0">
            <x v="0"/>
          </reference>
          <reference field="7" count="1" selected="0">
            <x v="4"/>
          </reference>
        </references>
      </pivotArea>
    </chartFormat>
    <chartFormat chart="19" format="22">
      <pivotArea type="data" outline="0" fieldPosition="0">
        <references count="2">
          <reference field="4294967294" count="1" selected="0">
            <x v="0"/>
          </reference>
          <reference field="7" count="1" selected="0">
            <x v="6"/>
          </reference>
        </references>
      </pivotArea>
    </chartFormat>
    <chartFormat chart="19" format="23">
      <pivotArea type="data" outline="0" fieldPosition="0">
        <references count="2">
          <reference field="4294967294" count="1" selected="0">
            <x v="0"/>
          </reference>
          <reference field="7" count="1" selected="0">
            <x v="11"/>
          </reference>
        </references>
      </pivotArea>
    </chartFormat>
    <chartFormat chart="19" format="24">
      <pivotArea type="data" outline="0" fieldPosition="0">
        <references count="2">
          <reference field="4294967294" count="1" selected="0">
            <x v="0"/>
          </reference>
          <reference field="7" count="1" selected="0">
            <x v="2"/>
          </reference>
        </references>
      </pivotArea>
    </chartFormat>
    <chartFormat chart="19" format="25">
      <pivotArea type="data" outline="0" fieldPosition="0">
        <references count="2">
          <reference field="4294967294" count="1" selected="0">
            <x v="0"/>
          </reference>
          <reference field="7" count="1" selected="0">
            <x v="7"/>
          </reference>
        </references>
      </pivotArea>
    </chartFormat>
    <chartFormat chart="19" format="26">
      <pivotArea type="data" outline="0" fieldPosition="0">
        <references count="2">
          <reference field="4294967294" count="1" selected="0">
            <x v="0"/>
          </reference>
          <reference field="7" count="1" selected="0">
            <x v="5"/>
          </reference>
        </references>
      </pivotArea>
    </chartFormat>
  </chartFormats>
  <pivotTableStyleInfo name="PivotStyleMedium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FE73093-72FF-EC4E-8D8E-7F9F664C16CC}"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15:E21" firstHeaderRow="1" firstDataRow="1" firstDataCol="1"/>
  <pivotFields count="21">
    <pivotField showAll="0"/>
    <pivotField numFmtId="14" showAll="0"/>
    <pivotField numFmtId="14" showAll="0">
      <items count="344">
        <item x="334"/>
        <item x="192"/>
        <item x="54"/>
        <item x="311"/>
        <item x="173"/>
        <item x="217"/>
        <item x="223"/>
        <item x="80"/>
        <item x="330"/>
        <item x="153"/>
        <item x="102"/>
        <item x="339"/>
        <item x="336"/>
        <item x="161"/>
        <item x="251"/>
        <item x="340"/>
        <item x="281"/>
        <item x="302"/>
        <item x="17"/>
        <item x="261"/>
        <item x="300"/>
        <item x="221"/>
        <item x="92"/>
        <item x="193"/>
        <item x="328"/>
        <item x="279"/>
        <item x="176"/>
        <item x="132"/>
        <item x="228"/>
        <item x="162"/>
        <item x="144"/>
        <item x="218"/>
        <item x="305"/>
        <item x="150"/>
        <item x="286"/>
        <item x="312"/>
        <item x="219"/>
        <item x="58"/>
        <item x="68"/>
        <item x="216"/>
        <item x="136"/>
        <item x="26"/>
        <item x="66"/>
        <item x="121"/>
        <item x="230"/>
        <item x="333"/>
        <item x="262"/>
        <item x="19"/>
        <item x="79"/>
        <item x="181"/>
        <item x="116"/>
        <item x="148"/>
        <item x="314"/>
        <item x="138"/>
        <item x="30"/>
        <item x="291"/>
        <item x="222"/>
        <item x="200"/>
        <item x="331"/>
        <item x="147"/>
        <item x="71"/>
        <item x="245"/>
        <item x="22"/>
        <item x="97"/>
        <item x="7"/>
        <item x="272"/>
        <item x="165"/>
        <item x="62"/>
        <item x="247"/>
        <item x="158"/>
        <item x="88"/>
        <item x="214"/>
        <item x="244"/>
        <item x="213"/>
        <item x="146"/>
        <item x="122"/>
        <item x="142"/>
        <item x="134"/>
        <item x="231"/>
        <item x="307"/>
        <item x="277"/>
        <item x="128"/>
        <item x="313"/>
        <item x="63"/>
        <item x="210"/>
        <item x="338"/>
        <item x="317"/>
        <item x="65"/>
        <item x="229"/>
        <item x="45"/>
        <item x="94"/>
        <item x="254"/>
        <item x="268"/>
        <item x="110"/>
        <item x="189"/>
        <item x="72"/>
        <item x="124"/>
        <item x="1"/>
        <item x="206"/>
        <item x="0"/>
        <item x="220"/>
        <item x="59"/>
        <item x="84"/>
        <item x="233"/>
        <item x="123"/>
        <item x="271"/>
        <item x="325"/>
        <item x="241"/>
        <item x="295"/>
        <item x="174"/>
        <item x="95"/>
        <item x="166"/>
        <item x="137"/>
        <item x="212"/>
        <item x="211"/>
        <item x="2"/>
        <item x="12"/>
        <item x="275"/>
        <item x="112"/>
        <item x="154"/>
        <item x="143"/>
        <item x="164"/>
        <item x="180"/>
        <item x="167"/>
        <item x="237"/>
        <item x="145"/>
        <item x="170"/>
        <item x="198"/>
        <item x="24"/>
        <item x="100"/>
        <item x="52"/>
        <item x="163"/>
        <item x="171"/>
        <item x="152"/>
        <item x="284"/>
        <item x="77"/>
        <item x="186"/>
        <item x="131"/>
        <item x="310"/>
        <item x="227"/>
        <item x="55"/>
        <item x="178"/>
        <item x="57"/>
        <item x="129"/>
        <item x="194"/>
        <item x="265"/>
        <item x="25"/>
        <item x="191"/>
        <item x="160"/>
        <item x="319"/>
        <item x="204"/>
        <item x="264"/>
        <item x="44"/>
        <item x="316"/>
        <item x="225"/>
        <item x="168"/>
        <item x="120"/>
        <item x="38"/>
        <item x="149"/>
        <item x="256"/>
        <item x="289"/>
        <item x="101"/>
        <item x="283"/>
        <item x="298"/>
        <item x="118"/>
        <item x="236"/>
        <item x="177"/>
        <item x="10"/>
        <item x="329"/>
        <item x="238"/>
        <item x="3"/>
        <item x="48"/>
        <item x="205"/>
        <item x="41"/>
        <item x="23"/>
        <item x="67"/>
        <item x="248"/>
        <item x="294"/>
        <item x="207"/>
        <item x="140"/>
        <item x="133"/>
        <item x="309"/>
        <item x="130"/>
        <item x="318"/>
        <item x="151"/>
        <item x="224"/>
        <item x="87"/>
        <item x="196"/>
        <item x="209"/>
        <item x="61"/>
        <item x="64"/>
        <item x="337"/>
        <item x="76"/>
        <item x="60"/>
        <item x="297"/>
        <item x="139"/>
        <item x="13"/>
        <item x="255"/>
        <item x="69"/>
        <item x="278"/>
        <item x="226"/>
        <item x="199"/>
        <item x="36"/>
        <item x="267"/>
        <item x="269"/>
        <item x="243"/>
        <item x="292"/>
        <item x="98"/>
        <item x="315"/>
        <item x="276"/>
        <item x="249"/>
        <item x="106"/>
        <item x="326"/>
        <item x="190"/>
        <item x="34"/>
        <item x="28"/>
        <item x="304"/>
        <item x="56"/>
        <item x="42"/>
        <item x="49"/>
        <item x="86"/>
        <item x="175"/>
        <item x="324"/>
        <item x="266"/>
        <item x="32"/>
        <item x="215"/>
        <item x="27"/>
        <item x="5"/>
        <item x="341"/>
        <item x="242"/>
        <item x="47"/>
        <item x="99"/>
        <item x="293"/>
        <item x="235"/>
        <item x="8"/>
        <item x="91"/>
        <item x="103"/>
        <item x="31"/>
        <item x="117"/>
        <item x="232"/>
        <item x="108"/>
        <item x="263"/>
        <item x="18"/>
        <item x="182"/>
        <item x="93"/>
        <item x="29"/>
        <item x="11"/>
        <item x="201"/>
        <item x="37"/>
        <item x="111"/>
        <item x="287"/>
        <item x="33"/>
        <item x="183"/>
        <item x="184"/>
        <item x="296"/>
        <item x="125"/>
        <item x="85"/>
        <item x="188"/>
        <item x="239"/>
        <item x="208"/>
        <item x="114"/>
        <item x="246"/>
        <item x="172"/>
        <item x="126"/>
        <item x="75"/>
        <item x="197"/>
        <item x="274"/>
        <item x="257"/>
        <item x="51"/>
        <item x="157"/>
        <item x="20"/>
        <item x="141"/>
        <item x="53"/>
        <item x="50"/>
        <item x="104"/>
        <item x="115"/>
        <item x="119"/>
        <item x="327"/>
        <item x="35"/>
        <item x="159"/>
        <item x="342"/>
        <item x="301"/>
        <item x="6"/>
        <item x="250"/>
        <item x="202"/>
        <item x="322"/>
        <item x="109"/>
        <item x="323"/>
        <item x="240"/>
        <item x="179"/>
        <item x="308"/>
        <item x="155"/>
        <item x="105"/>
        <item x="332"/>
        <item x="40"/>
        <item x="195"/>
        <item x="303"/>
        <item x="46"/>
        <item x="273"/>
        <item x="290"/>
        <item x="43"/>
        <item x="306"/>
        <item x="73"/>
        <item x="156"/>
        <item x="288"/>
        <item x="169"/>
        <item x="127"/>
        <item x="299"/>
        <item x="70"/>
        <item x="285"/>
        <item x="74"/>
        <item x="81"/>
        <item x="15"/>
        <item x="280"/>
        <item x="258"/>
        <item x="9"/>
        <item x="253"/>
        <item x="14"/>
        <item x="21"/>
        <item x="4"/>
        <item x="185"/>
        <item x="234"/>
        <item x="16"/>
        <item x="96"/>
        <item x="135"/>
        <item x="187"/>
        <item x="270"/>
        <item x="321"/>
        <item x="260"/>
        <item x="203"/>
        <item x="282"/>
        <item x="90"/>
        <item x="252"/>
        <item x="39"/>
        <item x="78"/>
        <item x="82"/>
        <item x="113"/>
        <item x="335"/>
        <item x="320"/>
        <item x="89"/>
        <item x="107"/>
        <item x="83"/>
        <item x="259"/>
        <item t="default"/>
      </items>
    </pivotField>
    <pivotField showAll="0"/>
    <pivotField showAll="0"/>
    <pivotField showAll="0"/>
    <pivotField axis="axisRow" showAll="0" sortType="descending">
      <items count="6">
        <item x="2"/>
        <item x="0"/>
        <item x="3"/>
        <item x="4"/>
        <item x="1"/>
        <item t="default"/>
      </items>
      <autoSortScope>
        <pivotArea dataOnly="0" outline="0" fieldPosition="0">
          <references count="1">
            <reference field="4294967294" count="1" selected="0">
              <x v="0"/>
            </reference>
          </references>
        </pivotArea>
      </autoSortScope>
    </pivotField>
    <pivotField showAll="0">
      <items count="13">
        <item x="9"/>
        <item x="1"/>
        <item x="4"/>
        <item x="8"/>
        <item x="7"/>
        <item x="11"/>
        <item x="5"/>
        <item x="3"/>
        <item x="10"/>
        <item x="2"/>
        <item x="6"/>
        <item x="0"/>
        <item t="default"/>
      </items>
    </pivotField>
    <pivotField showAll="0"/>
    <pivotField showAll="0">
      <items count="6">
        <item x="4"/>
        <item x="1"/>
        <item x="3"/>
        <item x="2"/>
        <item x="0"/>
        <item t="default"/>
      </items>
    </pivotField>
    <pivotField showAll="0">
      <items count="8">
        <item x="0"/>
        <item x="2"/>
        <item x="5"/>
        <item x="3"/>
        <item x="4"/>
        <item x="1"/>
        <item x="6"/>
        <item t="default"/>
      </items>
    </pivotField>
    <pivotField showAll="0"/>
    <pivotField dataField="1"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6"/>
  </rowFields>
  <rowItems count="6">
    <i>
      <x v="2"/>
    </i>
    <i>
      <x/>
    </i>
    <i>
      <x v="3"/>
    </i>
    <i>
      <x v="1"/>
    </i>
    <i>
      <x v="4"/>
    </i>
    <i t="grand">
      <x/>
    </i>
  </rowItems>
  <colItems count="1">
    <i/>
  </colItems>
  <dataFields count="1">
    <dataField name="Sum of Amount" fld="12" baseField="0" baseItem="0" numFmtId="167"/>
  </dataFields>
  <formats count="1">
    <format dxfId="32">
      <pivotArea outline="0" collapsedLevelsAreSubtotals="1" fieldPosition="0"/>
    </format>
  </formats>
  <chartFormats count="2">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Medium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FFD57C5-64DD-E643-966A-020709A04836}" name="PivotTable1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3">
  <location ref="I5:J18" firstHeaderRow="1" firstDataRow="1" firstDataCol="1" rowPageCount="1" colPageCount="1"/>
  <pivotFields count="21">
    <pivotField showAll="0"/>
    <pivotField numFmtId="14" showAll="0"/>
    <pivotField numFmtId="14" showAll="0">
      <items count="344">
        <item x="334"/>
        <item x="192"/>
        <item x="54"/>
        <item x="311"/>
        <item x="173"/>
        <item x="217"/>
        <item x="223"/>
        <item x="80"/>
        <item x="330"/>
        <item x="153"/>
        <item x="102"/>
        <item x="339"/>
        <item x="336"/>
        <item x="161"/>
        <item x="251"/>
        <item x="340"/>
        <item x="281"/>
        <item x="302"/>
        <item x="17"/>
        <item x="261"/>
        <item x="300"/>
        <item x="221"/>
        <item x="92"/>
        <item x="193"/>
        <item x="328"/>
        <item x="279"/>
        <item x="176"/>
        <item x="132"/>
        <item x="228"/>
        <item x="162"/>
        <item x="144"/>
        <item x="218"/>
        <item x="305"/>
        <item x="150"/>
        <item x="286"/>
        <item x="312"/>
        <item x="219"/>
        <item x="58"/>
        <item x="68"/>
        <item x="216"/>
        <item x="136"/>
        <item x="26"/>
        <item x="66"/>
        <item x="121"/>
        <item x="230"/>
        <item x="333"/>
        <item x="262"/>
        <item x="19"/>
        <item x="79"/>
        <item x="181"/>
        <item x="116"/>
        <item x="148"/>
        <item x="314"/>
        <item x="138"/>
        <item x="30"/>
        <item x="291"/>
        <item x="222"/>
        <item x="200"/>
        <item x="331"/>
        <item x="147"/>
        <item x="71"/>
        <item x="245"/>
        <item x="22"/>
        <item x="97"/>
        <item x="7"/>
        <item x="272"/>
        <item x="165"/>
        <item x="62"/>
        <item x="247"/>
        <item x="158"/>
        <item x="88"/>
        <item x="214"/>
        <item x="244"/>
        <item x="213"/>
        <item x="146"/>
        <item x="122"/>
        <item x="142"/>
        <item x="134"/>
        <item x="231"/>
        <item x="307"/>
        <item x="277"/>
        <item x="128"/>
        <item x="313"/>
        <item x="63"/>
        <item x="210"/>
        <item x="338"/>
        <item x="317"/>
        <item x="65"/>
        <item x="229"/>
        <item x="45"/>
        <item x="94"/>
        <item x="254"/>
        <item x="268"/>
        <item x="110"/>
        <item x="189"/>
        <item x="72"/>
        <item x="124"/>
        <item x="1"/>
        <item x="206"/>
        <item x="0"/>
        <item x="220"/>
        <item x="59"/>
        <item x="84"/>
        <item x="233"/>
        <item x="123"/>
        <item x="271"/>
        <item x="325"/>
        <item x="241"/>
        <item x="295"/>
        <item x="174"/>
        <item x="95"/>
        <item x="166"/>
        <item x="137"/>
        <item x="212"/>
        <item x="211"/>
        <item x="2"/>
        <item x="12"/>
        <item x="275"/>
        <item x="112"/>
        <item x="154"/>
        <item x="143"/>
        <item x="164"/>
        <item x="180"/>
        <item x="167"/>
        <item x="237"/>
        <item x="145"/>
        <item x="170"/>
        <item x="198"/>
        <item x="24"/>
        <item x="100"/>
        <item x="52"/>
        <item x="163"/>
        <item x="171"/>
        <item x="152"/>
        <item x="284"/>
        <item x="77"/>
        <item x="186"/>
        <item x="131"/>
        <item x="310"/>
        <item x="227"/>
        <item x="55"/>
        <item x="178"/>
        <item x="57"/>
        <item x="129"/>
        <item x="194"/>
        <item x="265"/>
        <item x="25"/>
        <item x="191"/>
        <item x="160"/>
        <item x="319"/>
        <item x="204"/>
        <item x="264"/>
        <item x="44"/>
        <item x="316"/>
        <item x="225"/>
        <item x="168"/>
        <item x="120"/>
        <item x="38"/>
        <item x="149"/>
        <item x="256"/>
        <item x="289"/>
        <item x="101"/>
        <item x="283"/>
        <item x="298"/>
        <item x="118"/>
        <item x="236"/>
        <item x="177"/>
        <item x="10"/>
        <item x="329"/>
        <item x="238"/>
        <item x="3"/>
        <item x="48"/>
        <item x="205"/>
        <item x="41"/>
        <item x="23"/>
        <item x="67"/>
        <item x="248"/>
        <item x="294"/>
        <item x="207"/>
        <item x="140"/>
        <item x="133"/>
        <item x="309"/>
        <item x="130"/>
        <item x="318"/>
        <item x="151"/>
        <item x="224"/>
        <item x="87"/>
        <item x="196"/>
        <item x="209"/>
        <item x="61"/>
        <item x="64"/>
        <item x="337"/>
        <item x="76"/>
        <item x="60"/>
        <item x="297"/>
        <item x="139"/>
        <item x="13"/>
        <item x="255"/>
        <item x="69"/>
        <item x="278"/>
        <item x="226"/>
        <item x="199"/>
        <item x="36"/>
        <item x="267"/>
        <item x="269"/>
        <item x="243"/>
        <item x="292"/>
        <item x="98"/>
        <item x="315"/>
        <item x="276"/>
        <item x="249"/>
        <item x="106"/>
        <item x="326"/>
        <item x="190"/>
        <item x="34"/>
        <item x="28"/>
        <item x="304"/>
        <item x="56"/>
        <item x="42"/>
        <item x="49"/>
        <item x="86"/>
        <item x="175"/>
        <item x="324"/>
        <item x="266"/>
        <item x="32"/>
        <item x="215"/>
        <item x="27"/>
        <item x="5"/>
        <item x="341"/>
        <item x="242"/>
        <item x="47"/>
        <item x="99"/>
        <item x="293"/>
        <item x="235"/>
        <item x="8"/>
        <item x="91"/>
        <item x="103"/>
        <item x="31"/>
        <item x="117"/>
        <item x="232"/>
        <item x="108"/>
        <item x="263"/>
        <item x="18"/>
        <item x="182"/>
        <item x="93"/>
        <item x="29"/>
        <item x="11"/>
        <item x="201"/>
        <item x="37"/>
        <item x="111"/>
        <item x="287"/>
        <item x="33"/>
        <item x="183"/>
        <item x="184"/>
        <item x="296"/>
        <item x="125"/>
        <item x="85"/>
        <item x="188"/>
        <item x="239"/>
        <item x="208"/>
        <item x="114"/>
        <item x="246"/>
        <item x="172"/>
        <item x="126"/>
        <item x="75"/>
        <item x="197"/>
        <item x="274"/>
        <item x="257"/>
        <item x="51"/>
        <item x="157"/>
        <item x="20"/>
        <item x="141"/>
        <item x="53"/>
        <item x="50"/>
        <item x="104"/>
        <item x="115"/>
        <item x="119"/>
        <item x="327"/>
        <item x="35"/>
        <item x="159"/>
        <item x="342"/>
        <item x="301"/>
        <item x="6"/>
        <item x="250"/>
        <item x="202"/>
        <item x="322"/>
        <item x="109"/>
        <item x="323"/>
        <item x="240"/>
        <item x="179"/>
        <item x="308"/>
        <item x="155"/>
        <item x="105"/>
        <item x="332"/>
        <item x="40"/>
        <item x="195"/>
        <item x="303"/>
        <item x="46"/>
        <item x="273"/>
        <item x="290"/>
        <item x="43"/>
        <item x="306"/>
        <item x="73"/>
        <item x="156"/>
        <item x="288"/>
        <item x="169"/>
        <item x="127"/>
        <item x="299"/>
        <item x="70"/>
        <item x="285"/>
        <item x="74"/>
        <item x="81"/>
        <item x="15"/>
        <item x="280"/>
        <item x="258"/>
        <item x="9"/>
        <item x="253"/>
        <item x="14"/>
        <item x="21"/>
        <item x="4"/>
        <item x="185"/>
        <item x="234"/>
        <item x="16"/>
        <item x="96"/>
        <item x="135"/>
        <item x="187"/>
        <item x="270"/>
        <item x="321"/>
        <item x="260"/>
        <item x="203"/>
        <item x="282"/>
        <item x="90"/>
        <item x="252"/>
        <item x="39"/>
        <item x="78"/>
        <item x="82"/>
        <item x="113"/>
        <item x="335"/>
        <item x="320"/>
        <item x="89"/>
        <item x="107"/>
        <item x="83"/>
        <item x="259"/>
        <item t="default"/>
      </items>
    </pivotField>
    <pivotField showAll="0"/>
    <pivotField showAll="0"/>
    <pivotField showAll="0"/>
    <pivotField showAll="0">
      <items count="6">
        <item x="2"/>
        <item x="0"/>
        <item x="3"/>
        <item x="4"/>
        <item x="1"/>
        <item t="default"/>
      </items>
    </pivotField>
    <pivotField showAll="0">
      <items count="13">
        <item x="9"/>
        <item x="1"/>
        <item x="4"/>
        <item x="8"/>
        <item x="7"/>
        <item x="11"/>
        <item x="5"/>
        <item x="3"/>
        <item x="10"/>
        <item x="2"/>
        <item x="6"/>
        <item x="0"/>
        <item t="default"/>
      </items>
    </pivotField>
    <pivotField showAll="0"/>
    <pivotField showAll="0">
      <items count="6">
        <item x="4"/>
        <item x="1"/>
        <item x="3"/>
        <item x="2"/>
        <item x="0"/>
        <item t="default"/>
      </items>
    </pivotField>
    <pivotField axis="axisPage" multipleItemSelectionAllowed="1" showAll="0">
      <items count="8">
        <item x="0"/>
        <item x="2"/>
        <item x="5"/>
        <item x="3"/>
        <item x="4"/>
        <item x="1"/>
        <item x="6"/>
        <item t="default"/>
      </items>
    </pivotField>
    <pivotField showAll="0"/>
    <pivotField dataField="1" showAll="0"/>
    <pivotField showAll="0"/>
    <pivotField showAll="0"/>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s>
  <rowFields count="1">
    <field x="20"/>
  </rowFields>
  <rowItems count="13">
    <i>
      <x v="1"/>
    </i>
    <i>
      <x v="2"/>
    </i>
    <i>
      <x v="3"/>
    </i>
    <i>
      <x v="4"/>
    </i>
    <i>
      <x v="5"/>
    </i>
    <i>
      <x v="6"/>
    </i>
    <i>
      <x v="7"/>
    </i>
    <i>
      <x v="8"/>
    </i>
    <i>
      <x v="9"/>
    </i>
    <i>
      <x v="10"/>
    </i>
    <i>
      <x v="11"/>
    </i>
    <i>
      <x v="12"/>
    </i>
    <i t="grand">
      <x/>
    </i>
  </rowItems>
  <colItems count="1">
    <i/>
  </colItems>
  <pageFields count="1">
    <pageField fld="10" hier="-1"/>
  </pageFields>
  <dataFields count="1">
    <dataField name="Sum of Amount" fld="12" baseField="0" baseItem="0" numFmtId="167"/>
  </dataFields>
  <formats count="2">
    <format dxfId="33">
      <pivotArea outline="0" collapsedLevelsAreSubtotals="1" fieldPosition="0"/>
    </format>
    <format dxfId="34">
      <pivotArea dataOnly="0" labelOnly="1" outline="0" axis="axisValues" fieldPosition="0"/>
    </format>
  </formats>
  <chartFormats count="8">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2">
          <reference field="4294967294" count="1" selected="0">
            <x v="0"/>
          </reference>
          <reference field="10" count="1" selected="0">
            <x v="1"/>
          </reference>
        </references>
      </pivotArea>
    </chartFormat>
    <chartFormat chart="5" format="6" series="1">
      <pivotArea type="data" outline="0" fieldPosition="0">
        <references count="2">
          <reference field="4294967294" count="1" selected="0">
            <x v="0"/>
          </reference>
          <reference field="10" count="1" selected="0">
            <x v="2"/>
          </reference>
        </references>
      </pivotArea>
    </chartFormat>
    <chartFormat chart="5" format="7" series="1">
      <pivotArea type="data" outline="0" fieldPosition="0">
        <references count="2">
          <reference field="4294967294" count="1" selected="0">
            <x v="0"/>
          </reference>
          <reference field="10" count="1" selected="0">
            <x v="3"/>
          </reference>
        </references>
      </pivotArea>
    </chartFormat>
    <chartFormat chart="5" format="8" series="1">
      <pivotArea type="data" outline="0" fieldPosition="0">
        <references count="2">
          <reference field="4294967294" count="1" selected="0">
            <x v="0"/>
          </reference>
          <reference field="10" count="1" selected="0">
            <x v="4"/>
          </reference>
        </references>
      </pivotArea>
    </chartFormat>
    <chartFormat chart="5" format="9" series="1">
      <pivotArea type="data" outline="0" fieldPosition="0">
        <references count="2">
          <reference field="4294967294" count="1" selected="0">
            <x v="0"/>
          </reference>
          <reference field="10" count="1" selected="0">
            <x v="5"/>
          </reference>
        </references>
      </pivotArea>
    </chartFormat>
    <chartFormat chart="5" format="10" series="1">
      <pivotArea type="data" outline="0" fieldPosition="0">
        <references count="2">
          <reference field="4294967294" count="1" selected="0">
            <x v="0"/>
          </reference>
          <reference field="10" count="1" selected="0">
            <x v="6"/>
          </reference>
        </references>
      </pivotArea>
    </chartFormat>
    <chartFormat chart="12" format="2" series="1">
      <pivotArea type="data" outline="0" fieldPosition="0">
        <references count="1">
          <reference field="4294967294" count="1" selected="0">
            <x v="0"/>
          </reference>
        </references>
      </pivotArea>
    </chartFormat>
  </chartFormats>
  <pivotTableStyleInfo name="PivotStyleMedium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BCF17BF-639D-D148-858D-AFDFEEB51AE6}" autoFormatId="16" applyNumberFormats="0" applyBorderFormats="0" applyFontFormats="0" applyPatternFormats="0" applyAlignmentFormats="0" applyWidthHeightFormats="0">
  <queryTableRefresh nextId="21" unboundColumnsRight="1">
    <queryTableFields count="20">
      <queryTableField id="1" name="Opportunity_ID" tableColumnId="1"/>
      <queryTableField id="2" name="Created_Date" tableColumnId="2"/>
      <queryTableField id="3" name="Close_Date" tableColumnId="3"/>
      <queryTableField id="4" name="Account" tableColumnId="4"/>
      <queryTableField id="5" name="Industry" tableColumnId="5"/>
      <queryTableField id="6" name="Segment" tableColumnId="6"/>
      <queryTableField id="7" name="Region" tableColumnId="7"/>
      <queryTableField id="8" name="Sales_Rep" tableColumnId="8"/>
      <queryTableField id="9" name="Lead_Source" tableColumnId="9"/>
      <queryTableField id="10" name="Product" tableColumnId="10"/>
      <queryTableField id="11" name="Stage" tableColumnId="11"/>
      <queryTableField id="12" name="Opportunity_Type" tableColumnId="12"/>
      <queryTableField id="13" name="Amount" tableColumnId="13"/>
      <queryTableField id="14" name="Discount_Pct" tableColumnId="14"/>
      <queryTableField id="15" name="Probability_Pct" tableColumnId="15"/>
      <queryTableField id="16" name="Forecast_Category" tableColumnId="16"/>
      <queryTableField id="17" name="Lost_Reason" tableColumnId="17"/>
      <queryTableField id="18" name="Sales_Cycle_Days" tableColumnId="18"/>
      <queryTableField id="19" name="MRR" tableColumnId="19"/>
      <queryTableField id="20" dataBound="0" tableColumnId="2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3" xr16:uid="{18F56357-F177-B948-8E40-0097E4622248}" autoFormatId="16" applyNumberFormats="0" applyBorderFormats="0" applyFontFormats="0" applyPatternFormats="0" applyAlignmentFormats="0" applyWidthHeightFormats="0">
  <queryTableRefresh nextId="4">
    <queryTableFields count="3">
      <queryTableField id="1" name="Month" tableColumnId="1"/>
      <queryTableField id="2" name="Sales_Rep" tableColumnId="2"/>
      <queryTableField id="3" name="Revenue_Target" tableColumnId="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8356B79-65E8-B74E-80FE-E74559D346EC}" sourceName="Region">
  <pivotTables>
    <pivotTable tabId="9" name="PivotTable1"/>
    <pivotTable tabId="9" name="PivotTable7"/>
    <pivotTable tabId="9" name="PivotTable14"/>
    <pivotTable tabId="9" name="PivotTable17"/>
    <pivotTable tabId="9" name="PivotTable18"/>
  </pivotTables>
  <data>
    <tabular pivotCacheId="458089319">
      <items count="5">
        <i x="2" s="1"/>
        <i x="0" s="1"/>
        <i x="3" s="1"/>
        <i x="4"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ge" xr10:uid="{49206135-96BF-F543-B0DE-C09E328FC579}" sourceName="Stage">
  <pivotTables>
    <pivotTable tabId="9" name="PivotTable1"/>
    <pivotTable tabId="9" name="PivotTable7"/>
    <pivotTable tabId="9" name="PivotTable14"/>
    <pivotTable tabId="9" name="PivotTable17"/>
    <pivotTable tabId="9" name="PivotTable18"/>
  </pivotTables>
  <data>
    <tabular pivotCacheId="458089319">
      <items count="7">
        <i x="0" s="1"/>
        <i x="2" s="1"/>
        <i x="5" s="1"/>
        <i x="3" s="1"/>
        <i x="4" s="1"/>
        <i x="1"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37FF2799-9C7F-9940-8296-3C205D7FFED3}" sourceName="Product">
  <pivotTables>
    <pivotTable tabId="9" name="PivotTable1"/>
    <pivotTable tabId="9" name="PivotTable7"/>
    <pivotTable tabId="9" name="PivotTable14"/>
    <pivotTable tabId="9" name="PivotTable17"/>
    <pivotTable tabId="9" name="PivotTable18"/>
  </pivotTables>
  <data>
    <tabular pivotCacheId="458089319">
      <items count="5">
        <i x="4" s="1"/>
        <i x="1" s="1"/>
        <i x="3"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p" xr10:uid="{7B01F1B2-AEEF-AB4E-8B79-C447D42D1668}" sourceName="Sales_Rep">
  <pivotTables>
    <pivotTable tabId="9" name="PivotTable1"/>
    <pivotTable tabId="9" name="PivotTable7"/>
    <pivotTable tabId="9" name="PivotTable14"/>
    <pivotTable tabId="9" name="PivotTable17"/>
    <pivotTable tabId="9" name="PivotTable18"/>
  </pivotTables>
  <data>
    <tabular pivotCacheId="458089319">
      <items count="12">
        <i x="9" s="1"/>
        <i x="1" s="1"/>
        <i x="4" s="1"/>
        <i x="8" s="1"/>
        <i x="7" s="1"/>
        <i x="11" s="1"/>
        <i x="5" s="1"/>
        <i x="3" s="1"/>
        <i x="10" s="1"/>
        <i x="2" s="1"/>
        <i x="6"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77FBFB38-BAFF-4F46-A7C0-749F53B2425F}" cache="Slicer_Region" caption="Region" style="SlicerStyleOther1" rowHeight="230716"/>
  <slicer name="Stage 1" xr10:uid="{F2977B8E-550B-D241-80CF-A601512F6CC7}" cache="Slicer_Stage" caption="Stage" style="SlicerStyleOther1" rowHeight="230716"/>
  <slicer name="Product 1" xr10:uid="{5C1F2F49-EFA7-1344-94A0-9093ADD0B91D}" cache="Slicer_Product" caption="Product" style="SlicerStyleOther1" rowHeight="230716"/>
  <slicer name="Sales_Rep 1" xr10:uid="{B710F358-3C7C-6D47-85B1-3BEB61F6513A}" cache="Slicer_Sales_Rep" caption="Sales_Rep" startItem="4" style="SlicerStyleOther1" rowHeight="230716"/>
</slicers>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eals" displayName="Deals" ref="A1:S1201">
  <autoFilter ref="A1:S1201" xr:uid="{00000000-0009-0000-0100-000001000000}"/>
  <tableColumns count="19">
    <tableColumn id="1" xr3:uid="{00000000-0010-0000-0000-000001000000}" name="Opportunity_ID"/>
    <tableColumn id="2" xr3:uid="{00000000-0010-0000-0000-000002000000}" name="Created_Date"/>
    <tableColumn id="3" xr3:uid="{00000000-0010-0000-0000-000003000000}" name="Close_Date"/>
    <tableColumn id="4" xr3:uid="{00000000-0010-0000-0000-000004000000}" name="Account"/>
    <tableColumn id="5" xr3:uid="{00000000-0010-0000-0000-000005000000}" name="Industry"/>
    <tableColumn id="6" xr3:uid="{00000000-0010-0000-0000-000006000000}" name="Segment"/>
    <tableColumn id="7" xr3:uid="{00000000-0010-0000-0000-000007000000}" name="Region"/>
    <tableColumn id="8" xr3:uid="{00000000-0010-0000-0000-000008000000}" name="Sales_Rep"/>
    <tableColumn id="9" xr3:uid="{00000000-0010-0000-0000-000009000000}" name="Lead_Source"/>
    <tableColumn id="10" xr3:uid="{00000000-0010-0000-0000-00000A000000}" name="Product"/>
    <tableColumn id="11" xr3:uid="{00000000-0010-0000-0000-00000B000000}" name="Stage"/>
    <tableColumn id="12" xr3:uid="{00000000-0010-0000-0000-00000C000000}" name="Opportunity_Type"/>
    <tableColumn id="13" xr3:uid="{00000000-0010-0000-0000-00000D000000}" name="Amount"/>
    <tableColumn id="14" xr3:uid="{00000000-0010-0000-0000-00000E000000}" name="Discount_Pct"/>
    <tableColumn id="15" xr3:uid="{00000000-0010-0000-0000-00000F000000}" name="Probability_Pct"/>
    <tableColumn id="16" xr3:uid="{00000000-0010-0000-0000-000010000000}" name="Forecast_Category"/>
    <tableColumn id="17" xr3:uid="{00000000-0010-0000-0000-000011000000}" name="Lost_Reason"/>
    <tableColumn id="18" xr3:uid="{00000000-0010-0000-0000-000012000000}" name="Sales_Cycle_Days"/>
    <tableColumn id="19" xr3:uid="{00000000-0010-0000-0000-000013000000}" name="MRR"/>
  </tableColumns>
  <tableStyleInfo name="TableStyleLight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rget" displayName="Target" ref="A1:C145">
  <autoFilter ref="A1:C145" xr:uid="{00000000-0009-0000-0100-000002000000}"/>
  <tableColumns count="3">
    <tableColumn id="1" xr3:uid="{00000000-0010-0000-0100-000001000000}" name="Month"/>
    <tableColumn id="2" xr3:uid="{00000000-0010-0000-0100-000002000000}" name="Sales_Rep"/>
    <tableColumn id="3" xr3:uid="{00000000-0010-0000-0100-000003000000}" name="Revenue_Target"/>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8748B45-7B9D-4044-A486-5E0A1DC04AA1}" name="Deals_" displayName="Deals_" ref="A1:T1201" tableType="queryTable" totalsRowShown="0">
  <autoFilter ref="A1:T1201" xr:uid="{18748B45-7B9D-4044-A486-5E0A1DC04AA1}"/>
  <tableColumns count="20">
    <tableColumn id="1" xr3:uid="{3A2BBE2B-2155-0246-B904-1AC86652A798}" uniqueName="1" name="Opportunity_ID" queryTableFieldId="1" dataDxfId="55"/>
    <tableColumn id="2" xr3:uid="{9166DE88-74CA-DE40-995F-2D1E2E2C7991}" uniqueName="2" name="Created_Date" queryTableFieldId="2" dataDxfId="54"/>
    <tableColumn id="3" xr3:uid="{00061AB9-0D69-E443-8750-E252050C7E1D}" uniqueName="3" name="Close_Date" queryTableFieldId="3" dataDxfId="53"/>
    <tableColumn id="4" xr3:uid="{74850055-C09A-7940-A613-B8EB78D76408}" uniqueName="4" name="Account" queryTableFieldId="4" dataDxfId="52"/>
    <tableColumn id="5" xr3:uid="{FC58D642-883F-5343-95F5-A959CAE91D4B}" uniqueName="5" name="Industry" queryTableFieldId="5" dataDxfId="51"/>
    <tableColumn id="6" xr3:uid="{73BE49B5-C6AD-BE4F-BE0C-D13A33E6E71D}" uniqueName="6" name="Segment" queryTableFieldId="6" dataDxfId="50"/>
    <tableColumn id="7" xr3:uid="{0AEBC835-8699-134F-8A32-45D076236E37}" uniqueName="7" name="Region" queryTableFieldId="7" dataDxfId="49"/>
    <tableColumn id="8" xr3:uid="{1D94B281-4E68-4649-9EBC-19F91BC53F04}" uniqueName="8" name="Sales_Rep" queryTableFieldId="8" dataDxfId="48"/>
    <tableColumn id="9" xr3:uid="{04AEA102-B850-294F-BAAB-DD00AF3AB5E1}" uniqueName="9" name="Lead_Source" queryTableFieldId="9" dataDxfId="47"/>
    <tableColumn id="10" xr3:uid="{89866B80-9D24-9146-A628-02F765F9487F}" uniqueName="10" name="Product" queryTableFieldId="10" dataDxfId="46"/>
    <tableColumn id="11" xr3:uid="{6F6C6946-CF32-C048-9526-C726A08A3E0C}" uniqueName="11" name="Stage" queryTableFieldId="11" dataDxfId="45"/>
    <tableColumn id="12" xr3:uid="{8B7853DE-2005-C24E-9DED-E0918DFB4A93}" uniqueName="12" name="Opportunity_Type" queryTableFieldId="12" dataDxfId="39"/>
    <tableColumn id="13" xr3:uid="{114584C8-F423-214B-9046-20CC8124B806}" uniqueName="13" name="Amount" queryTableFieldId="13" dataDxfId="38"/>
    <tableColumn id="14" xr3:uid="{7DDE7326-D7F7-7745-99C8-E9CF13712118}" uniqueName="14" name="Discount_Pct" queryTableFieldId="14"/>
    <tableColumn id="15" xr3:uid="{640FC820-E557-504D-9333-C2044A481DDE}" uniqueName="15" name="Probability_Pct" queryTableFieldId="15"/>
    <tableColumn id="16" xr3:uid="{583FBCAE-87AD-C540-B574-9CE3D2A3A79B}" uniqueName="16" name="Forecast_Category" queryTableFieldId="16" dataDxfId="44"/>
    <tableColumn id="17" xr3:uid="{1970CCA7-E1B8-4749-B7D5-646533CB56E0}" uniqueName="17" name="Lost_Reason" queryTableFieldId="17" dataDxfId="43"/>
    <tableColumn id="18" xr3:uid="{9F8AB762-F61C-4C42-8327-69986E550711}" uniqueName="18" name="Sales_Cycle_Days" queryTableFieldId="18"/>
    <tableColumn id="19" xr3:uid="{81DAAF98-B702-0347-9C74-F627088AA856}" uniqueName="19" name="MRR" queryTableFieldId="19"/>
    <tableColumn id="20" xr3:uid="{A85A87DC-6A79-014F-95AB-4ADF55939623}" uniqueName="20" name="Weighted Amount" queryTableFieldId="20" dataDxfId="42">
      <calculatedColumnFormula>Deals_[[#This Row],[Amount]]*Deals_[[#This Row],[Probability_Pct]]</calculatedColumnFormula>
    </tableColumn>
  </tableColumns>
  <tableStyleInfo name="TableStyleMedium1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8CE0DE6-7CD9-4742-893F-7431FA677D5A}" name="Targets" displayName="Targets" ref="A1:C145" tableType="queryTable" totalsRowShown="0">
  <autoFilter ref="A1:C145" xr:uid="{88CE0DE6-7CD9-4742-893F-7431FA677D5A}"/>
  <tableColumns count="3">
    <tableColumn id="1" xr3:uid="{5F1E5C60-BFE4-394A-A6D6-E7FF128E636C}" uniqueName="1" name="Month" queryTableFieldId="1" dataDxfId="41"/>
    <tableColumn id="2" xr3:uid="{C7133FC2-19AE-2244-8ED9-D5D81D96DF38}" uniqueName="2" name="Sales_Rep" queryTableFieldId="2" dataDxfId="40"/>
    <tableColumn id="3" xr3:uid="{9A2E2A29-1C9F-2940-B240-9257A32BB2C5}" uniqueName="3" name="Revenue_Target" queryTableFieldId="3"/>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201"/>
  <sheetViews>
    <sheetView workbookViewId="0">
      <pane ySplit="1" topLeftCell="A2" activePane="bottomLeft" state="frozen"/>
      <selection pane="bottomLeft" activeCell="H25" sqref="H25"/>
    </sheetView>
  </sheetViews>
  <sheetFormatPr baseColWidth="10" defaultColWidth="8.83203125" defaultRowHeight="15" x14ac:dyDescent="0.2"/>
  <cols>
    <col min="1" max="1" width="15" customWidth="1"/>
    <col min="2" max="4" width="14" customWidth="1"/>
    <col min="5" max="5" width="15" customWidth="1"/>
    <col min="6" max="7" width="14" customWidth="1"/>
    <col min="8" max="8" width="17" customWidth="1"/>
    <col min="9" max="9" width="15" customWidth="1"/>
    <col min="10" max="10" width="18" customWidth="1"/>
    <col min="11" max="11" width="16" customWidth="1"/>
    <col min="12" max="12" width="18" customWidth="1"/>
    <col min="13" max="14" width="14" customWidth="1"/>
    <col min="15" max="15" width="15" customWidth="1"/>
    <col min="16" max="16" width="18" customWidth="1"/>
    <col min="17" max="17" width="16" customWidth="1"/>
    <col min="18" max="18" width="17" customWidth="1"/>
    <col min="19" max="19" width="14" customWidth="1"/>
  </cols>
  <sheetData>
    <row r="1" spans="1:19"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2">
      <c r="A2" t="s">
        <v>19</v>
      </c>
      <c r="B2" s="2">
        <v>45979</v>
      </c>
      <c r="C2" s="2">
        <v>46089</v>
      </c>
      <c r="D2" t="s">
        <v>20</v>
      </c>
      <c r="E2" t="s">
        <v>21</v>
      </c>
      <c r="F2" t="s">
        <v>22</v>
      </c>
      <c r="G2" t="s">
        <v>23</v>
      </c>
      <c r="H2" t="s">
        <v>24</v>
      </c>
      <c r="I2" t="s">
        <v>25</v>
      </c>
      <c r="J2" t="s">
        <v>26</v>
      </c>
      <c r="K2" t="s">
        <v>27</v>
      </c>
      <c r="L2" t="s">
        <v>28</v>
      </c>
      <c r="M2" s="3">
        <v>83900</v>
      </c>
      <c r="N2" s="4">
        <v>0.11899999999999999</v>
      </c>
      <c r="O2" s="4">
        <v>0.05</v>
      </c>
      <c r="P2" t="s">
        <v>29</v>
      </c>
      <c r="Q2" t="s">
        <v>30</v>
      </c>
      <c r="R2">
        <v>110</v>
      </c>
      <c r="S2" s="3">
        <v>6161.61</v>
      </c>
    </row>
    <row r="3" spans="1:19" x14ac:dyDescent="0.2">
      <c r="A3" t="s">
        <v>31</v>
      </c>
      <c r="B3" s="2">
        <v>45999</v>
      </c>
      <c r="C3" s="2">
        <v>46087</v>
      </c>
      <c r="D3" t="s">
        <v>32</v>
      </c>
      <c r="E3" t="s">
        <v>33</v>
      </c>
      <c r="F3" t="s">
        <v>22</v>
      </c>
      <c r="G3" t="s">
        <v>34</v>
      </c>
      <c r="H3" t="s">
        <v>24</v>
      </c>
      <c r="I3" t="s">
        <v>35</v>
      </c>
      <c r="J3" t="s">
        <v>36</v>
      </c>
      <c r="K3" t="s">
        <v>37</v>
      </c>
      <c r="L3" t="s">
        <v>28</v>
      </c>
      <c r="M3" s="3">
        <v>37300</v>
      </c>
      <c r="N3" s="4">
        <v>0.27200000000000002</v>
      </c>
      <c r="O3" s="4">
        <v>0.1</v>
      </c>
      <c r="P3" t="s">
        <v>38</v>
      </c>
      <c r="R3">
        <v>88</v>
      </c>
      <c r="S3" s="3">
        <v>2261.71</v>
      </c>
    </row>
    <row r="4" spans="1:19" x14ac:dyDescent="0.2">
      <c r="A4" t="s">
        <v>39</v>
      </c>
      <c r="B4" s="2">
        <v>45973</v>
      </c>
      <c r="C4" s="2">
        <v>46105</v>
      </c>
      <c r="D4" t="s">
        <v>40</v>
      </c>
      <c r="E4" t="s">
        <v>21</v>
      </c>
      <c r="F4" t="s">
        <v>22</v>
      </c>
      <c r="G4" t="s">
        <v>23</v>
      </c>
      <c r="H4" t="s">
        <v>41</v>
      </c>
      <c r="I4" t="s">
        <v>42</v>
      </c>
      <c r="J4" t="s">
        <v>43</v>
      </c>
      <c r="K4" t="s">
        <v>27</v>
      </c>
      <c r="L4" t="s">
        <v>44</v>
      </c>
      <c r="M4" s="3">
        <v>52900</v>
      </c>
      <c r="N4" s="4">
        <v>0.13500000000000001</v>
      </c>
      <c r="O4" s="4">
        <v>0</v>
      </c>
      <c r="P4" t="s">
        <v>29</v>
      </c>
      <c r="Q4" t="s">
        <v>45</v>
      </c>
      <c r="R4">
        <v>132</v>
      </c>
      <c r="S4" s="3">
        <v>3811.21</v>
      </c>
    </row>
    <row r="5" spans="1:19" x14ac:dyDescent="0.2">
      <c r="A5" t="s">
        <v>46</v>
      </c>
      <c r="B5" s="2">
        <v>46100</v>
      </c>
      <c r="C5" s="2">
        <v>46161</v>
      </c>
      <c r="D5" t="s">
        <v>47</v>
      </c>
      <c r="E5" t="s">
        <v>21</v>
      </c>
      <c r="F5" t="s">
        <v>48</v>
      </c>
      <c r="G5" t="s">
        <v>34</v>
      </c>
      <c r="H5" t="s">
        <v>49</v>
      </c>
      <c r="I5" t="s">
        <v>25</v>
      </c>
      <c r="J5" t="s">
        <v>36</v>
      </c>
      <c r="K5" t="s">
        <v>50</v>
      </c>
      <c r="L5" t="s">
        <v>51</v>
      </c>
      <c r="M5" s="3">
        <v>29100</v>
      </c>
      <c r="N5" s="4">
        <v>0.17399999999999999</v>
      </c>
      <c r="O5" s="4">
        <v>1</v>
      </c>
      <c r="P5" t="s">
        <v>29</v>
      </c>
      <c r="R5">
        <v>61</v>
      </c>
      <c r="S5" s="3">
        <v>2003.02</v>
      </c>
    </row>
    <row r="6" spans="1:19" x14ac:dyDescent="0.2">
      <c r="A6" t="s">
        <v>52</v>
      </c>
      <c r="B6" s="2">
        <v>46263</v>
      </c>
      <c r="C6" s="2">
        <v>46314</v>
      </c>
      <c r="D6" t="s">
        <v>53</v>
      </c>
      <c r="E6" t="s">
        <v>54</v>
      </c>
      <c r="F6" t="s">
        <v>22</v>
      </c>
      <c r="G6" t="s">
        <v>55</v>
      </c>
      <c r="H6" t="s">
        <v>56</v>
      </c>
      <c r="I6" t="s">
        <v>42</v>
      </c>
      <c r="J6" t="s">
        <v>57</v>
      </c>
      <c r="K6" t="s">
        <v>58</v>
      </c>
      <c r="L6" t="s">
        <v>44</v>
      </c>
      <c r="M6" s="3">
        <v>51300</v>
      </c>
      <c r="N6" s="4">
        <v>0.159</v>
      </c>
      <c r="O6" s="4">
        <v>0.75</v>
      </c>
      <c r="P6" t="s">
        <v>59</v>
      </c>
      <c r="R6">
        <v>51</v>
      </c>
      <c r="S6" s="3">
        <v>3595.05</v>
      </c>
    </row>
    <row r="7" spans="1:19" x14ac:dyDescent="0.2">
      <c r="A7" t="s">
        <v>60</v>
      </c>
      <c r="B7" s="2">
        <v>46061</v>
      </c>
      <c r="C7" s="2">
        <v>46221</v>
      </c>
      <c r="D7" t="s">
        <v>61</v>
      </c>
      <c r="E7" t="s">
        <v>62</v>
      </c>
      <c r="F7" t="s">
        <v>22</v>
      </c>
      <c r="G7" t="s">
        <v>63</v>
      </c>
      <c r="H7" t="s">
        <v>64</v>
      </c>
      <c r="I7" t="s">
        <v>65</v>
      </c>
      <c r="J7" t="s">
        <v>26</v>
      </c>
      <c r="K7" t="s">
        <v>50</v>
      </c>
      <c r="L7" t="s">
        <v>51</v>
      </c>
      <c r="M7" s="3">
        <v>64500</v>
      </c>
      <c r="N7" s="4">
        <v>9.1999999999999998E-2</v>
      </c>
      <c r="O7" s="4">
        <v>1</v>
      </c>
      <c r="P7" t="s">
        <v>29</v>
      </c>
      <c r="R7">
        <v>160</v>
      </c>
      <c r="S7" s="3">
        <v>4882.8999999999996</v>
      </c>
    </row>
    <row r="8" spans="1:19" x14ac:dyDescent="0.2">
      <c r="A8" t="s">
        <v>66</v>
      </c>
      <c r="B8" s="2">
        <v>46141</v>
      </c>
      <c r="C8" s="2">
        <v>46277</v>
      </c>
      <c r="D8" t="s">
        <v>67</v>
      </c>
      <c r="E8" t="s">
        <v>68</v>
      </c>
      <c r="F8" t="s">
        <v>48</v>
      </c>
      <c r="G8" t="s">
        <v>63</v>
      </c>
      <c r="H8" t="s">
        <v>69</v>
      </c>
      <c r="I8" t="s">
        <v>42</v>
      </c>
      <c r="J8" t="s">
        <v>43</v>
      </c>
      <c r="K8" t="s">
        <v>50</v>
      </c>
      <c r="L8" t="s">
        <v>44</v>
      </c>
      <c r="M8" s="3">
        <v>19600</v>
      </c>
      <c r="N8" s="4">
        <v>2.5000000000000001E-2</v>
      </c>
      <c r="O8" s="4">
        <v>1</v>
      </c>
      <c r="P8" t="s">
        <v>29</v>
      </c>
      <c r="R8">
        <v>136</v>
      </c>
      <c r="S8" s="3">
        <v>1593.29</v>
      </c>
    </row>
    <row r="9" spans="1:19" x14ac:dyDescent="0.2">
      <c r="A9" t="s">
        <v>70</v>
      </c>
      <c r="B9" s="2">
        <v>45992</v>
      </c>
      <c r="C9" s="2">
        <v>46052</v>
      </c>
      <c r="D9" t="s">
        <v>71</v>
      </c>
      <c r="E9" t="s">
        <v>21</v>
      </c>
      <c r="F9" t="s">
        <v>22</v>
      </c>
      <c r="G9" t="s">
        <v>63</v>
      </c>
      <c r="H9" t="s">
        <v>56</v>
      </c>
      <c r="I9" t="s">
        <v>25</v>
      </c>
      <c r="J9" t="s">
        <v>26</v>
      </c>
      <c r="K9" t="s">
        <v>37</v>
      </c>
      <c r="L9" t="s">
        <v>51</v>
      </c>
      <c r="M9" s="3">
        <v>76300</v>
      </c>
      <c r="N9" s="4">
        <v>6.0999999999999999E-2</v>
      </c>
      <c r="O9" s="4">
        <v>0.1</v>
      </c>
      <c r="P9" t="s">
        <v>38</v>
      </c>
      <c r="R9">
        <v>60</v>
      </c>
      <c r="S9" s="3">
        <v>5968.73</v>
      </c>
    </row>
    <row r="10" spans="1:19" x14ac:dyDescent="0.2">
      <c r="A10" t="s">
        <v>72</v>
      </c>
      <c r="B10" s="2">
        <v>46198</v>
      </c>
      <c r="C10" s="2">
        <v>46229</v>
      </c>
      <c r="D10" t="s">
        <v>73</v>
      </c>
      <c r="E10" t="s">
        <v>33</v>
      </c>
      <c r="F10" t="s">
        <v>74</v>
      </c>
      <c r="G10" t="s">
        <v>55</v>
      </c>
      <c r="H10" t="s">
        <v>56</v>
      </c>
      <c r="I10" t="s">
        <v>35</v>
      </c>
      <c r="J10" t="s">
        <v>26</v>
      </c>
      <c r="K10" t="s">
        <v>37</v>
      </c>
      <c r="L10" t="s">
        <v>51</v>
      </c>
      <c r="M10" s="3">
        <v>129600</v>
      </c>
      <c r="N10" s="4">
        <v>6.0000000000000001E-3</v>
      </c>
      <c r="O10" s="4">
        <v>0.15</v>
      </c>
      <c r="P10" t="s">
        <v>38</v>
      </c>
      <c r="R10">
        <v>31</v>
      </c>
      <c r="S10" s="3">
        <v>10731.2</v>
      </c>
    </row>
    <row r="11" spans="1:19" x14ac:dyDescent="0.2">
      <c r="A11" t="s">
        <v>75</v>
      </c>
      <c r="B11" s="2">
        <v>46161</v>
      </c>
      <c r="C11" s="2">
        <v>46310</v>
      </c>
      <c r="D11" t="s">
        <v>76</v>
      </c>
      <c r="E11" t="s">
        <v>33</v>
      </c>
      <c r="F11" t="s">
        <v>22</v>
      </c>
      <c r="G11" t="s">
        <v>63</v>
      </c>
      <c r="H11" t="s">
        <v>77</v>
      </c>
      <c r="I11" t="s">
        <v>25</v>
      </c>
      <c r="J11" t="s">
        <v>26</v>
      </c>
      <c r="K11" t="s">
        <v>78</v>
      </c>
      <c r="L11" t="s">
        <v>28</v>
      </c>
      <c r="M11" s="3">
        <v>47000</v>
      </c>
      <c r="N11" s="4">
        <v>9.9000000000000005E-2</v>
      </c>
      <c r="O11" s="4">
        <v>0.55000000000000004</v>
      </c>
      <c r="P11" t="s">
        <v>79</v>
      </c>
      <c r="R11">
        <v>149</v>
      </c>
      <c r="S11" s="3">
        <v>3528.37</v>
      </c>
    </row>
    <row r="12" spans="1:19" x14ac:dyDescent="0.2">
      <c r="A12" t="s">
        <v>80</v>
      </c>
      <c r="B12" s="2">
        <v>46038</v>
      </c>
      <c r="C12" s="2">
        <v>46158</v>
      </c>
      <c r="D12" t="s">
        <v>81</v>
      </c>
      <c r="E12" t="s">
        <v>82</v>
      </c>
      <c r="F12" t="s">
        <v>48</v>
      </c>
      <c r="G12" t="s">
        <v>34</v>
      </c>
      <c r="H12" t="s">
        <v>83</v>
      </c>
      <c r="I12" t="s">
        <v>84</v>
      </c>
      <c r="J12" t="s">
        <v>85</v>
      </c>
      <c r="K12" t="s">
        <v>37</v>
      </c>
      <c r="L12" t="s">
        <v>51</v>
      </c>
      <c r="M12" s="3">
        <v>17700</v>
      </c>
      <c r="N12" s="4">
        <v>0.20100000000000001</v>
      </c>
      <c r="O12" s="4">
        <v>0.05</v>
      </c>
      <c r="P12" t="s">
        <v>38</v>
      </c>
      <c r="R12">
        <v>120</v>
      </c>
      <c r="S12" s="3">
        <v>1177.94</v>
      </c>
    </row>
    <row r="13" spans="1:19" x14ac:dyDescent="0.2">
      <c r="A13" t="s">
        <v>86</v>
      </c>
      <c r="B13" s="2">
        <v>46098</v>
      </c>
      <c r="C13" s="2">
        <v>46241</v>
      </c>
      <c r="D13" t="s">
        <v>87</v>
      </c>
      <c r="E13" t="s">
        <v>21</v>
      </c>
      <c r="F13" t="s">
        <v>48</v>
      </c>
      <c r="G13" t="s">
        <v>55</v>
      </c>
      <c r="H13" t="s">
        <v>77</v>
      </c>
      <c r="I13" t="s">
        <v>35</v>
      </c>
      <c r="J13" t="s">
        <v>36</v>
      </c>
      <c r="K13" t="s">
        <v>88</v>
      </c>
      <c r="L13" t="s">
        <v>44</v>
      </c>
      <c r="M13" s="3">
        <v>21200</v>
      </c>
      <c r="N13" s="4">
        <v>0.23300000000000001</v>
      </c>
      <c r="O13" s="4">
        <v>0.35</v>
      </c>
      <c r="P13" t="s">
        <v>38</v>
      </c>
      <c r="R13">
        <v>143</v>
      </c>
      <c r="S13" s="3">
        <v>1354.54</v>
      </c>
    </row>
    <row r="14" spans="1:19" x14ac:dyDescent="0.2">
      <c r="A14" t="s">
        <v>89</v>
      </c>
      <c r="B14" s="2">
        <v>46002</v>
      </c>
      <c r="C14" s="2">
        <v>46106</v>
      </c>
      <c r="D14" t="s">
        <v>90</v>
      </c>
      <c r="E14" t="s">
        <v>91</v>
      </c>
      <c r="F14" t="s">
        <v>48</v>
      </c>
      <c r="G14" t="s">
        <v>92</v>
      </c>
      <c r="H14" t="s">
        <v>49</v>
      </c>
      <c r="I14" t="s">
        <v>25</v>
      </c>
      <c r="J14" t="s">
        <v>36</v>
      </c>
      <c r="K14" t="s">
        <v>78</v>
      </c>
      <c r="L14" t="s">
        <v>28</v>
      </c>
      <c r="M14" s="3">
        <v>29300</v>
      </c>
      <c r="N14" s="4">
        <v>0.06</v>
      </c>
      <c r="O14" s="4">
        <v>0.55000000000000004</v>
      </c>
      <c r="P14" t="s">
        <v>79</v>
      </c>
      <c r="R14">
        <v>104</v>
      </c>
      <c r="S14" s="3">
        <v>2295.34</v>
      </c>
    </row>
    <row r="15" spans="1:19" x14ac:dyDescent="0.2">
      <c r="A15" t="s">
        <v>93</v>
      </c>
      <c r="B15" s="2">
        <v>46049</v>
      </c>
      <c r="C15" s="2">
        <v>46189</v>
      </c>
      <c r="D15" t="s">
        <v>94</v>
      </c>
      <c r="E15" t="s">
        <v>21</v>
      </c>
      <c r="F15" t="s">
        <v>48</v>
      </c>
      <c r="G15" t="s">
        <v>55</v>
      </c>
      <c r="H15" t="s">
        <v>95</v>
      </c>
      <c r="I15" t="s">
        <v>65</v>
      </c>
      <c r="J15" t="s">
        <v>43</v>
      </c>
      <c r="K15" t="s">
        <v>88</v>
      </c>
      <c r="L15" t="s">
        <v>28</v>
      </c>
      <c r="M15" s="3">
        <v>23700</v>
      </c>
      <c r="N15" s="4">
        <v>6.2E-2</v>
      </c>
      <c r="O15" s="4">
        <v>0.4</v>
      </c>
      <c r="P15" t="s">
        <v>38</v>
      </c>
      <c r="R15">
        <v>140</v>
      </c>
      <c r="S15" s="3">
        <v>1853.44</v>
      </c>
    </row>
    <row r="16" spans="1:19" x14ac:dyDescent="0.2">
      <c r="A16" t="s">
        <v>96</v>
      </c>
      <c r="B16" s="2">
        <v>46151</v>
      </c>
      <c r="C16" s="2">
        <v>46312</v>
      </c>
      <c r="D16" t="s">
        <v>97</v>
      </c>
      <c r="E16" t="s">
        <v>82</v>
      </c>
      <c r="F16" t="s">
        <v>48</v>
      </c>
      <c r="G16" t="s">
        <v>55</v>
      </c>
      <c r="H16" t="s">
        <v>98</v>
      </c>
      <c r="I16" t="s">
        <v>99</v>
      </c>
      <c r="J16" t="s">
        <v>36</v>
      </c>
      <c r="K16" t="s">
        <v>58</v>
      </c>
      <c r="L16" t="s">
        <v>44</v>
      </c>
      <c r="M16" s="3">
        <v>18200</v>
      </c>
      <c r="N16" s="4">
        <v>3.1E-2</v>
      </c>
      <c r="O16" s="4">
        <v>0.75</v>
      </c>
      <c r="P16" t="s">
        <v>59</v>
      </c>
      <c r="R16">
        <v>161</v>
      </c>
      <c r="S16" s="3">
        <v>1470.06</v>
      </c>
    </row>
    <row r="17" spans="1:19" x14ac:dyDescent="0.2">
      <c r="A17" t="s">
        <v>100</v>
      </c>
      <c r="B17" s="2">
        <v>46159</v>
      </c>
      <c r="C17" s="2">
        <v>46307</v>
      </c>
      <c r="D17" t="s">
        <v>101</v>
      </c>
      <c r="E17" t="s">
        <v>62</v>
      </c>
      <c r="F17" t="s">
        <v>48</v>
      </c>
      <c r="G17" t="s">
        <v>34</v>
      </c>
      <c r="H17" t="s">
        <v>98</v>
      </c>
      <c r="I17" t="s">
        <v>84</v>
      </c>
      <c r="J17" t="s">
        <v>85</v>
      </c>
      <c r="K17" t="s">
        <v>37</v>
      </c>
      <c r="L17" t="s">
        <v>51</v>
      </c>
      <c r="M17" s="3">
        <v>29000</v>
      </c>
      <c r="N17" s="4">
        <v>7.9000000000000001E-2</v>
      </c>
      <c r="O17" s="4">
        <v>0.15</v>
      </c>
      <c r="P17" t="s">
        <v>38</v>
      </c>
      <c r="R17">
        <v>148</v>
      </c>
      <c r="S17" s="3">
        <v>2226.38</v>
      </c>
    </row>
    <row r="18" spans="1:19" x14ac:dyDescent="0.2">
      <c r="A18" t="s">
        <v>102</v>
      </c>
      <c r="B18" s="2">
        <v>46164</v>
      </c>
      <c r="C18" s="2">
        <v>46317</v>
      </c>
      <c r="D18" t="s">
        <v>103</v>
      </c>
      <c r="E18" t="s">
        <v>33</v>
      </c>
      <c r="F18" t="s">
        <v>48</v>
      </c>
      <c r="G18" t="s">
        <v>55</v>
      </c>
      <c r="H18" t="s">
        <v>83</v>
      </c>
      <c r="I18" t="s">
        <v>99</v>
      </c>
      <c r="J18" t="s">
        <v>43</v>
      </c>
      <c r="K18" t="s">
        <v>78</v>
      </c>
      <c r="L18" t="s">
        <v>44</v>
      </c>
      <c r="M18" s="3">
        <v>13000</v>
      </c>
      <c r="N18" s="4">
        <v>0.104</v>
      </c>
      <c r="O18" s="4">
        <v>0.6</v>
      </c>
      <c r="P18" t="s">
        <v>79</v>
      </c>
      <c r="R18">
        <v>153</v>
      </c>
      <c r="S18" s="3">
        <v>970.63</v>
      </c>
    </row>
    <row r="19" spans="1:19" x14ac:dyDescent="0.2">
      <c r="A19" t="s">
        <v>104</v>
      </c>
      <c r="B19" s="2">
        <v>45948</v>
      </c>
      <c r="C19" s="2">
        <v>45998</v>
      </c>
      <c r="D19" t="s">
        <v>105</v>
      </c>
      <c r="E19" t="s">
        <v>68</v>
      </c>
      <c r="F19" t="s">
        <v>22</v>
      </c>
      <c r="G19" t="s">
        <v>34</v>
      </c>
      <c r="H19" t="s">
        <v>69</v>
      </c>
      <c r="I19" t="s">
        <v>35</v>
      </c>
      <c r="J19" t="s">
        <v>85</v>
      </c>
      <c r="K19" t="s">
        <v>106</v>
      </c>
      <c r="L19" t="s">
        <v>44</v>
      </c>
      <c r="M19" s="3">
        <v>60000</v>
      </c>
      <c r="N19" s="4">
        <v>0.247</v>
      </c>
      <c r="O19" s="4">
        <v>0.2</v>
      </c>
      <c r="P19" t="s">
        <v>38</v>
      </c>
      <c r="R19">
        <v>50</v>
      </c>
      <c r="S19" s="3">
        <v>3766.95</v>
      </c>
    </row>
    <row r="20" spans="1:19" x14ac:dyDescent="0.2">
      <c r="A20" t="s">
        <v>107</v>
      </c>
      <c r="B20" s="2">
        <v>46087</v>
      </c>
      <c r="C20" s="2">
        <v>46237</v>
      </c>
      <c r="D20" t="s">
        <v>108</v>
      </c>
      <c r="E20" t="s">
        <v>62</v>
      </c>
      <c r="F20" t="s">
        <v>74</v>
      </c>
      <c r="G20" t="s">
        <v>23</v>
      </c>
      <c r="H20" t="s">
        <v>41</v>
      </c>
      <c r="I20" t="s">
        <v>35</v>
      </c>
      <c r="J20" t="s">
        <v>43</v>
      </c>
      <c r="K20" t="s">
        <v>50</v>
      </c>
      <c r="L20" t="s">
        <v>51</v>
      </c>
      <c r="M20" s="3">
        <v>270200</v>
      </c>
      <c r="N20" s="4">
        <v>0.24199999999999999</v>
      </c>
      <c r="O20" s="4">
        <v>1</v>
      </c>
      <c r="P20" t="s">
        <v>29</v>
      </c>
      <c r="R20">
        <v>150</v>
      </c>
      <c r="S20" s="3">
        <v>17074.919999999998</v>
      </c>
    </row>
    <row r="21" spans="1:19" x14ac:dyDescent="0.2">
      <c r="A21" t="s">
        <v>109</v>
      </c>
      <c r="B21" s="2">
        <v>45983</v>
      </c>
      <c r="C21" s="2">
        <v>46033</v>
      </c>
      <c r="D21" t="s">
        <v>110</v>
      </c>
      <c r="E21" t="s">
        <v>111</v>
      </c>
      <c r="F21" t="s">
        <v>48</v>
      </c>
      <c r="G21" t="s">
        <v>92</v>
      </c>
      <c r="H21" t="s">
        <v>41</v>
      </c>
      <c r="I21" t="s">
        <v>65</v>
      </c>
      <c r="J21" t="s">
        <v>36</v>
      </c>
      <c r="K21" t="s">
        <v>58</v>
      </c>
      <c r="L21" t="s">
        <v>28</v>
      </c>
      <c r="M21" s="3">
        <v>12200</v>
      </c>
      <c r="N21" s="4">
        <v>0</v>
      </c>
      <c r="O21" s="4">
        <v>0.8</v>
      </c>
      <c r="P21" t="s">
        <v>59</v>
      </c>
      <c r="R21">
        <v>50</v>
      </c>
      <c r="S21" s="3">
        <v>1016.67</v>
      </c>
    </row>
    <row r="22" spans="1:19" x14ac:dyDescent="0.2">
      <c r="A22" t="s">
        <v>112</v>
      </c>
      <c r="B22" s="2">
        <v>46183</v>
      </c>
      <c r="C22" s="2">
        <v>46265</v>
      </c>
      <c r="D22" t="s">
        <v>113</v>
      </c>
      <c r="E22" t="s">
        <v>62</v>
      </c>
      <c r="F22" t="s">
        <v>22</v>
      </c>
      <c r="G22" t="s">
        <v>55</v>
      </c>
      <c r="H22" t="s">
        <v>56</v>
      </c>
      <c r="I22" t="s">
        <v>35</v>
      </c>
      <c r="J22" t="s">
        <v>26</v>
      </c>
      <c r="K22" t="s">
        <v>88</v>
      </c>
      <c r="L22" t="s">
        <v>44</v>
      </c>
      <c r="M22" s="3">
        <v>29200</v>
      </c>
      <c r="N22" s="4">
        <v>6.6000000000000003E-2</v>
      </c>
      <c r="O22" s="4">
        <v>0.35</v>
      </c>
      <c r="P22" t="s">
        <v>38</v>
      </c>
      <c r="R22">
        <v>82</v>
      </c>
      <c r="S22" s="3">
        <v>2273.5300000000002</v>
      </c>
    </row>
    <row r="23" spans="1:19" x14ac:dyDescent="0.2">
      <c r="A23" t="s">
        <v>114</v>
      </c>
      <c r="B23" s="2">
        <v>46276</v>
      </c>
      <c r="C23" s="2">
        <v>46313</v>
      </c>
      <c r="D23" t="s">
        <v>115</v>
      </c>
      <c r="E23" t="s">
        <v>91</v>
      </c>
      <c r="F23" t="s">
        <v>48</v>
      </c>
      <c r="G23" t="s">
        <v>63</v>
      </c>
      <c r="H23" t="s">
        <v>69</v>
      </c>
      <c r="I23" t="s">
        <v>42</v>
      </c>
      <c r="J23" t="s">
        <v>57</v>
      </c>
      <c r="K23" t="s">
        <v>78</v>
      </c>
      <c r="L23" t="s">
        <v>44</v>
      </c>
      <c r="M23" s="3">
        <v>17000</v>
      </c>
      <c r="N23" s="4">
        <v>0.17399999999999999</v>
      </c>
      <c r="O23" s="4">
        <v>0.6</v>
      </c>
      <c r="P23" t="s">
        <v>79</v>
      </c>
      <c r="R23">
        <v>37</v>
      </c>
      <c r="S23" s="3">
        <v>1169.71</v>
      </c>
    </row>
    <row r="24" spans="1:19" x14ac:dyDescent="0.2">
      <c r="A24" t="s">
        <v>116</v>
      </c>
      <c r="B24" s="2">
        <v>45994</v>
      </c>
      <c r="C24" s="2">
        <v>46050</v>
      </c>
      <c r="D24" t="s">
        <v>117</v>
      </c>
      <c r="E24" t="s">
        <v>54</v>
      </c>
      <c r="F24" t="s">
        <v>48</v>
      </c>
      <c r="G24" t="s">
        <v>23</v>
      </c>
      <c r="H24" t="s">
        <v>24</v>
      </c>
      <c r="I24" t="s">
        <v>42</v>
      </c>
      <c r="J24" t="s">
        <v>57</v>
      </c>
      <c r="K24" t="s">
        <v>58</v>
      </c>
      <c r="L24" t="s">
        <v>28</v>
      </c>
      <c r="M24" s="3">
        <v>19700</v>
      </c>
      <c r="N24" s="4">
        <v>0.191</v>
      </c>
      <c r="O24" s="4">
        <v>0.75</v>
      </c>
      <c r="P24" t="s">
        <v>59</v>
      </c>
      <c r="R24">
        <v>56</v>
      </c>
      <c r="S24" s="3">
        <v>1328.36</v>
      </c>
    </row>
    <row r="25" spans="1:19" x14ac:dyDescent="0.2">
      <c r="A25" t="s">
        <v>118</v>
      </c>
      <c r="B25" s="2">
        <v>46137</v>
      </c>
      <c r="C25" s="2">
        <v>46165</v>
      </c>
      <c r="D25" t="s">
        <v>119</v>
      </c>
      <c r="E25" t="s">
        <v>68</v>
      </c>
      <c r="F25" t="s">
        <v>48</v>
      </c>
      <c r="G25" t="s">
        <v>63</v>
      </c>
      <c r="H25" t="s">
        <v>120</v>
      </c>
      <c r="I25" t="s">
        <v>35</v>
      </c>
      <c r="J25" t="s">
        <v>36</v>
      </c>
      <c r="K25" t="s">
        <v>50</v>
      </c>
      <c r="L25" t="s">
        <v>51</v>
      </c>
      <c r="M25" s="3">
        <v>6100</v>
      </c>
      <c r="N25" s="4">
        <v>0.109</v>
      </c>
      <c r="O25" s="4">
        <v>1</v>
      </c>
      <c r="P25" t="s">
        <v>29</v>
      </c>
      <c r="R25">
        <v>28</v>
      </c>
      <c r="S25" s="3">
        <v>452.79</v>
      </c>
    </row>
    <row r="26" spans="1:19" x14ac:dyDescent="0.2">
      <c r="A26" t="s">
        <v>121</v>
      </c>
      <c r="B26" s="2">
        <v>46031</v>
      </c>
      <c r="C26" s="2">
        <v>46118</v>
      </c>
      <c r="D26" t="s">
        <v>122</v>
      </c>
      <c r="E26" t="s">
        <v>82</v>
      </c>
      <c r="F26" t="s">
        <v>48</v>
      </c>
      <c r="G26" t="s">
        <v>63</v>
      </c>
      <c r="H26" t="s">
        <v>69</v>
      </c>
      <c r="I26" t="s">
        <v>25</v>
      </c>
      <c r="J26" t="s">
        <v>43</v>
      </c>
      <c r="K26" t="s">
        <v>50</v>
      </c>
      <c r="L26" t="s">
        <v>28</v>
      </c>
      <c r="M26" s="3">
        <v>27900</v>
      </c>
      <c r="N26" s="4">
        <v>6.0000000000000001E-3</v>
      </c>
      <c r="O26" s="4">
        <v>1</v>
      </c>
      <c r="P26" t="s">
        <v>29</v>
      </c>
      <c r="R26">
        <v>87</v>
      </c>
      <c r="S26" s="3">
        <v>2310.19</v>
      </c>
    </row>
    <row r="27" spans="1:19" x14ac:dyDescent="0.2">
      <c r="A27" t="s">
        <v>123</v>
      </c>
      <c r="B27" s="2">
        <v>46099</v>
      </c>
      <c r="C27" s="2">
        <v>46137</v>
      </c>
      <c r="D27" t="s">
        <v>90</v>
      </c>
      <c r="E27" t="s">
        <v>62</v>
      </c>
      <c r="F27" t="s">
        <v>22</v>
      </c>
      <c r="G27" t="s">
        <v>34</v>
      </c>
      <c r="H27" t="s">
        <v>83</v>
      </c>
      <c r="I27" t="s">
        <v>65</v>
      </c>
      <c r="J27" t="s">
        <v>26</v>
      </c>
      <c r="K27" t="s">
        <v>106</v>
      </c>
      <c r="L27" t="s">
        <v>44</v>
      </c>
      <c r="M27" s="3">
        <v>35200</v>
      </c>
      <c r="N27" s="4">
        <v>0.21199999999999999</v>
      </c>
      <c r="O27" s="4">
        <v>0.2</v>
      </c>
      <c r="P27" t="s">
        <v>38</v>
      </c>
      <c r="R27">
        <v>38</v>
      </c>
      <c r="S27" s="3">
        <v>2312.91</v>
      </c>
    </row>
    <row r="28" spans="1:19" x14ac:dyDescent="0.2">
      <c r="A28" t="s">
        <v>124</v>
      </c>
      <c r="B28" s="2">
        <v>46258</v>
      </c>
      <c r="C28" s="2">
        <v>46277</v>
      </c>
      <c r="D28" t="s">
        <v>125</v>
      </c>
      <c r="E28" t="s">
        <v>62</v>
      </c>
      <c r="F28" t="s">
        <v>48</v>
      </c>
      <c r="G28" t="s">
        <v>63</v>
      </c>
      <c r="H28" t="s">
        <v>98</v>
      </c>
      <c r="I28" t="s">
        <v>84</v>
      </c>
      <c r="J28" t="s">
        <v>57</v>
      </c>
      <c r="K28" t="s">
        <v>27</v>
      </c>
      <c r="L28" t="s">
        <v>28</v>
      </c>
      <c r="M28" s="3">
        <v>13200</v>
      </c>
      <c r="N28" s="4">
        <v>0.16200000000000001</v>
      </c>
      <c r="O28" s="4">
        <v>0</v>
      </c>
      <c r="P28" t="s">
        <v>29</v>
      </c>
      <c r="Q28" t="s">
        <v>126</v>
      </c>
      <c r="R28">
        <v>19</v>
      </c>
      <c r="S28" s="3">
        <v>921.48</v>
      </c>
    </row>
    <row r="29" spans="1:19" x14ac:dyDescent="0.2">
      <c r="A29" t="s">
        <v>127</v>
      </c>
      <c r="B29" s="2">
        <v>45987</v>
      </c>
      <c r="C29" s="2">
        <v>46027</v>
      </c>
      <c r="D29" t="s">
        <v>128</v>
      </c>
      <c r="E29" t="s">
        <v>91</v>
      </c>
      <c r="F29" t="s">
        <v>48</v>
      </c>
      <c r="G29" t="s">
        <v>63</v>
      </c>
      <c r="H29" t="s">
        <v>120</v>
      </c>
      <c r="I29" t="s">
        <v>84</v>
      </c>
      <c r="J29" t="s">
        <v>43</v>
      </c>
      <c r="K29" t="s">
        <v>88</v>
      </c>
      <c r="L29" t="s">
        <v>28</v>
      </c>
      <c r="M29" s="3">
        <v>22400</v>
      </c>
      <c r="N29" s="4">
        <v>0.20799999999999999</v>
      </c>
      <c r="O29" s="4">
        <v>0.35</v>
      </c>
      <c r="P29" t="s">
        <v>38</v>
      </c>
      <c r="R29">
        <v>40</v>
      </c>
      <c r="S29" s="3">
        <v>1479.05</v>
      </c>
    </row>
    <row r="30" spans="1:19" x14ac:dyDescent="0.2">
      <c r="A30" t="s">
        <v>129</v>
      </c>
      <c r="B30" s="2">
        <v>46095</v>
      </c>
      <c r="C30" s="2">
        <v>46220</v>
      </c>
      <c r="D30" t="s">
        <v>130</v>
      </c>
      <c r="E30" t="s">
        <v>68</v>
      </c>
      <c r="F30" t="s">
        <v>48</v>
      </c>
      <c r="G30" t="s">
        <v>55</v>
      </c>
      <c r="H30" t="s">
        <v>95</v>
      </c>
      <c r="I30" t="s">
        <v>65</v>
      </c>
      <c r="J30" t="s">
        <v>36</v>
      </c>
      <c r="K30" t="s">
        <v>58</v>
      </c>
      <c r="L30" t="s">
        <v>51</v>
      </c>
      <c r="M30" s="3">
        <v>10200</v>
      </c>
      <c r="N30" s="4">
        <v>0.115</v>
      </c>
      <c r="O30" s="4">
        <v>0.7</v>
      </c>
      <c r="P30" t="s">
        <v>59</v>
      </c>
      <c r="R30">
        <v>125</v>
      </c>
      <c r="S30" s="3">
        <v>752.61</v>
      </c>
    </row>
    <row r="31" spans="1:19" x14ac:dyDescent="0.2">
      <c r="A31" t="s">
        <v>131</v>
      </c>
      <c r="B31" s="2">
        <v>46082</v>
      </c>
      <c r="C31" s="2">
        <v>46209</v>
      </c>
      <c r="D31" t="s">
        <v>132</v>
      </c>
      <c r="E31" t="s">
        <v>82</v>
      </c>
      <c r="F31" t="s">
        <v>22</v>
      </c>
      <c r="G31" t="s">
        <v>92</v>
      </c>
      <c r="H31" t="s">
        <v>98</v>
      </c>
      <c r="I31" t="s">
        <v>25</v>
      </c>
      <c r="J31" t="s">
        <v>43</v>
      </c>
      <c r="K31" t="s">
        <v>50</v>
      </c>
      <c r="L31" t="s">
        <v>28</v>
      </c>
      <c r="M31" s="3">
        <v>42200</v>
      </c>
      <c r="N31" s="4">
        <v>0.19700000000000001</v>
      </c>
      <c r="O31" s="4">
        <v>1</v>
      </c>
      <c r="P31" t="s">
        <v>29</v>
      </c>
      <c r="R31">
        <v>127</v>
      </c>
      <c r="S31" s="3">
        <v>2823.01</v>
      </c>
    </row>
    <row r="32" spans="1:19" x14ac:dyDescent="0.2">
      <c r="A32" t="s">
        <v>133</v>
      </c>
      <c r="B32" s="2">
        <v>46151</v>
      </c>
      <c r="C32" s="2">
        <v>46240</v>
      </c>
      <c r="D32" t="s">
        <v>134</v>
      </c>
      <c r="E32" t="s">
        <v>91</v>
      </c>
      <c r="F32" t="s">
        <v>48</v>
      </c>
      <c r="G32" t="s">
        <v>55</v>
      </c>
      <c r="H32" t="s">
        <v>95</v>
      </c>
      <c r="I32" t="s">
        <v>99</v>
      </c>
      <c r="J32" t="s">
        <v>43</v>
      </c>
      <c r="K32" t="s">
        <v>106</v>
      </c>
      <c r="L32" t="s">
        <v>44</v>
      </c>
      <c r="M32" s="3">
        <v>28500</v>
      </c>
      <c r="N32" s="4">
        <v>0.187</v>
      </c>
      <c r="O32" s="4">
        <v>0.2</v>
      </c>
      <c r="P32" t="s">
        <v>38</v>
      </c>
      <c r="R32">
        <v>89</v>
      </c>
      <c r="S32" s="3">
        <v>1930.72</v>
      </c>
    </row>
    <row r="33" spans="1:19" x14ac:dyDescent="0.2">
      <c r="A33" t="s">
        <v>135</v>
      </c>
      <c r="B33" s="2">
        <v>45967</v>
      </c>
      <c r="C33" s="2">
        <v>46042</v>
      </c>
      <c r="D33" t="s">
        <v>136</v>
      </c>
      <c r="E33" t="s">
        <v>111</v>
      </c>
      <c r="F33" t="s">
        <v>22</v>
      </c>
      <c r="G33" t="s">
        <v>55</v>
      </c>
      <c r="H33" t="s">
        <v>137</v>
      </c>
      <c r="I33" t="s">
        <v>35</v>
      </c>
      <c r="J33" t="s">
        <v>26</v>
      </c>
      <c r="K33" t="s">
        <v>88</v>
      </c>
      <c r="L33" t="s">
        <v>51</v>
      </c>
      <c r="M33" s="3">
        <v>63800</v>
      </c>
      <c r="N33" s="4">
        <v>4.1000000000000002E-2</v>
      </c>
      <c r="O33" s="4">
        <v>0.35</v>
      </c>
      <c r="P33" t="s">
        <v>38</v>
      </c>
      <c r="R33">
        <v>75</v>
      </c>
      <c r="S33" s="3">
        <v>5101.13</v>
      </c>
    </row>
    <row r="34" spans="1:19" x14ac:dyDescent="0.2">
      <c r="A34" t="s">
        <v>138</v>
      </c>
      <c r="B34" s="2">
        <v>46108</v>
      </c>
      <c r="C34" s="2">
        <v>46232</v>
      </c>
      <c r="D34" t="s">
        <v>139</v>
      </c>
      <c r="E34" t="s">
        <v>21</v>
      </c>
      <c r="F34" t="s">
        <v>48</v>
      </c>
      <c r="G34" t="s">
        <v>92</v>
      </c>
      <c r="H34" t="s">
        <v>69</v>
      </c>
      <c r="I34" t="s">
        <v>99</v>
      </c>
      <c r="J34" t="s">
        <v>43</v>
      </c>
      <c r="K34" t="s">
        <v>88</v>
      </c>
      <c r="L34" t="s">
        <v>44</v>
      </c>
      <c r="M34" s="3">
        <v>17500</v>
      </c>
      <c r="N34" s="4">
        <v>0.123</v>
      </c>
      <c r="O34" s="4">
        <v>0.4</v>
      </c>
      <c r="P34" t="s">
        <v>38</v>
      </c>
      <c r="R34">
        <v>124</v>
      </c>
      <c r="S34" s="3">
        <v>1279.1199999999999</v>
      </c>
    </row>
    <row r="35" spans="1:19" x14ac:dyDescent="0.2">
      <c r="A35" t="s">
        <v>140</v>
      </c>
      <c r="B35" s="2">
        <v>46110</v>
      </c>
      <c r="C35" s="2">
        <v>46218</v>
      </c>
      <c r="D35" t="s">
        <v>141</v>
      </c>
      <c r="E35" t="s">
        <v>111</v>
      </c>
      <c r="F35" t="s">
        <v>48</v>
      </c>
      <c r="G35" t="s">
        <v>55</v>
      </c>
      <c r="H35" t="s">
        <v>24</v>
      </c>
      <c r="I35" t="s">
        <v>84</v>
      </c>
      <c r="J35" t="s">
        <v>36</v>
      </c>
      <c r="K35" t="s">
        <v>37</v>
      </c>
      <c r="L35" t="s">
        <v>44</v>
      </c>
      <c r="M35" s="3">
        <v>7900</v>
      </c>
      <c r="N35" s="4">
        <v>0.252</v>
      </c>
      <c r="O35" s="4">
        <v>0.05</v>
      </c>
      <c r="P35" t="s">
        <v>38</v>
      </c>
      <c r="R35">
        <v>108</v>
      </c>
      <c r="S35" s="3">
        <v>492.76</v>
      </c>
    </row>
    <row r="36" spans="1:19" x14ac:dyDescent="0.2">
      <c r="A36" t="s">
        <v>142</v>
      </c>
      <c r="B36" s="2">
        <v>46206</v>
      </c>
      <c r="C36" s="2">
        <v>46246</v>
      </c>
      <c r="D36" t="s">
        <v>143</v>
      </c>
      <c r="E36" t="s">
        <v>91</v>
      </c>
      <c r="F36" t="s">
        <v>74</v>
      </c>
      <c r="G36" t="s">
        <v>92</v>
      </c>
      <c r="H36" t="s">
        <v>56</v>
      </c>
      <c r="I36" t="s">
        <v>42</v>
      </c>
      <c r="J36" t="s">
        <v>36</v>
      </c>
      <c r="K36" t="s">
        <v>37</v>
      </c>
      <c r="L36" t="s">
        <v>44</v>
      </c>
      <c r="M36" s="3">
        <v>233200</v>
      </c>
      <c r="N36" s="4">
        <v>0.20399999999999999</v>
      </c>
      <c r="O36" s="4">
        <v>0.1</v>
      </c>
      <c r="P36" t="s">
        <v>38</v>
      </c>
      <c r="R36">
        <v>40</v>
      </c>
      <c r="S36" s="3">
        <v>15462.21</v>
      </c>
    </row>
    <row r="37" spans="1:19" x14ac:dyDescent="0.2">
      <c r="A37" t="s">
        <v>144</v>
      </c>
      <c r="B37" s="2">
        <v>46076</v>
      </c>
      <c r="C37" s="2">
        <v>46208</v>
      </c>
      <c r="D37" t="s">
        <v>145</v>
      </c>
      <c r="E37" t="s">
        <v>54</v>
      </c>
      <c r="F37" t="s">
        <v>48</v>
      </c>
      <c r="G37" t="s">
        <v>23</v>
      </c>
      <c r="H37" t="s">
        <v>49</v>
      </c>
      <c r="I37" t="s">
        <v>35</v>
      </c>
      <c r="J37" t="s">
        <v>26</v>
      </c>
      <c r="K37" t="s">
        <v>37</v>
      </c>
      <c r="L37" t="s">
        <v>51</v>
      </c>
      <c r="M37" s="3">
        <v>20100</v>
      </c>
      <c r="N37" s="4">
        <v>6.8000000000000005E-2</v>
      </c>
      <c r="O37" s="4">
        <v>0.1</v>
      </c>
      <c r="P37" t="s">
        <v>38</v>
      </c>
      <c r="R37">
        <v>132</v>
      </c>
      <c r="S37" s="3">
        <v>1561.84</v>
      </c>
    </row>
    <row r="38" spans="1:19" x14ac:dyDescent="0.2">
      <c r="A38" t="s">
        <v>146</v>
      </c>
      <c r="B38" s="2">
        <v>46221</v>
      </c>
      <c r="C38" s="2">
        <v>46277</v>
      </c>
      <c r="D38" t="s">
        <v>147</v>
      </c>
      <c r="E38" t="s">
        <v>68</v>
      </c>
      <c r="F38" t="s">
        <v>48</v>
      </c>
      <c r="G38" t="s">
        <v>92</v>
      </c>
      <c r="H38" t="s">
        <v>41</v>
      </c>
      <c r="I38" t="s">
        <v>42</v>
      </c>
      <c r="J38" t="s">
        <v>26</v>
      </c>
      <c r="K38" t="s">
        <v>50</v>
      </c>
      <c r="L38" t="s">
        <v>51</v>
      </c>
      <c r="M38" s="3">
        <v>16300</v>
      </c>
      <c r="N38" s="4">
        <v>0.16600000000000001</v>
      </c>
      <c r="O38" s="4">
        <v>1</v>
      </c>
      <c r="P38" t="s">
        <v>29</v>
      </c>
      <c r="R38">
        <v>56</v>
      </c>
      <c r="S38" s="3">
        <v>1133.3699999999999</v>
      </c>
    </row>
    <row r="39" spans="1:19" x14ac:dyDescent="0.2">
      <c r="A39" t="s">
        <v>148</v>
      </c>
      <c r="B39" s="2">
        <v>46238</v>
      </c>
      <c r="C39" s="2">
        <v>46273</v>
      </c>
      <c r="D39" t="s">
        <v>149</v>
      </c>
      <c r="E39" t="s">
        <v>111</v>
      </c>
      <c r="F39" t="s">
        <v>22</v>
      </c>
      <c r="G39" t="s">
        <v>92</v>
      </c>
      <c r="H39" t="s">
        <v>83</v>
      </c>
      <c r="I39" t="s">
        <v>25</v>
      </c>
      <c r="J39" t="s">
        <v>43</v>
      </c>
      <c r="K39" t="s">
        <v>27</v>
      </c>
      <c r="L39" t="s">
        <v>44</v>
      </c>
      <c r="M39" s="3">
        <v>53200</v>
      </c>
      <c r="N39" s="4">
        <v>6.0999999999999999E-2</v>
      </c>
      <c r="O39" s="4">
        <v>0</v>
      </c>
      <c r="P39" t="s">
        <v>29</v>
      </c>
      <c r="Q39" t="s">
        <v>126</v>
      </c>
      <c r="R39">
        <v>35</v>
      </c>
      <c r="S39" s="3">
        <v>4163.2299999999996</v>
      </c>
    </row>
    <row r="40" spans="1:19" x14ac:dyDescent="0.2">
      <c r="A40" t="s">
        <v>150</v>
      </c>
      <c r="B40" s="2">
        <v>46133</v>
      </c>
      <c r="C40" s="2">
        <v>46195</v>
      </c>
      <c r="D40" t="s">
        <v>151</v>
      </c>
      <c r="E40" t="s">
        <v>54</v>
      </c>
      <c r="F40" t="s">
        <v>48</v>
      </c>
      <c r="G40" t="s">
        <v>92</v>
      </c>
      <c r="H40" t="s">
        <v>77</v>
      </c>
      <c r="I40" t="s">
        <v>25</v>
      </c>
      <c r="J40" t="s">
        <v>26</v>
      </c>
      <c r="K40" t="s">
        <v>27</v>
      </c>
      <c r="L40" t="s">
        <v>51</v>
      </c>
      <c r="M40" s="3">
        <v>19100</v>
      </c>
      <c r="N40" s="4">
        <v>0.12</v>
      </c>
      <c r="O40" s="4">
        <v>0</v>
      </c>
      <c r="P40" t="s">
        <v>29</v>
      </c>
      <c r="Q40" t="s">
        <v>152</v>
      </c>
      <c r="R40">
        <v>62</v>
      </c>
      <c r="S40" s="3">
        <v>1401.26</v>
      </c>
    </row>
    <row r="41" spans="1:19" x14ac:dyDescent="0.2">
      <c r="A41" t="s">
        <v>153</v>
      </c>
      <c r="B41" s="2">
        <v>46204</v>
      </c>
      <c r="C41" s="2">
        <v>46243</v>
      </c>
      <c r="D41" t="s">
        <v>154</v>
      </c>
      <c r="E41" t="s">
        <v>33</v>
      </c>
      <c r="F41" t="s">
        <v>48</v>
      </c>
      <c r="G41" t="s">
        <v>92</v>
      </c>
      <c r="H41" t="s">
        <v>120</v>
      </c>
      <c r="I41" t="s">
        <v>25</v>
      </c>
      <c r="J41" t="s">
        <v>26</v>
      </c>
      <c r="K41" t="s">
        <v>37</v>
      </c>
      <c r="L41" t="s">
        <v>28</v>
      </c>
      <c r="M41" s="3">
        <v>21400</v>
      </c>
      <c r="N41" s="4">
        <v>5.8999999999999997E-2</v>
      </c>
      <c r="O41" s="4">
        <v>0.1</v>
      </c>
      <c r="P41" t="s">
        <v>38</v>
      </c>
      <c r="R41">
        <v>39</v>
      </c>
      <c r="S41" s="3">
        <v>1678.94</v>
      </c>
    </row>
    <row r="42" spans="1:19" x14ac:dyDescent="0.2">
      <c r="A42" t="s">
        <v>155</v>
      </c>
      <c r="B42" s="2">
        <v>46074</v>
      </c>
      <c r="C42" s="2">
        <v>46148</v>
      </c>
      <c r="D42" t="s">
        <v>97</v>
      </c>
      <c r="E42" t="s">
        <v>82</v>
      </c>
      <c r="F42" t="s">
        <v>48</v>
      </c>
      <c r="G42" t="s">
        <v>63</v>
      </c>
      <c r="H42" t="s">
        <v>120</v>
      </c>
      <c r="I42" t="s">
        <v>42</v>
      </c>
      <c r="J42" t="s">
        <v>43</v>
      </c>
      <c r="K42" t="s">
        <v>50</v>
      </c>
      <c r="L42" t="s">
        <v>51</v>
      </c>
      <c r="M42" s="3">
        <v>23200</v>
      </c>
      <c r="N42" s="4">
        <v>0</v>
      </c>
      <c r="O42" s="4">
        <v>1</v>
      </c>
      <c r="P42" t="s">
        <v>29</v>
      </c>
      <c r="R42">
        <v>74</v>
      </c>
      <c r="S42" s="3">
        <v>1933.33</v>
      </c>
    </row>
    <row r="43" spans="1:19" x14ac:dyDescent="0.2">
      <c r="A43" t="s">
        <v>156</v>
      </c>
      <c r="B43" s="2">
        <v>46248</v>
      </c>
      <c r="C43" s="2">
        <v>46328</v>
      </c>
      <c r="D43" t="s">
        <v>157</v>
      </c>
      <c r="E43" t="s">
        <v>82</v>
      </c>
      <c r="F43" t="s">
        <v>48</v>
      </c>
      <c r="G43" t="s">
        <v>63</v>
      </c>
      <c r="H43" t="s">
        <v>41</v>
      </c>
      <c r="I43" t="s">
        <v>84</v>
      </c>
      <c r="J43" t="s">
        <v>26</v>
      </c>
      <c r="K43" t="s">
        <v>37</v>
      </c>
      <c r="L43" t="s">
        <v>28</v>
      </c>
      <c r="M43" s="3">
        <v>26500</v>
      </c>
      <c r="N43" s="4">
        <v>0.157</v>
      </c>
      <c r="O43" s="4">
        <v>0.1</v>
      </c>
      <c r="P43" t="s">
        <v>38</v>
      </c>
      <c r="R43">
        <v>80</v>
      </c>
      <c r="S43" s="3">
        <v>1861.38</v>
      </c>
    </row>
    <row r="44" spans="1:19" x14ac:dyDescent="0.2">
      <c r="A44" t="s">
        <v>158</v>
      </c>
      <c r="B44" s="2">
        <v>46017</v>
      </c>
      <c r="C44" s="2">
        <v>46089</v>
      </c>
      <c r="D44" t="s">
        <v>159</v>
      </c>
      <c r="E44" t="s">
        <v>91</v>
      </c>
      <c r="F44" t="s">
        <v>48</v>
      </c>
      <c r="G44" t="s">
        <v>23</v>
      </c>
      <c r="H44" t="s">
        <v>24</v>
      </c>
      <c r="I44" t="s">
        <v>42</v>
      </c>
      <c r="J44" t="s">
        <v>26</v>
      </c>
      <c r="K44" t="s">
        <v>78</v>
      </c>
      <c r="L44" t="s">
        <v>28</v>
      </c>
      <c r="M44" s="3">
        <v>9200</v>
      </c>
      <c r="N44" s="4">
        <v>0.08</v>
      </c>
      <c r="O44" s="4">
        <v>0.55000000000000004</v>
      </c>
      <c r="P44" t="s">
        <v>79</v>
      </c>
      <c r="R44">
        <v>72</v>
      </c>
      <c r="S44" s="3">
        <v>704.97</v>
      </c>
    </row>
    <row r="45" spans="1:19" x14ac:dyDescent="0.2">
      <c r="A45" t="s">
        <v>160</v>
      </c>
      <c r="B45" s="2">
        <v>46214</v>
      </c>
      <c r="C45" s="2">
        <v>46289</v>
      </c>
      <c r="D45" t="s">
        <v>161</v>
      </c>
      <c r="E45" t="s">
        <v>21</v>
      </c>
      <c r="F45" t="s">
        <v>74</v>
      </c>
      <c r="G45" t="s">
        <v>55</v>
      </c>
      <c r="H45" t="s">
        <v>95</v>
      </c>
      <c r="I45" t="s">
        <v>65</v>
      </c>
      <c r="J45" t="s">
        <v>26</v>
      </c>
      <c r="K45" t="s">
        <v>78</v>
      </c>
      <c r="L45" t="s">
        <v>51</v>
      </c>
      <c r="M45" s="3">
        <v>119000</v>
      </c>
      <c r="N45" s="4">
        <v>6.5000000000000002E-2</v>
      </c>
      <c r="O45" s="4">
        <v>0.6</v>
      </c>
      <c r="P45" t="s">
        <v>79</v>
      </c>
      <c r="R45">
        <v>75</v>
      </c>
      <c r="S45" s="3">
        <v>9269.6299999999992</v>
      </c>
    </row>
    <row r="46" spans="1:19" x14ac:dyDescent="0.2">
      <c r="A46" t="s">
        <v>162</v>
      </c>
      <c r="B46" s="2">
        <v>46038</v>
      </c>
      <c r="C46" s="2">
        <v>46164</v>
      </c>
      <c r="D46" t="s">
        <v>163</v>
      </c>
      <c r="E46" t="s">
        <v>91</v>
      </c>
      <c r="F46" t="s">
        <v>74</v>
      </c>
      <c r="G46" t="s">
        <v>34</v>
      </c>
      <c r="H46" t="s">
        <v>49</v>
      </c>
      <c r="I46" t="s">
        <v>65</v>
      </c>
      <c r="J46" t="s">
        <v>57</v>
      </c>
      <c r="K46" t="s">
        <v>88</v>
      </c>
      <c r="L46" t="s">
        <v>51</v>
      </c>
      <c r="M46" s="3">
        <v>239200</v>
      </c>
      <c r="N46" s="4">
        <v>0</v>
      </c>
      <c r="O46" s="4">
        <v>0.35</v>
      </c>
      <c r="P46" t="s">
        <v>38</v>
      </c>
      <c r="R46">
        <v>126</v>
      </c>
      <c r="S46" s="3">
        <v>19933.330000000002</v>
      </c>
    </row>
    <row r="47" spans="1:19" x14ac:dyDescent="0.2">
      <c r="A47" t="s">
        <v>164</v>
      </c>
      <c r="B47" s="2">
        <v>46064</v>
      </c>
      <c r="C47" s="2">
        <v>46212</v>
      </c>
      <c r="D47" t="s">
        <v>165</v>
      </c>
      <c r="E47" t="s">
        <v>62</v>
      </c>
      <c r="F47" t="s">
        <v>48</v>
      </c>
      <c r="G47" t="s">
        <v>23</v>
      </c>
      <c r="H47" t="s">
        <v>64</v>
      </c>
      <c r="I47" t="s">
        <v>65</v>
      </c>
      <c r="J47" t="s">
        <v>57</v>
      </c>
      <c r="K47" t="s">
        <v>37</v>
      </c>
      <c r="L47" t="s">
        <v>51</v>
      </c>
      <c r="M47" s="3">
        <v>10500</v>
      </c>
      <c r="N47" s="4">
        <v>0.218</v>
      </c>
      <c r="O47" s="4">
        <v>0.15</v>
      </c>
      <c r="P47" t="s">
        <v>38</v>
      </c>
      <c r="R47">
        <v>148</v>
      </c>
      <c r="S47" s="3">
        <v>684.67</v>
      </c>
    </row>
    <row r="48" spans="1:19" x14ac:dyDescent="0.2">
      <c r="A48" t="s">
        <v>166</v>
      </c>
      <c r="B48" s="2">
        <v>46157</v>
      </c>
      <c r="C48" s="2">
        <v>46295</v>
      </c>
      <c r="D48" t="s">
        <v>167</v>
      </c>
      <c r="E48" t="s">
        <v>82</v>
      </c>
      <c r="F48" t="s">
        <v>74</v>
      </c>
      <c r="G48" t="s">
        <v>55</v>
      </c>
      <c r="H48" t="s">
        <v>41</v>
      </c>
      <c r="I48" t="s">
        <v>65</v>
      </c>
      <c r="J48" t="s">
        <v>57</v>
      </c>
      <c r="K48" t="s">
        <v>37</v>
      </c>
      <c r="L48" t="s">
        <v>44</v>
      </c>
      <c r="M48" s="3">
        <v>274600</v>
      </c>
      <c r="N48" s="4">
        <v>0.10199999999999999</v>
      </c>
      <c r="O48" s="4">
        <v>0.15</v>
      </c>
      <c r="P48" t="s">
        <v>38</v>
      </c>
      <c r="R48">
        <v>138</v>
      </c>
      <c r="S48" s="3">
        <v>20554.73</v>
      </c>
    </row>
    <row r="49" spans="1:19" x14ac:dyDescent="0.2">
      <c r="A49" t="s">
        <v>168</v>
      </c>
      <c r="B49" s="2">
        <v>46032</v>
      </c>
      <c r="C49" s="2">
        <v>46143</v>
      </c>
      <c r="D49" t="s">
        <v>169</v>
      </c>
      <c r="E49" t="s">
        <v>68</v>
      </c>
      <c r="F49" t="s">
        <v>22</v>
      </c>
      <c r="G49" t="s">
        <v>23</v>
      </c>
      <c r="H49" t="s">
        <v>137</v>
      </c>
      <c r="I49" t="s">
        <v>84</v>
      </c>
      <c r="J49" t="s">
        <v>57</v>
      </c>
      <c r="K49" t="s">
        <v>78</v>
      </c>
      <c r="L49" t="s">
        <v>51</v>
      </c>
      <c r="M49" s="3">
        <v>70800</v>
      </c>
      <c r="N49" s="4">
        <v>0.106</v>
      </c>
      <c r="O49" s="4">
        <v>0.6</v>
      </c>
      <c r="P49" t="s">
        <v>79</v>
      </c>
      <c r="R49">
        <v>111</v>
      </c>
      <c r="S49" s="3">
        <v>5275.66</v>
      </c>
    </row>
    <row r="50" spans="1:19" x14ac:dyDescent="0.2">
      <c r="A50" t="s">
        <v>170</v>
      </c>
      <c r="B50" s="2">
        <v>46067</v>
      </c>
      <c r="C50" s="2">
        <v>46143</v>
      </c>
      <c r="D50" t="s">
        <v>171</v>
      </c>
      <c r="E50" t="s">
        <v>111</v>
      </c>
      <c r="F50" t="s">
        <v>48</v>
      </c>
      <c r="G50" t="s">
        <v>63</v>
      </c>
      <c r="H50" t="s">
        <v>64</v>
      </c>
      <c r="I50" t="s">
        <v>25</v>
      </c>
      <c r="J50" t="s">
        <v>26</v>
      </c>
      <c r="K50" t="s">
        <v>78</v>
      </c>
      <c r="L50" t="s">
        <v>51</v>
      </c>
      <c r="M50" s="3">
        <v>14100</v>
      </c>
      <c r="N50" s="4">
        <v>4.2000000000000003E-2</v>
      </c>
      <c r="O50" s="4">
        <v>0.6</v>
      </c>
      <c r="P50" t="s">
        <v>79</v>
      </c>
      <c r="R50">
        <v>76</v>
      </c>
      <c r="S50" s="3">
        <v>1126.24</v>
      </c>
    </row>
    <row r="51" spans="1:19" x14ac:dyDescent="0.2">
      <c r="A51" t="s">
        <v>172</v>
      </c>
      <c r="B51" s="2">
        <v>45984</v>
      </c>
      <c r="C51" s="2">
        <v>46079</v>
      </c>
      <c r="D51" t="s">
        <v>173</v>
      </c>
      <c r="E51" t="s">
        <v>62</v>
      </c>
      <c r="F51" t="s">
        <v>48</v>
      </c>
      <c r="G51" t="s">
        <v>23</v>
      </c>
      <c r="H51" t="s">
        <v>41</v>
      </c>
      <c r="I51" t="s">
        <v>25</v>
      </c>
      <c r="J51" t="s">
        <v>26</v>
      </c>
      <c r="K51" t="s">
        <v>50</v>
      </c>
      <c r="L51" t="s">
        <v>51</v>
      </c>
      <c r="M51" s="3">
        <v>23700</v>
      </c>
      <c r="N51" s="4">
        <v>0</v>
      </c>
      <c r="O51" s="4">
        <v>1</v>
      </c>
      <c r="P51" t="s">
        <v>29</v>
      </c>
      <c r="R51">
        <v>95</v>
      </c>
      <c r="S51" s="3">
        <v>1975</v>
      </c>
    </row>
    <row r="52" spans="1:19" x14ac:dyDescent="0.2">
      <c r="A52" t="s">
        <v>174</v>
      </c>
      <c r="B52" s="2">
        <v>46219</v>
      </c>
      <c r="C52" s="2">
        <v>46292</v>
      </c>
      <c r="D52" t="s">
        <v>175</v>
      </c>
      <c r="E52" t="s">
        <v>62</v>
      </c>
      <c r="F52" t="s">
        <v>22</v>
      </c>
      <c r="G52" t="s">
        <v>63</v>
      </c>
      <c r="H52" t="s">
        <v>56</v>
      </c>
      <c r="I52" t="s">
        <v>25</v>
      </c>
      <c r="J52" t="s">
        <v>26</v>
      </c>
      <c r="K52" t="s">
        <v>37</v>
      </c>
      <c r="L52" t="s">
        <v>28</v>
      </c>
      <c r="M52" s="3">
        <v>32100</v>
      </c>
      <c r="N52" s="4">
        <v>7.0999999999999994E-2</v>
      </c>
      <c r="O52" s="4">
        <v>0.1</v>
      </c>
      <c r="P52" t="s">
        <v>38</v>
      </c>
      <c r="R52">
        <v>73</v>
      </c>
      <c r="S52" s="3">
        <v>2484.3000000000002</v>
      </c>
    </row>
    <row r="53" spans="1:19" x14ac:dyDescent="0.2">
      <c r="A53" t="s">
        <v>176</v>
      </c>
      <c r="B53" s="2">
        <v>46089</v>
      </c>
      <c r="C53" s="2">
        <v>46225</v>
      </c>
      <c r="D53" t="s">
        <v>177</v>
      </c>
      <c r="E53" t="s">
        <v>33</v>
      </c>
      <c r="F53" t="s">
        <v>74</v>
      </c>
      <c r="G53" t="s">
        <v>63</v>
      </c>
      <c r="H53" t="s">
        <v>83</v>
      </c>
      <c r="I53" t="s">
        <v>84</v>
      </c>
      <c r="J53" t="s">
        <v>36</v>
      </c>
      <c r="K53" t="s">
        <v>37</v>
      </c>
      <c r="L53" t="s">
        <v>44</v>
      </c>
      <c r="M53" s="3">
        <v>282400</v>
      </c>
      <c r="N53" s="4">
        <v>0.14299999999999999</v>
      </c>
      <c r="O53" s="4">
        <v>0.1</v>
      </c>
      <c r="P53" t="s">
        <v>38</v>
      </c>
      <c r="R53">
        <v>136</v>
      </c>
      <c r="S53" s="3">
        <v>20160.169999999998</v>
      </c>
    </row>
    <row r="54" spans="1:19" x14ac:dyDescent="0.2">
      <c r="A54" t="s">
        <v>178</v>
      </c>
      <c r="B54" s="2">
        <v>46075</v>
      </c>
      <c r="C54" s="2">
        <v>46162</v>
      </c>
      <c r="D54" t="s">
        <v>179</v>
      </c>
      <c r="E54" t="s">
        <v>82</v>
      </c>
      <c r="F54" t="s">
        <v>48</v>
      </c>
      <c r="G54" t="s">
        <v>34</v>
      </c>
      <c r="H54" t="s">
        <v>64</v>
      </c>
      <c r="I54" t="s">
        <v>99</v>
      </c>
      <c r="J54" t="s">
        <v>85</v>
      </c>
      <c r="K54" t="s">
        <v>88</v>
      </c>
      <c r="L54" t="s">
        <v>44</v>
      </c>
      <c r="M54" s="3">
        <v>21000</v>
      </c>
      <c r="N54" s="4">
        <v>0.129</v>
      </c>
      <c r="O54" s="4">
        <v>0.35</v>
      </c>
      <c r="P54" t="s">
        <v>38</v>
      </c>
      <c r="R54">
        <v>87</v>
      </c>
      <c r="S54" s="3">
        <v>1525.09</v>
      </c>
    </row>
    <row r="55" spans="1:19" x14ac:dyDescent="0.2">
      <c r="A55" t="s">
        <v>180</v>
      </c>
      <c r="B55" s="2">
        <v>46171</v>
      </c>
      <c r="C55" s="2">
        <v>46213</v>
      </c>
      <c r="D55" t="s">
        <v>181</v>
      </c>
      <c r="E55" t="s">
        <v>62</v>
      </c>
      <c r="F55" t="s">
        <v>22</v>
      </c>
      <c r="G55" t="s">
        <v>55</v>
      </c>
      <c r="H55" t="s">
        <v>56</v>
      </c>
      <c r="I55" t="s">
        <v>35</v>
      </c>
      <c r="J55" t="s">
        <v>26</v>
      </c>
      <c r="K55" t="s">
        <v>58</v>
      </c>
      <c r="L55" t="s">
        <v>51</v>
      </c>
      <c r="M55" s="3">
        <v>70100</v>
      </c>
      <c r="N55" s="4">
        <v>0.104</v>
      </c>
      <c r="O55" s="4">
        <v>0.8</v>
      </c>
      <c r="P55" t="s">
        <v>59</v>
      </c>
      <c r="R55">
        <v>42</v>
      </c>
      <c r="S55" s="3">
        <v>5235.07</v>
      </c>
    </row>
    <row r="56" spans="1:19" x14ac:dyDescent="0.2">
      <c r="A56" t="s">
        <v>182</v>
      </c>
      <c r="B56" s="2">
        <v>46166</v>
      </c>
      <c r="C56" s="2">
        <v>46268</v>
      </c>
      <c r="D56" t="s">
        <v>183</v>
      </c>
      <c r="E56" t="s">
        <v>111</v>
      </c>
      <c r="F56" t="s">
        <v>48</v>
      </c>
      <c r="G56" t="s">
        <v>63</v>
      </c>
      <c r="H56" t="s">
        <v>41</v>
      </c>
      <c r="I56" t="s">
        <v>65</v>
      </c>
      <c r="J56" t="s">
        <v>85</v>
      </c>
      <c r="K56" t="s">
        <v>37</v>
      </c>
      <c r="L56" t="s">
        <v>51</v>
      </c>
      <c r="M56" s="3">
        <v>7100</v>
      </c>
      <c r="N56" s="4">
        <v>4.2000000000000003E-2</v>
      </c>
      <c r="O56" s="4">
        <v>0.1</v>
      </c>
      <c r="P56" t="s">
        <v>38</v>
      </c>
      <c r="R56">
        <v>102</v>
      </c>
      <c r="S56" s="3">
        <v>566.72</v>
      </c>
    </row>
    <row r="57" spans="1:19" x14ac:dyDescent="0.2">
      <c r="A57" t="s">
        <v>184</v>
      </c>
      <c r="B57" s="2">
        <v>46166</v>
      </c>
      <c r="C57" s="2">
        <v>46263</v>
      </c>
      <c r="D57" t="s">
        <v>185</v>
      </c>
      <c r="E57" t="s">
        <v>21</v>
      </c>
      <c r="F57" t="s">
        <v>48</v>
      </c>
      <c r="G57" t="s">
        <v>92</v>
      </c>
      <c r="H57" t="s">
        <v>120</v>
      </c>
      <c r="I57" t="s">
        <v>65</v>
      </c>
      <c r="J57" t="s">
        <v>85</v>
      </c>
      <c r="K57" t="s">
        <v>88</v>
      </c>
      <c r="L57" t="s">
        <v>44</v>
      </c>
      <c r="M57" s="3">
        <v>14400</v>
      </c>
      <c r="N57" s="4">
        <v>5.0999999999999997E-2</v>
      </c>
      <c r="O57" s="4">
        <v>0.35</v>
      </c>
      <c r="P57" t="s">
        <v>38</v>
      </c>
      <c r="R57">
        <v>97</v>
      </c>
      <c r="S57" s="3">
        <v>1138.25</v>
      </c>
    </row>
    <row r="58" spans="1:19" x14ac:dyDescent="0.2">
      <c r="A58" t="s">
        <v>186</v>
      </c>
      <c r="B58" s="2">
        <v>46097</v>
      </c>
      <c r="C58" s="2">
        <v>46218</v>
      </c>
      <c r="D58" t="s">
        <v>187</v>
      </c>
      <c r="E58" t="s">
        <v>62</v>
      </c>
      <c r="F58" t="s">
        <v>22</v>
      </c>
      <c r="G58" t="s">
        <v>34</v>
      </c>
      <c r="H58" t="s">
        <v>83</v>
      </c>
      <c r="I58" t="s">
        <v>99</v>
      </c>
      <c r="J58" t="s">
        <v>85</v>
      </c>
      <c r="K58" t="s">
        <v>27</v>
      </c>
      <c r="L58" t="s">
        <v>44</v>
      </c>
      <c r="M58" s="3">
        <v>85000</v>
      </c>
      <c r="N58" s="4">
        <v>3.5000000000000003E-2</v>
      </c>
      <c r="O58" s="4">
        <v>0</v>
      </c>
      <c r="P58" t="s">
        <v>29</v>
      </c>
      <c r="Q58" t="s">
        <v>188</v>
      </c>
      <c r="R58">
        <v>121</v>
      </c>
      <c r="S58" s="3">
        <v>6833.49</v>
      </c>
    </row>
    <row r="59" spans="1:19" x14ac:dyDescent="0.2">
      <c r="A59" t="s">
        <v>189</v>
      </c>
      <c r="B59" s="2">
        <v>46248</v>
      </c>
      <c r="C59" s="2">
        <v>46277</v>
      </c>
      <c r="D59" t="s">
        <v>190</v>
      </c>
      <c r="E59" t="s">
        <v>82</v>
      </c>
      <c r="F59" t="s">
        <v>48</v>
      </c>
      <c r="G59" t="s">
        <v>92</v>
      </c>
      <c r="H59" t="s">
        <v>69</v>
      </c>
      <c r="I59" t="s">
        <v>35</v>
      </c>
      <c r="J59" t="s">
        <v>36</v>
      </c>
      <c r="K59" t="s">
        <v>50</v>
      </c>
      <c r="L59" t="s">
        <v>28</v>
      </c>
      <c r="M59" s="3">
        <v>20000</v>
      </c>
      <c r="N59" s="4">
        <v>0.10299999999999999</v>
      </c>
      <c r="O59" s="4">
        <v>1</v>
      </c>
      <c r="P59" t="s">
        <v>29</v>
      </c>
      <c r="R59">
        <v>29</v>
      </c>
      <c r="S59" s="3">
        <v>1494.43</v>
      </c>
    </row>
    <row r="60" spans="1:19" x14ac:dyDescent="0.2">
      <c r="A60" t="s">
        <v>191</v>
      </c>
      <c r="B60" s="2">
        <v>46094</v>
      </c>
      <c r="C60" s="2">
        <v>46120</v>
      </c>
      <c r="D60" t="s">
        <v>192</v>
      </c>
      <c r="E60" t="s">
        <v>33</v>
      </c>
      <c r="F60" t="s">
        <v>22</v>
      </c>
      <c r="G60" t="s">
        <v>34</v>
      </c>
      <c r="H60" t="s">
        <v>98</v>
      </c>
      <c r="I60" t="s">
        <v>35</v>
      </c>
      <c r="J60" t="s">
        <v>26</v>
      </c>
      <c r="K60" t="s">
        <v>37</v>
      </c>
      <c r="L60" t="s">
        <v>28</v>
      </c>
      <c r="M60" s="3">
        <v>26000</v>
      </c>
      <c r="N60" s="4">
        <v>0.14599999999999999</v>
      </c>
      <c r="O60" s="4">
        <v>0.05</v>
      </c>
      <c r="P60" t="s">
        <v>38</v>
      </c>
      <c r="R60">
        <v>26</v>
      </c>
      <c r="S60" s="3">
        <v>1850</v>
      </c>
    </row>
    <row r="61" spans="1:19" x14ac:dyDescent="0.2">
      <c r="A61" t="s">
        <v>193</v>
      </c>
      <c r="B61" s="2">
        <v>46168</v>
      </c>
      <c r="C61" s="2">
        <v>46277</v>
      </c>
      <c r="D61" t="s">
        <v>194</v>
      </c>
      <c r="E61" t="s">
        <v>111</v>
      </c>
      <c r="F61" t="s">
        <v>48</v>
      </c>
      <c r="G61" t="s">
        <v>23</v>
      </c>
      <c r="H61" t="s">
        <v>95</v>
      </c>
      <c r="I61" t="s">
        <v>42</v>
      </c>
      <c r="J61" t="s">
        <v>85</v>
      </c>
      <c r="K61" t="s">
        <v>27</v>
      </c>
      <c r="L61" t="s">
        <v>28</v>
      </c>
      <c r="M61" s="3">
        <v>15700</v>
      </c>
      <c r="N61" s="4">
        <v>0.13200000000000001</v>
      </c>
      <c r="O61" s="4">
        <v>0</v>
      </c>
      <c r="P61" t="s">
        <v>29</v>
      </c>
      <c r="Q61" t="s">
        <v>45</v>
      </c>
      <c r="R61">
        <v>109</v>
      </c>
      <c r="S61" s="3">
        <v>1135.53</v>
      </c>
    </row>
    <row r="62" spans="1:19" x14ac:dyDescent="0.2">
      <c r="A62" t="s">
        <v>195</v>
      </c>
      <c r="B62" s="2">
        <v>46123</v>
      </c>
      <c r="C62" s="2">
        <v>46267</v>
      </c>
      <c r="D62" t="s">
        <v>196</v>
      </c>
      <c r="E62" t="s">
        <v>33</v>
      </c>
      <c r="F62" t="s">
        <v>48</v>
      </c>
      <c r="G62" t="s">
        <v>23</v>
      </c>
      <c r="H62" t="s">
        <v>24</v>
      </c>
      <c r="I62" t="s">
        <v>65</v>
      </c>
      <c r="J62" t="s">
        <v>26</v>
      </c>
      <c r="K62" t="s">
        <v>88</v>
      </c>
      <c r="L62" t="s">
        <v>44</v>
      </c>
      <c r="M62" s="3">
        <v>22400</v>
      </c>
      <c r="N62" s="4">
        <v>0.185</v>
      </c>
      <c r="O62" s="4">
        <v>0.35</v>
      </c>
      <c r="P62" t="s">
        <v>38</v>
      </c>
      <c r="R62">
        <v>144</v>
      </c>
      <c r="S62" s="3">
        <v>1522.24</v>
      </c>
    </row>
    <row r="63" spans="1:19" x14ac:dyDescent="0.2">
      <c r="A63" t="s">
        <v>197</v>
      </c>
      <c r="B63" s="2">
        <v>46241</v>
      </c>
      <c r="C63" s="2">
        <v>46277</v>
      </c>
      <c r="D63" t="s">
        <v>198</v>
      </c>
      <c r="E63" t="s">
        <v>21</v>
      </c>
      <c r="F63" t="s">
        <v>22</v>
      </c>
      <c r="G63" t="s">
        <v>63</v>
      </c>
      <c r="H63" t="s">
        <v>64</v>
      </c>
      <c r="I63" t="s">
        <v>84</v>
      </c>
      <c r="J63" t="s">
        <v>57</v>
      </c>
      <c r="K63" t="s">
        <v>50</v>
      </c>
      <c r="L63" t="s">
        <v>51</v>
      </c>
      <c r="M63" s="3">
        <v>86800</v>
      </c>
      <c r="N63" s="4">
        <v>0.123</v>
      </c>
      <c r="O63" s="4">
        <v>1</v>
      </c>
      <c r="P63" t="s">
        <v>29</v>
      </c>
      <c r="R63">
        <v>36</v>
      </c>
      <c r="S63" s="3">
        <v>6346.85</v>
      </c>
    </row>
    <row r="64" spans="1:19" x14ac:dyDescent="0.2">
      <c r="A64" t="s">
        <v>199</v>
      </c>
      <c r="B64" s="2">
        <v>45937</v>
      </c>
      <c r="C64" s="2">
        <v>45970</v>
      </c>
      <c r="D64" t="s">
        <v>200</v>
      </c>
      <c r="E64" t="s">
        <v>33</v>
      </c>
      <c r="F64" t="s">
        <v>48</v>
      </c>
      <c r="G64" t="s">
        <v>55</v>
      </c>
      <c r="H64" t="s">
        <v>49</v>
      </c>
      <c r="I64" t="s">
        <v>42</v>
      </c>
      <c r="J64" t="s">
        <v>85</v>
      </c>
      <c r="K64" t="s">
        <v>88</v>
      </c>
      <c r="L64" t="s">
        <v>51</v>
      </c>
      <c r="M64" s="3">
        <v>18400</v>
      </c>
      <c r="N64" s="4">
        <v>0.185</v>
      </c>
      <c r="O64" s="4">
        <v>0.35</v>
      </c>
      <c r="P64" t="s">
        <v>38</v>
      </c>
      <c r="R64">
        <v>33</v>
      </c>
      <c r="S64" s="3">
        <v>1248.95</v>
      </c>
    </row>
    <row r="65" spans="1:19" x14ac:dyDescent="0.2">
      <c r="A65" t="s">
        <v>201</v>
      </c>
      <c r="B65" s="2">
        <v>46008</v>
      </c>
      <c r="C65" s="2">
        <v>46131</v>
      </c>
      <c r="D65" t="s">
        <v>202</v>
      </c>
      <c r="E65" t="s">
        <v>54</v>
      </c>
      <c r="F65" t="s">
        <v>22</v>
      </c>
      <c r="G65" t="s">
        <v>63</v>
      </c>
      <c r="H65" t="s">
        <v>98</v>
      </c>
      <c r="I65" t="s">
        <v>42</v>
      </c>
      <c r="J65" t="s">
        <v>57</v>
      </c>
      <c r="K65" t="s">
        <v>58</v>
      </c>
      <c r="L65" t="s">
        <v>51</v>
      </c>
      <c r="M65" s="3">
        <v>86400</v>
      </c>
      <c r="N65" s="4">
        <v>2.5999999999999999E-2</v>
      </c>
      <c r="O65" s="4">
        <v>0.75</v>
      </c>
      <c r="P65" t="s">
        <v>59</v>
      </c>
      <c r="R65">
        <v>123</v>
      </c>
      <c r="S65" s="3">
        <v>7012.44</v>
      </c>
    </row>
    <row r="66" spans="1:19" x14ac:dyDescent="0.2">
      <c r="A66" t="s">
        <v>203</v>
      </c>
      <c r="B66" s="2">
        <v>46180</v>
      </c>
      <c r="C66" s="2">
        <v>46211</v>
      </c>
      <c r="D66" t="s">
        <v>204</v>
      </c>
      <c r="E66" t="s">
        <v>33</v>
      </c>
      <c r="F66" t="s">
        <v>48</v>
      </c>
      <c r="G66" t="s">
        <v>92</v>
      </c>
      <c r="H66" t="s">
        <v>98</v>
      </c>
      <c r="I66" t="s">
        <v>35</v>
      </c>
      <c r="J66" t="s">
        <v>85</v>
      </c>
      <c r="K66" t="s">
        <v>78</v>
      </c>
      <c r="L66" t="s">
        <v>28</v>
      </c>
      <c r="M66" s="3">
        <v>21300</v>
      </c>
      <c r="N66" s="4">
        <v>0</v>
      </c>
      <c r="O66" s="4">
        <v>0.55000000000000004</v>
      </c>
      <c r="P66" t="s">
        <v>79</v>
      </c>
      <c r="R66">
        <v>31</v>
      </c>
      <c r="S66" s="3">
        <v>1775</v>
      </c>
    </row>
    <row r="67" spans="1:19" x14ac:dyDescent="0.2">
      <c r="A67" t="s">
        <v>205</v>
      </c>
      <c r="B67" s="2">
        <v>46006</v>
      </c>
      <c r="C67" s="2">
        <v>46133</v>
      </c>
      <c r="D67" t="s">
        <v>206</v>
      </c>
      <c r="E67" t="s">
        <v>82</v>
      </c>
      <c r="F67" t="s">
        <v>48</v>
      </c>
      <c r="G67" t="s">
        <v>92</v>
      </c>
      <c r="H67" t="s">
        <v>56</v>
      </c>
      <c r="I67" t="s">
        <v>65</v>
      </c>
      <c r="J67" t="s">
        <v>26</v>
      </c>
      <c r="K67" t="s">
        <v>27</v>
      </c>
      <c r="L67" t="s">
        <v>51</v>
      </c>
      <c r="M67" s="3">
        <v>17300</v>
      </c>
      <c r="N67" s="4">
        <v>0.14899999999999999</v>
      </c>
      <c r="O67" s="4">
        <v>0.05</v>
      </c>
      <c r="P67" t="s">
        <v>29</v>
      </c>
      <c r="Q67" t="s">
        <v>188</v>
      </c>
      <c r="R67">
        <v>127</v>
      </c>
      <c r="S67" s="3">
        <v>1227.33</v>
      </c>
    </row>
    <row r="68" spans="1:19" x14ac:dyDescent="0.2">
      <c r="A68" t="s">
        <v>207</v>
      </c>
      <c r="B68" s="2">
        <v>46007</v>
      </c>
      <c r="C68" s="2">
        <v>46022</v>
      </c>
      <c r="D68" t="s">
        <v>208</v>
      </c>
      <c r="E68" t="s">
        <v>111</v>
      </c>
      <c r="F68" t="s">
        <v>48</v>
      </c>
      <c r="G68" t="s">
        <v>92</v>
      </c>
      <c r="H68" t="s">
        <v>41</v>
      </c>
      <c r="I68" t="s">
        <v>65</v>
      </c>
      <c r="J68" t="s">
        <v>85</v>
      </c>
      <c r="K68" t="s">
        <v>27</v>
      </c>
      <c r="L68" t="s">
        <v>28</v>
      </c>
      <c r="M68" s="3">
        <v>13300</v>
      </c>
      <c r="N68" s="4">
        <v>0.182</v>
      </c>
      <c r="O68" s="4">
        <v>0.05</v>
      </c>
      <c r="P68" t="s">
        <v>29</v>
      </c>
      <c r="Q68" t="s">
        <v>209</v>
      </c>
      <c r="R68">
        <v>15</v>
      </c>
      <c r="S68" s="3">
        <v>906.54</v>
      </c>
    </row>
    <row r="69" spans="1:19" x14ac:dyDescent="0.2">
      <c r="A69" t="s">
        <v>210</v>
      </c>
      <c r="B69" s="2">
        <v>45939</v>
      </c>
      <c r="C69" s="2">
        <v>46091</v>
      </c>
      <c r="D69" t="s">
        <v>211</v>
      </c>
      <c r="E69" t="s">
        <v>62</v>
      </c>
      <c r="F69" t="s">
        <v>22</v>
      </c>
      <c r="G69" t="s">
        <v>34</v>
      </c>
      <c r="H69" t="s">
        <v>64</v>
      </c>
      <c r="I69" t="s">
        <v>25</v>
      </c>
      <c r="J69" t="s">
        <v>26</v>
      </c>
      <c r="K69" t="s">
        <v>50</v>
      </c>
      <c r="L69" t="s">
        <v>44</v>
      </c>
      <c r="M69" s="3">
        <v>53700</v>
      </c>
      <c r="N69" s="4">
        <v>0.12</v>
      </c>
      <c r="O69" s="4">
        <v>1</v>
      </c>
      <c r="P69" t="s">
        <v>29</v>
      </c>
      <c r="R69">
        <v>152</v>
      </c>
      <c r="S69" s="3">
        <v>3937.53</v>
      </c>
    </row>
    <row r="70" spans="1:19" x14ac:dyDescent="0.2">
      <c r="A70" t="s">
        <v>212</v>
      </c>
      <c r="B70" s="2">
        <v>46136</v>
      </c>
      <c r="C70" s="2">
        <v>46185</v>
      </c>
      <c r="D70" t="s">
        <v>213</v>
      </c>
      <c r="E70" t="s">
        <v>68</v>
      </c>
      <c r="F70" t="s">
        <v>48</v>
      </c>
      <c r="G70" t="s">
        <v>23</v>
      </c>
      <c r="H70" t="s">
        <v>98</v>
      </c>
      <c r="I70" t="s">
        <v>25</v>
      </c>
      <c r="J70" t="s">
        <v>43</v>
      </c>
      <c r="K70" t="s">
        <v>27</v>
      </c>
      <c r="L70" t="s">
        <v>28</v>
      </c>
      <c r="M70" s="3">
        <v>28400</v>
      </c>
      <c r="N70" s="4">
        <v>0.113</v>
      </c>
      <c r="O70" s="4">
        <v>0</v>
      </c>
      <c r="P70" t="s">
        <v>29</v>
      </c>
      <c r="Q70" t="s">
        <v>45</v>
      </c>
      <c r="R70">
        <v>49</v>
      </c>
      <c r="S70" s="3">
        <v>2099.92</v>
      </c>
    </row>
    <row r="71" spans="1:19" x14ac:dyDescent="0.2">
      <c r="A71" t="s">
        <v>214</v>
      </c>
      <c r="B71" s="2">
        <v>46151</v>
      </c>
      <c r="C71" s="2">
        <v>46181</v>
      </c>
      <c r="D71" t="s">
        <v>215</v>
      </c>
      <c r="E71" t="s">
        <v>82</v>
      </c>
      <c r="F71" t="s">
        <v>22</v>
      </c>
      <c r="G71" t="s">
        <v>55</v>
      </c>
      <c r="H71" t="s">
        <v>64</v>
      </c>
      <c r="I71" t="s">
        <v>99</v>
      </c>
      <c r="J71" t="s">
        <v>57</v>
      </c>
      <c r="K71" t="s">
        <v>78</v>
      </c>
      <c r="L71" t="s">
        <v>51</v>
      </c>
      <c r="M71" s="3">
        <v>87100</v>
      </c>
      <c r="N71" s="4">
        <v>0.13100000000000001</v>
      </c>
      <c r="O71" s="4">
        <v>0.55000000000000004</v>
      </c>
      <c r="P71" t="s">
        <v>79</v>
      </c>
      <c r="R71">
        <v>30</v>
      </c>
      <c r="S71" s="3">
        <v>6307.01</v>
      </c>
    </row>
    <row r="72" spans="1:19" x14ac:dyDescent="0.2">
      <c r="A72" t="s">
        <v>216</v>
      </c>
      <c r="B72" s="2">
        <v>45953</v>
      </c>
      <c r="C72" s="2">
        <v>46055</v>
      </c>
      <c r="D72" t="s">
        <v>217</v>
      </c>
      <c r="E72" t="s">
        <v>33</v>
      </c>
      <c r="F72" t="s">
        <v>74</v>
      </c>
      <c r="G72" t="s">
        <v>55</v>
      </c>
      <c r="H72" t="s">
        <v>24</v>
      </c>
      <c r="I72" t="s">
        <v>84</v>
      </c>
      <c r="J72" t="s">
        <v>57</v>
      </c>
      <c r="K72" t="s">
        <v>37</v>
      </c>
      <c r="L72" t="s">
        <v>44</v>
      </c>
      <c r="M72" s="3">
        <v>158200</v>
      </c>
      <c r="N72" s="4">
        <v>0.11700000000000001</v>
      </c>
      <c r="O72" s="4">
        <v>0.15</v>
      </c>
      <c r="P72" t="s">
        <v>38</v>
      </c>
      <c r="R72">
        <v>102</v>
      </c>
      <c r="S72" s="3">
        <v>11638.45</v>
      </c>
    </row>
    <row r="73" spans="1:19" x14ac:dyDescent="0.2">
      <c r="A73" t="s">
        <v>218</v>
      </c>
      <c r="B73" s="2">
        <v>45981</v>
      </c>
      <c r="C73" s="2">
        <v>46073</v>
      </c>
      <c r="D73" t="s">
        <v>219</v>
      </c>
      <c r="E73" t="s">
        <v>54</v>
      </c>
      <c r="F73" t="s">
        <v>48</v>
      </c>
      <c r="G73" t="s">
        <v>63</v>
      </c>
      <c r="H73" t="s">
        <v>24</v>
      </c>
      <c r="I73" t="s">
        <v>84</v>
      </c>
      <c r="J73" t="s">
        <v>57</v>
      </c>
      <c r="K73" t="s">
        <v>88</v>
      </c>
      <c r="L73" t="s">
        <v>51</v>
      </c>
      <c r="M73" s="3">
        <v>28300</v>
      </c>
      <c r="N73" s="4">
        <v>0</v>
      </c>
      <c r="O73" s="4">
        <v>0.4</v>
      </c>
      <c r="P73" t="s">
        <v>38</v>
      </c>
      <c r="R73">
        <v>92</v>
      </c>
      <c r="S73" s="3">
        <v>2358.33</v>
      </c>
    </row>
    <row r="74" spans="1:19" x14ac:dyDescent="0.2">
      <c r="A74" t="s">
        <v>220</v>
      </c>
      <c r="B74" s="2">
        <v>46019</v>
      </c>
      <c r="C74" s="2">
        <v>46137</v>
      </c>
      <c r="D74" t="s">
        <v>221</v>
      </c>
      <c r="E74" t="s">
        <v>54</v>
      </c>
      <c r="F74" t="s">
        <v>48</v>
      </c>
      <c r="G74" t="s">
        <v>23</v>
      </c>
      <c r="H74" t="s">
        <v>49</v>
      </c>
      <c r="I74" t="s">
        <v>84</v>
      </c>
      <c r="J74" t="s">
        <v>57</v>
      </c>
      <c r="K74" t="s">
        <v>27</v>
      </c>
      <c r="L74" t="s">
        <v>44</v>
      </c>
      <c r="M74" s="3">
        <v>6000</v>
      </c>
      <c r="N74" s="4">
        <v>0.13400000000000001</v>
      </c>
      <c r="O74" s="4">
        <v>0.05</v>
      </c>
      <c r="P74" t="s">
        <v>29</v>
      </c>
      <c r="Q74" t="s">
        <v>222</v>
      </c>
      <c r="R74">
        <v>118</v>
      </c>
      <c r="S74" s="3">
        <v>433.07</v>
      </c>
    </row>
    <row r="75" spans="1:19" x14ac:dyDescent="0.2">
      <c r="A75" t="s">
        <v>223</v>
      </c>
      <c r="B75" s="2">
        <v>46222</v>
      </c>
      <c r="C75" s="2">
        <v>46314</v>
      </c>
      <c r="D75" t="s">
        <v>224</v>
      </c>
      <c r="E75" t="s">
        <v>62</v>
      </c>
      <c r="F75" t="s">
        <v>74</v>
      </c>
      <c r="G75" t="s">
        <v>34</v>
      </c>
      <c r="H75" t="s">
        <v>95</v>
      </c>
      <c r="I75" t="s">
        <v>25</v>
      </c>
      <c r="J75" t="s">
        <v>57</v>
      </c>
      <c r="K75" t="s">
        <v>58</v>
      </c>
      <c r="L75" t="s">
        <v>28</v>
      </c>
      <c r="M75" s="3">
        <v>195400</v>
      </c>
      <c r="N75" s="4">
        <v>0.151</v>
      </c>
      <c r="O75" s="4">
        <v>0.75</v>
      </c>
      <c r="P75" t="s">
        <v>59</v>
      </c>
      <c r="R75">
        <v>92</v>
      </c>
      <c r="S75" s="3">
        <v>13821.72</v>
      </c>
    </row>
    <row r="76" spans="1:19" x14ac:dyDescent="0.2">
      <c r="A76" t="s">
        <v>225</v>
      </c>
      <c r="B76" s="2">
        <v>46057</v>
      </c>
      <c r="C76" s="2">
        <v>46182</v>
      </c>
      <c r="D76" t="s">
        <v>226</v>
      </c>
      <c r="E76" t="s">
        <v>62</v>
      </c>
      <c r="F76" t="s">
        <v>48</v>
      </c>
      <c r="G76" t="s">
        <v>63</v>
      </c>
      <c r="H76" t="s">
        <v>77</v>
      </c>
      <c r="I76" t="s">
        <v>35</v>
      </c>
      <c r="J76" t="s">
        <v>85</v>
      </c>
      <c r="K76" t="s">
        <v>37</v>
      </c>
      <c r="L76" t="s">
        <v>44</v>
      </c>
      <c r="M76" s="3">
        <v>15500</v>
      </c>
      <c r="N76" s="4">
        <v>0.124</v>
      </c>
      <c r="O76" s="4">
        <v>0.1</v>
      </c>
      <c r="P76" t="s">
        <v>38</v>
      </c>
      <c r="R76">
        <v>125</v>
      </c>
      <c r="S76" s="3">
        <v>1131.33</v>
      </c>
    </row>
    <row r="77" spans="1:19" x14ac:dyDescent="0.2">
      <c r="A77" t="s">
        <v>227</v>
      </c>
      <c r="B77" s="2">
        <v>46046</v>
      </c>
      <c r="C77" s="2">
        <v>46077</v>
      </c>
      <c r="D77" t="s">
        <v>228</v>
      </c>
      <c r="E77" t="s">
        <v>21</v>
      </c>
      <c r="F77" t="s">
        <v>74</v>
      </c>
      <c r="G77" t="s">
        <v>34</v>
      </c>
      <c r="H77" t="s">
        <v>137</v>
      </c>
      <c r="I77" t="s">
        <v>35</v>
      </c>
      <c r="J77" t="s">
        <v>43</v>
      </c>
      <c r="K77" t="s">
        <v>37</v>
      </c>
      <c r="L77" t="s">
        <v>51</v>
      </c>
      <c r="M77" s="3">
        <v>97300</v>
      </c>
      <c r="N77" s="4">
        <v>0.155</v>
      </c>
      <c r="O77" s="4">
        <v>0.1</v>
      </c>
      <c r="P77" t="s">
        <v>38</v>
      </c>
      <c r="R77">
        <v>31</v>
      </c>
      <c r="S77" s="3">
        <v>6851.44</v>
      </c>
    </row>
    <row r="78" spans="1:19" x14ac:dyDescent="0.2">
      <c r="A78" t="s">
        <v>229</v>
      </c>
      <c r="B78" s="2">
        <v>45990</v>
      </c>
      <c r="C78" s="2">
        <v>46028</v>
      </c>
      <c r="D78" t="s">
        <v>230</v>
      </c>
      <c r="E78" t="s">
        <v>54</v>
      </c>
      <c r="F78" t="s">
        <v>48</v>
      </c>
      <c r="G78" t="s">
        <v>23</v>
      </c>
      <c r="H78" t="s">
        <v>137</v>
      </c>
      <c r="I78" t="s">
        <v>65</v>
      </c>
      <c r="J78" t="s">
        <v>85</v>
      </c>
      <c r="K78" t="s">
        <v>50</v>
      </c>
      <c r="L78" t="s">
        <v>44</v>
      </c>
      <c r="M78" s="3">
        <v>17800</v>
      </c>
      <c r="N78" s="4">
        <v>9.1999999999999998E-2</v>
      </c>
      <c r="O78" s="4">
        <v>0.95</v>
      </c>
      <c r="P78" t="s">
        <v>29</v>
      </c>
      <c r="R78">
        <v>38</v>
      </c>
      <c r="S78" s="3">
        <v>1346.62</v>
      </c>
    </row>
    <row r="79" spans="1:19" x14ac:dyDescent="0.2">
      <c r="A79" t="s">
        <v>231</v>
      </c>
      <c r="B79" s="2">
        <v>46097</v>
      </c>
      <c r="C79" s="2">
        <v>46166</v>
      </c>
      <c r="D79" t="s">
        <v>232</v>
      </c>
      <c r="E79" t="s">
        <v>91</v>
      </c>
      <c r="F79" t="s">
        <v>74</v>
      </c>
      <c r="G79" t="s">
        <v>92</v>
      </c>
      <c r="H79" t="s">
        <v>95</v>
      </c>
      <c r="I79" t="s">
        <v>99</v>
      </c>
      <c r="J79" t="s">
        <v>85</v>
      </c>
      <c r="K79" t="s">
        <v>58</v>
      </c>
      <c r="L79" t="s">
        <v>28</v>
      </c>
      <c r="M79" s="3">
        <v>94400</v>
      </c>
      <c r="N79" s="4">
        <v>0.185</v>
      </c>
      <c r="O79" s="4">
        <v>0.7</v>
      </c>
      <c r="P79" t="s">
        <v>59</v>
      </c>
      <c r="R79">
        <v>69</v>
      </c>
      <c r="S79" s="3">
        <v>6415.05</v>
      </c>
    </row>
    <row r="80" spans="1:19" x14ac:dyDescent="0.2">
      <c r="A80" t="s">
        <v>233</v>
      </c>
      <c r="B80" s="2">
        <v>45984</v>
      </c>
      <c r="C80" s="2">
        <v>46077</v>
      </c>
      <c r="D80" t="s">
        <v>234</v>
      </c>
      <c r="E80" t="s">
        <v>82</v>
      </c>
      <c r="F80" t="s">
        <v>48</v>
      </c>
      <c r="G80" t="s">
        <v>55</v>
      </c>
      <c r="H80" t="s">
        <v>98</v>
      </c>
      <c r="I80" t="s">
        <v>99</v>
      </c>
      <c r="J80" t="s">
        <v>57</v>
      </c>
      <c r="K80" t="s">
        <v>37</v>
      </c>
      <c r="L80" t="s">
        <v>51</v>
      </c>
      <c r="M80" s="3">
        <v>25000</v>
      </c>
      <c r="N80" s="4">
        <v>0.10100000000000001</v>
      </c>
      <c r="O80" s="4">
        <v>0.1</v>
      </c>
      <c r="P80" t="s">
        <v>38</v>
      </c>
      <c r="R80">
        <v>93</v>
      </c>
      <c r="S80" s="3">
        <v>1873.76</v>
      </c>
    </row>
    <row r="81" spans="1:19" x14ac:dyDescent="0.2">
      <c r="A81" t="s">
        <v>235</v>
      </c>
      <c r="B81" s="2">
        <v>45978</v>
      </c>
      <c r="C81" s="2">
        <v>46024</v>
      </c>
      <c r="D81" t="s">
        <v>236</v>
      </c>
      <c r="E81" t="s">
        <v>111</v>
      </c>
      <c r="F81" t="s">
        <v>22</v>
      </c>
      <c r="G81" t="s">
        <v>63</v>
      </c>
      <c r="H81" t="s">
        <v>24</v>
      </c>
      <c r="I81" t="s">
        <v>35</v>
      </c>
      <c r="J81" t="s">
        <v>26</v>
      </c>
      <c r="K81" t="s">
        <v>50</v>
      </c>
      <c r="L81" t="s">
        <v>44</v>
      </c>
      <c r="M81" s="3">
        <v>53700</v>
      </c>
      <c r="N81" s="4">
        <v>0.152</v>
      </c>
      <c r="O81" s="4">
        <v>0.95</v>
      </c>
      <c r="P81" t="s">
        <v>29</v>
      </c>
      <c r="R81">
        <v>46</v>
      </c>
      <c r="S81" s="3">
        <v>3794.45</v>
      </c>
    </row>
    <row r="82" spans="1:19" x14ac:dyDescent="0.2">
      <c r="A82" t="s">
        <v>237</v>
      </c>
      <c r="B82" s="2">
        <v>46123</v>
      </c>
      <c r="C82" s="2">
        <v>46191</v>
      </c>
      <c r="D82" t="s">
        <v>238</v>
      </c>
      <c r="E82" t="s">
        <v>33</v>
      </c>
      <c r="F82" t="s">
        <v>48</v>
      </c>
      <c r="G82" t="s">
        <v>92</v>
      </c>
      <c r="H82" t="s">
        <v>56</v>
      </c>
      <c r="I82" t="s">
        <v>42</v>
      </c>
      <c r="J82" t="s">
        <v>43</v>
      </c>
      <c r="K82" t="s">
        <v>88</v>
      </c>
      <c r="L82" t="s">
        <v>51</v>
      </c>
      <c r="M82" s="3">
        <v>18600</v>
      </c>
      <c r="N82" s="4">
        <v>4.8000000000000001E-2</v>
      </c>
      <c r="O82" s="4">
        <v>0.3</v>
      </c>
      <c r="P82" t="s">
        <v>38</v>
      </c>
      <c r="R82">
        <v>68</v>
      </c>
      <c r="S82" s="3">
        <v>1476.16</v>
      </c>
    </row>
    <row r="83" spans="1:19" x14ac:dyDescent="0.2">
      <c r="A83" t="s">
        <v>239</v>
      </c>
      <c r="B83" s="2">
        <v>46185</v>
      </c>
      <c r="C83" s="2">
        <v>46303</v>
      </c>
      <c r="D83" t="s">
        <v>236</v>
      </c>
      <c r="E83" t="s">
        <v>68</v>
      </c>
      <c r="F83" t="s">
        <v>22</v>
      </c>
      <c r="G83" t="s">
        <v>63</v>
      </c>
      <c r="H83" t="s">
        <v>98</v>
      </c>
      <c r="I83" t="s">
        <v>25</v>
      </c>
      <c r="J83" t="s">
        <v>26</v>
      </c>
      <c r="K83" t="s">
        <v>106</v>
      </c>
      <c r="L83" t="s">
        <v>44</v>
      </c>
      <c r="M83" s="3">
        <v>45500</v>
      </c>
      <c r="N83" s="4">
        <v>0.13900000000000001</v>
      </c>
      <c r="O83" s="4">
        <v>0.2</v>
      </c>
      <c r="P83" t="s">
        <v>38</v>
      </c>
      <c r="R83">
        <v>118</v>
      </c>
      <c r="S83" s="3">
        <v>3262.98</v>
      </c>
    </row>
    <row r="84" spans="1:19" x14ac:dyDescent="0.2">
      <c r="A84" t="s">
        <v>240</v>
      </c>
      <c r="B84" s="2">
        <v>46259</v>
      </c>
      <c r="C84" s="2">
        <v>46277</v>
      </c>
      <c r="D84" t="s">
        <v>241</v>
      </c>
      <c r="E84" t="s">
        <v>21</v>
      </c>
      <c r="F84" t="s">
        <v>74</v>
      </c>
      <c r="G84" t="s">
        <v>55</v>
      </c>
      <c r="H84" t="s">
        <v>83</v>
      </c>
      <c r="I84" t="s">
        <v>99</v>
      </c>
      <c r="J84" t="s">
        <v>57</v>
      </c>
      <c r="K84" t="s">
        <v>50</v>
      </c>
      <c r="L84" t="s">
        <v>51</v>
      </c>
      <c r="M84" s="3">
        <v>186800</v>
      </c>
      <c r="N84" s="4">
        <v>6.9000000000000006E-2</v>
      </c>
      <c r="O84" s="4">
        <v>1</v>
      </c>
      <c r="P84" t="s">
        <v>29</v>
      </c>
      <c r="R84">
        <v>18</v>
      </c>
      <c r="S84" s="3">
        <v>14488.79</v>
      </c>
    </row>
    <row r="85" spans="1:19" x14ac:dyDescent="0.2">
      <c r="A85" t="s">
        <v>242</v>
      </c>
      <c r="B85" s="2">
        <v>45936</v>
      </c>
      <c r="C85" s="2">
        <v>46048</v>
      </c>
      <c r="D85" t="s">
        <v>243</v>
      </c>
      <c r="E85" t="s">
        <v>82</v>
      </c>
      <c r="F85" t="s">
        <v>48</v>
      </c>
      <c r="G85" t="s">
        <v>55</v>
      </c>
      <c r="H85" t="s">
        <v>120</v>
      </c>
      <c r="I85" t="s">
        <v>25</v>
      </c>
      <c r="J85" t="s">
        <v>85</v>
      </c>
      <c r="K85" t="s">
        <v>50</v>
      </c>
      <c r="L85" t="s">
        <v>51</v>
      </c>
      <c r="M85" s="3">
        <v>23200</v>
      </c>
      <c r="N85" s="4">
        <v>7.3999999999999996E-2</v>
      </c>
      <c r="O85" s="4">
        <v>1</v>
      </c>
      <c r="P85" t="s">
        <v>29</v>
      </c>
      <c r="R85">
        <v>112</v>
      </c>
      <c r="S85" s="3">
        <v>1790.83</v>
      </c>
    </row>
    <row r="86" spans="1:19" x14ac:dyDescent="0.2">
      <c r="A86" t="s">
        <v>244</v>
      </c>
      <c r="B86" s="2">
        <v>45990</v>
      </c>
      <c r="C86" s="2">
        <v>46085</v>
      </c>
      <c r="D86" t="s">
        <v>245</v>
      </c>
      <c r="E86" t="s">
        <v>82</v>
      </c>
      <c r="F86" t="s">
        <v>74</v>
      </c>
      <c r="G86" t="s">
        <v>34</v>
      </c>
      <c r="H86" t="s">
        <v>77</v>
      </c>
      <c r="I86" t="s">
        <v>84</v>
      </c>
      <c r="J86" t="s">
        <v>36</v>
      </c>
      <c r="K86" t="s">
        <v>106</v>
      </c>
      <c r="L86" t="s">
        <v>28</v>
      </c>
      <c r="M86" s="3">
        <v>270400</v>
      </c>
      <c r="N86" s="4">
        <v>0.14799999999999999</v>
      </c>
      <c r="O86" s="4">
        <v>0.2</v>
      </c>
      <c r="P86" t="s">
        <v>38</v>
      </c>
      <c r="R86">
        <v>95</v>
      </c>
      <c r="S86" s="3">
        <v>19190.34</v>
      </c>
    </row>
    <row r="87" spans="1:19" x14ac:dyDescent="0.2">
      <c r="A87" t="s">
        <v>246</v>
      </c>
      <c r="B87" s="2">
        <v>46241</v>
      </c>
      <c r="C87" s="2">
        <v>46297</v>
      </c>
      <c r="D87" t="s">
        <v>247</v>
      </c>
      <c r="E87" t="s">
        <v>21</v>
      </c>
      <c r="F87" t="s">
        <v>74</v>
      </c>
      <c r="G87" t="s">
        <v>34</v>
      </c>
      <c r="H87" t="s">
        <v>83</v>
      </c>
      <c r="I87" t="s">
        <v>42</v>
      </c>
      <c r="J87" t="s">
        <v>57</v>
      </c>
      <c r="K87" t="s">
        <v>37</v>
      </c>
      <c r="L87" t="s">
        <v>51</v>
      </c>
      <c r="M87" s="3">
        <v>305200</v>
      </c>
      <c r="N87" s="4">
        <v>0</v>
      </c>
      <c r="O87" s="4">
        <v>0.15</v>
      </c>
      <c r="P87" t="s">
        <v>38</v>
      </c>
      <c r="R87">
        <v>56</v>
      </c>
      <c r="S87" s="3">
        <v>25433.33</v>
      </c>
    </row>
    <row r="88" spans="1:19" x14ac:dyDescent="0.2">
      <c r="A88" t="s">
        <v>248</v>
      </c>
      <c r="B88" s="2">
        <v>46248</v>
      </c>
      <c r="C88" s="2">
        <v>46305</v>
      </c>
      <c r="D88" t="s">
        <v>136</v>
      </c>
      <c r="E88" t="s">
        <v>33</v>
      </c>
      <c r="F88" t="s">
        <v>74</v>
      </c>
      <c r="G88" t="s">
        <v>34</v>
      </c>
      <c r="H88" t="s">
        <v>64</v>
      </c>
      <c r="I88" t="s">
        <v>84</v>
      </c>
      <c r="J88" t="s">
        <v>36</v>
      </c>
      <c r="K88" t="s">
        <v>88</v>
      </c>
      <c r="L88" t="s">
        <v>44</v>
      </c>
      <c r="M88" s="3">
        <v>136500</v>
      </c>
      <c r="N88" s="4">
        <v>3.1E-2</v>
      </c>
      <c r="O88" s="4">
        <v>0.35</v>
      </c>
      <c r="P88" t="s">
        <v>38</v>
      </c>
      <c r="R88">
        <v>57</v>
      </c>
      <c r="S88" s="3">
        <v>11022.69</v>
      </c>
    </row>
    <row r="89" spans="1:19" x14ac:dyDescent="0.2">
      <c r="A89" t="s">
        <v>249</v>
      </c>
      <c r="B89" s="2">
        <v>46230</v>
      </c>
      <c r="C89" s="2">
        <v>46259</v>
      </c>
      <c r="D89" t="s">
        <v>250</v>
      </c>
      <c r="E89" t="s">
        <v>21</v>
      </c>
      <c r="F89" t="s">
        <v>74</v>
      </c>
      <c r="G89" t="s">
        <v>63</v>
      </c>
      <c r="H89" t="s">
        <v>69</v>
      </c>
      <c r="I89" t="s">
        <v>25</v>
      </c>
      <c r="J89" t="s">
        <v>36</v>
      </c>
      <c r="K89" t="s">
        <v>37</v>
      </c>
      <c r="L89" t="s">
        <v>44</v>
      </c>
      <c r="M89" s="3">
        <v>162100</v>
      </c>
      <c r="N89" s="4">
        <v>0.16</v>
      </c>
      <c r="O89" s="4">
        <v>0.15</v>
      </c>
      <c r="P89" t="s">
        <v>38</v>
      </c>
      <c r="R89">
        <v>29</v>
      </c>
      <c r="S89" s="3">
        <v>11346.46</v>
      </c>
    </row>
    <row r="90" spans="1:19" x14ac:dyDescent="0.2">
      <c r="A90" t="s">
        <v>251</v>
      </c>
      <c r="B90" s="2">
        <v>46061</v>
      </c>
      <c r="C90" s="2">
        <v>46184</v>
      </c>
      <c r="D90" t="s">
        <v>252</v>
      </c>
      <c r="E90" t="s">
        <v>82</v>
      </c>
      <c r="F90" t="s">
        <v>74</v>
      </c>
      <c r="G90" t="s">
        <v>92</v>
      </c>
      <c r="H90" t="s">
        <v>98</v>
      </c>
      <c r="I90" t="s">
        <v>99</v>
      </c>
      <c r="J90" t="s">
        <v>26</v>
      </c>
      <c r="K90" t="s">
        <v>27</v>
      </c>
      <c r="L90" t="s">
        <v>28</v>
      </c>
      <c r="M90" s="3">
        <v>227500</v>
      </c>
      <c r="N90" s="4">
        <v>0.252</v>
      </c>
      <c r="O90" s="4">
        <v>0</v>
      </c>
      <c r="P90" t="s">
        <v>29</v>
      </c>
      <c r="Q90" t="s">
        <v>209</v>
      </c>
      <c r="R90">
        <v>123</v>
      </c>
      <c r="S90" s="3">
        <v>14188.07</v>
      </c>
    </row>
    <row r="91" spans="1:19" x14ac:dyDescent="0.2">
      <c r="A91" t="s">
        <v>253</v>
      </c>
      <c r="B91" s="2">
        <v>45995</v>
      </c>
      <c r="C91" s="2">
        <v>46126</v>
      </c>
      <c r="D91" t="s">
        <v>254</v>
      </c>
      <c r="E91" t="s">
        <v>91</v>
      </c>
      <c r="F91" t="s">
        <v>74</v>
      </c>
      <c r="G91" t="s">
        <v>34</v>
      </c>
      <c r="H91" t="s">
        <v>120</v>
      </c>
      <c r="I91" t="s">
        <v>42</v>
      </c>
      <c r="J91" t="s">
        <v>57</v>
      </c>
      <c r="K91" t="s">
        <v>50</v>
      </c>
      <c r="L91" t="s">
        <v>28</v>
      </c>
      <c r="M91" s="3">
        <v>191400</v>
      </c>
      <c r="N91" s="4">
        <v>7.0000000000000007E-2</v>
      </c>
      <c r="O91" s="4">
        <v>1</v>
      </c>
      <c r="P91" t="s">
        <v>29</v>
      </c>
      <c r="R91">
        <v>131</v>
      </c>
      <c r="S91" s="3">
        <v>14831.96</v>
      </c>
    </row>
    <row r="92" spans="1:19" x14ac:dyDescent="0.2">
      <c r="A92" t="s">
        <v>255</v>
      </c>
      <c r="B92" s="2">
        <v>46184</v>
      </c>
      <c r="C92" s="2">
        <v>46329</v>
      </c>
      <c r="D92" t="s">
        <v>256</v>
      </c>
      <c r="E92" t="s">
        <v>62</v>
      </c>
      <c r="F92" t="s">
        <v>48</v>
      </c>
      <c r="G92" t="s">
        <v>63</v>
      </c>
      <c r="H92" t="s">
        <v>64</v>
      </c>
      <c r="I92" t="s">
        <v>42</v>
      </c>
      <c r="J92" t="s">
        <v>43</v>
      </c>
      <c r="K92" t="s">
        <v>88</v>
      </c>
      <c r="L92" t="s">
        <v>51</v>
      </c>
      <c r="M92" s="3">
        <v>15100</v>
      </c>
      <c r="N92" s="4">
        <v>0.10100000000000001</v>
      </c>
      <c r="O92" s="4">
        <v>0.35</v>
      </c>
      <c r="P92" t="s">
        <v>38</v>
      </c>
      <c r="R92">
        <v>145</v>
      </c>
      <c r="S92" s="3">
        <v>1131.81</v>
      </c>
    </row>
    <row r="93" spans="1:19" x14ac:dyDescent="0.2">
      <c r="A93" t="s">
        <v>257</v>
      </c>
      <c r="B93" s="2">
        <v>46274</v>
      </c>
      <c r="C93" s="2">
        <v>46317</v>
      </c>
      <c r="D93" t="s">
        <v>132</v>
      </c>
      <c r="E93" t="s">
        <v>82</v>
      </c>
      <c r="F93" t="s">
        <v>48</v>
      </c>
      <c r="G93" t="s">
        <v>92</v>
      </c>
      <c r="H93" t="s">
        <v>120</v>
      </c>
      <c r="I93" t="s">
        <v>25</v>
      </c>
      <c r="J93" t="s">
        <v>85</v>
      </c>
      <c r="K93" t="s">
        <v>37</v>
      </c>
      <c r="L93" t="s">
        <v>28</v>
      </c>
      <c r="M93" s="3">
        <v>26900</v>
      </c>
      <c r="N93" s="4">
        <v>0.14899999999999999</v>
      </c>
      <c r="O93" s="4">
        <v>0.05</v>
      </c>
      <c r="P93" t="s">
        <v>38</v>
      </c>
      <c r="R93">
        <v>43</v>
      </c>
      <c r="S93" s="3">
        <v>1906.94</v>
      </c>
    </row>
    <row r="94" spans="1:19" x14ac:dyDescent="0.2">
      <c r="A94" t="s">
        <v>258</v>
      </c>
      <c r="B94" s="2">
        <v>45980</v>
      </c>
      <c r="C94" s="2">
        <v>46034</v>
      </c>
      <c r="D94" t="s">
        <v>259</v>
      </c>
      <c r="E94" t="s">
        <v>82</v>
      </c>
      <c r="F94" t="s">
        <v>48</v>
      </c>
      <c r="G94" t="s">
        <v>23</v>
      </c>
      <c r="H94" t="s">
        <v>49</v>
      </c>
      <c r="I94" t="s">
        <v>42</v>
      </c>
      <c r="J94" t="s">
        <v>36</v>
      </c>
      <c r="K94" t="s">
        <v>78</v>
      </c>
      <c r="L94" t="s">
        <v>28</v>
      </c>
      <c r="M94" s="3">
        <v>11900</v>
      </c>
      <c r="N94" s="4">
        <v>9.7000000000000003E-2</v>
      </c>
      <c r="O94" s="4">
        <v>0.55000000000000004</v>
      </c>
      <c r="P94" t="s">
        <v>79</v>
      </c>
      <c r="R94">
        <v>54</v>
      </c>
      <c r="S94" s="3">
        <v>895.88</v>
      </c>
    </row>
    <row r="95" spans="1:19" x14ac:dyDescent="0.2">
      <c r="A95" t="s">
        <v>260</v>
      </c>
      <c r="B95" s="2">
        <v>45935</v>
      </c>
      <c r="C95" s="2">
        <v>45979</v>
      </c>
      <c r="D95" t="s">
        <v>261</v>
      </c>
      <c r="E95" t="s">
        <v>91</v>
      </c>
      <c r="F95" t="s">
        <v>74</v>
      </c>
      <c r="G95" t="s">
        <v>23</v>
      </c>
      <c r="H95" t="s">
        <v>49</v>
      </c>
      <c r="I95" t="s">
        <v>42</v>
      </c>
      <c r="J95" t="s">
        <v>26</v>
      </c>
      <c r="K95" t="s">
        <v>78</v>
      </c>
      <c r="L95" t="s">
        <v>44</v>
      </c>
      <c r="M95" s="3">
        <v>260000</v>
      </c>
      <c r="N95" s="4">
        <v>0.21299999999999999</v>
      </c>
      <c r="O95" s="4">
        <v>0.55000000000000004</v>
      </c>
      <c r="P95" t="s">
        <v>79</v>
      </c>
      <c r="R95">
        <v>44</v>
      </c>
      <c r="S95" s="3">
        <v>17052.84</v>
      </c>
    </row>
    <row r="96" spans="1:19" x14ac:dyDescent="0.2">
      <c r="A96" t="s">
        <v>262</v>
      </c>
      <c r="B96" s="2">
        <v>46198</v>
      </c>
      <c r="C96" s="2">
        <v>46306</v>
      </c>
      <c r="D96" t="s">
        <v>263</v>
      </c>
      <c r="E96" t="s">
        <v>54</v>
      </c>
      <c r="F96" t="s">
        <v>22</v>
      </c>
      <c r="G96" t="s">
        <v>23</v>
      </c>
      <c r="H96" t="s">
        <v>49</v>
      </c>
      <c r="I96" t="s">
        <v>65</v>
      </c>
      <c r="J96" t="s">
        <v>43</v>
      </c>
      <c r="K96" t="s">
        <v>106</v>
      </c>
      <c r="L96" t="s">
        <v>51</v>
      </c>
      <c r="M96" s="3">
        <v>53300</v>
      </c>
      <c r="N96" s="4">
        <v>0.216</v>
      </c>
      <c r="O96" s="4">
        <v>0.15</v>
      </c>
      <c r="P96" t="s">
        <v>38</v>
      </c>
      <c r="R96">
        <v>108</v>
      </c>
      <c r="S96" s="3">
        <v>3484.27</v>
      </c>
    </row>
    <row r="97" spans="1:19" x14ac:dyDescent="0.2">
      <c r="A97" t="s">
        <v>264</v>
      </c>
      <c r="B97" s="2">
        <v>46219</v>
      </c>
      <c r="C97" s="2">
        <v>46330</v>
      </c>
      <c r="D97" t="s">
        <v>265</v>
      </c>
      <c r="E97" t="s">
        <v>111</v>
      </c>
      <c r="F97" t="s">
        <v>48</v>
      </c>
      <c r="G97" t="s">
        <v>92</v>
      </c>
      <c r="H97" t="s">
        <v>24</v>
      </c>
      <c r="I97" t="s">
        <v>25</v>
      </c>
      <c r="J97" t="s">
        <v>43</v>
      </c>
      <c r="K97" t="s">
        <v>88</v>
      </c>
      <c r="L97" t="s">
        <v>51</v>
      </c>
      <c r="M97" s="3">
        <v>17100</v>
      </c>
      <c r="N97" s="4">
        <v>0.13700000000000001</v>
      </c>
      <c r="O97" s="4">
        <v>0.4</v>
      </c>
      <c r="P97" t="s">
        <v>38</v>
      </c>
      <c r="R97">
        <v>111</v>
      </c>
      <c r="S97" s="3">
        <v>1229.1199999999999</v>
      </c>
    </row>
    <row r="98" spans="1:19" x14ac:dyDescent="0.2">
      <c r="A98" t="s">
        <v>266</v>
      </c>
      <c r="B98" s="2">
        <v>46243</v>
      </c>
      <c r="C98" s="2">
        <v>46336</v>
      </c>
      <c r="D98" t="s">
        <v>267</v>
      </c>
      <c r="E98" t="s">
        <v>111</v>
      </c>
      <c r="F98" t="s">
        <v>48</v>
      </c>
      <c r="G98" t="s">
        <v>63</v>
      </c>
      <c r="H98" t="s">
        <v>95</v>
      </c>
      <c r="I98" t="s">
        <v>65</v>
      </c>
      <c r="J98" t="s">
        <v>85</v>
      </c>
      <c r="K98" t="s">
        <v>78</v>
      </c>
      <c r="L98" t="s">
        <v>44</v>
      </c>
      <c r="M98" s="3">
        <v>13300</v>
      </c>
      <c r="N98" s="4">
        <v>5.5E-2</v>
      </c>
      <c r="O98" s="4">
        <v>0.55000000000000004</v>
      </c>
      <c r="P98" t="s">
        <v>79</v>
      </c>
      <c r="R98">
        <v>93</v>
      </c>
      <c r="S98" s="3">
        <v>1047.82</v>
      </c>
    </row>
    <row r="99" spans="1:19" x14ac:dyDescent="0.2">
      <c r="A99" t="s">
        <v>268</v>
      </c>
      <c r="B99" s="2">
        <v>46008</v>
      </c>
      <c r="C99" s="2">
        <v>46092</v>
      </c>
      <c r="D99" t="s">
        <v>269</v>
      </c>
      <c r="E99" t="s">
        <v>82</v>
      </c>
      <c r="F99" t="s">
        <v>22</v>
      </c>
      <c r="G99" t="s">
        <v>23</v>
      </c>
      <c r="H99" t="s">
        <v>64</v>
      </c>
      <c r="I99" t="s">
        <v>99</v>
      </c>
      <c r="J99" t="s">
        <v>85</v>
      </c>
      <c r="K99" t="s">
        <v>106</v>
      </c>
      <c r="L99" t="s">
        <v>51</v>
      </c>
      <c r="M99" s="3">
        <v>48100</v>
      </c>
      <c r="N99" s="4">
        <v>7.4999999999999997E-2</v>
      </c>
      <c r="O99" s="4">
        <v>0.25</v>
      </c>
      <c r="P99" t="s">
        <v>38</v>
      </c>
      <c r="R99">
        <v>84</v>
      </c>
      <c r="S99" s="3">
        <v>3705.97</v>
      </c>
    </row>
    <row r="100" spans="1:19" x14ac:dyDescent="0.2">
      <c r="A100" t="s">
        <v>270</v>
      </c>
      <c r="B100" s="2">
        <v>46122</v>
      </c>
      <c r="C100" s="2">
        <v>46251</v>
      </c>
      <c r="D100" t="s">
        <v>271</v>
      </c>
      <c r="E100" t="s">
        <v>54</v>
      </c>
      <c r="F100" t="s">
        <v>48</v>
      </c>
      <c r="G100" t="s">
        <v>92</v>
      </c>
      <c r="H100" t="s">
        <v>56</v>
      </c>
      <c r="I100" t="s">
        <v>25</v>
      </c>
      <c r="J100" t="s">
        <v>43</v>
      </c>
      <c r="K100" t="s">
        <v>37</v>
      </c>
      <c r="L100" t="s">
        <v>44</v>
      </c>
      <c r="M100" s="3">
        <v>14800</v>
      </c>
      <c r="N100" s="4">
        <v>9.8000000000000004E-2</v>
      </c>
      <c r="O100" s="4">
        <v>0.1</v>
      </c>
      <c r="P100" t="s">
        <v>38</v>
      </c>
      <c r="R100">
        <v>129</v>
      </c>
      <c r="S100" s="3">
        <v>1112.04</v>
      </c>
    </row>
    <row r="101" spans="1:19" x14ac:dyDescent="0.2">
      <c r="A101" t="s">
        <v>272</v>
      </c>
      <c r="B101" s="2">
        <v>46091</v>
      </c>
      <c r="C101" s="2">
        <v>46214</v>
      </c>
      <c r="D101" t="s">
        <v>273</v>
      </c>
      <c r="E101" t="s">
        <v>91</v>
      </c>
      <c r="F101" t="s">
        <v>74</v>
      </c>
      <c r="G101" t="s">
        <v>63</v>
      </c>
      <c r="H101" t="s">
        <v>56</v>
      </c>
      <c r="I101" t="s">
        <v>35</v>
      </c>
      <c r="J101" t="s">
        <v>26</v>
      </c>
      <c r="K101" t="s">
        <v>50</v>
      </c>
      <c r="L101" t="s">
        <v>44</v>
      </c>
      <c r="M101" s="3">
        <v>254900</v>
      </c>
      <c r="N101" s="4">
        <v>0.22600000000000001</v>
      </c>
      <c r="O101" s="4">
        <v>1</v>
      </c>
      <c r="P101" t="s">
        <v>29</v>
      </c>
      <c r="R101">
        <v>123</v>
      </c>
      <c r="S101" s="3">
        <v>16430.77</v>
      </c>
    </row>
    <row r="102" spans="1:19" x14ac:dyDescent="0.2">
      <c r="A102" t="s">
        <v>274</v>
      </c>
      <c r="B102" s="2">
        <v>46137</v>
      </c>
      <c r="C102" s="2">
        <v>46177</v>
      </c>
      <c r="D102" t="s">
        <v>275</v>
      </c>
      <c r="E102" t="s">
        <v>111</v>
      </c>
      <c r="F102" t="s">
        <v>48</v>
      </c>
      <c r="G102" t="s">
        <v>92</v>
      </c>
      <c r="H102" t="s">
        <v>137</v>
      </c>
      <c r="I102" t="s">
        <v>35</v>
      </c>
      <c r="J102" t="s">
        <v>57</v>
      </c>
      <c r="K102" t="s">
        <v>106</v>
      </c>
      <c r="L102" t="s">
        <v>51</v>
      </c>
      <c r="M102" s="3">
        <v>9200</v>
      </c>
      <c r="N102" s="4">
        <v>7.1999999999999995E-2</v>
      </c>
      <c r="O102" s="4">
        <v>0.25</v>
      </c>
      <c r="P102" t="s">
        <v>38</v>
      </c>
      <c r="R102">
        <v>40</v>
      </c>
      <c r="S102" s="3">
        <v>711.62</v>
      </c>
    </row>
    <row r="103" spans="1:19" x14ac:dyDescent="0.2">
      <c r="A103" t="s">
        <v>276</v>
      </c>
      <c r="B103" s="2">
        <v>46021</v>
      </c>
      <c r="C103" s="2">
        <v>46164</v>
      </c>
      <c r="D103" t="s">
        <v>277</v>
      </c>
      <c r="E103" t="s">
        <v>54</v>
      </c>
      <c r="F103" t="s">
        <v>74</v>
      </c>
      <c r="G103" t="s">
        <v>34</v>
      </c>
      <c r="H103" t="s">
        <v>49</v>
      </c>
      <c r="I103" t="s">
        <v>42</v>
      </c>
      <c r="J103" t="s">
        <v>36</v>
      </c>
      <c r="K103" t="s">
        <v>37</v>
      </c>
      <c r="L103" t="s">
        <v>44</v>
      </c>
      <c r="M103" s="3">
        <v>109800</v>
      </c>
      <c r="N103" s="4">
        <v>5.8999999999999997E-2</v>
      </c>
      <c r="O103" s="4">
        <v>0.15</v>
      </c>
      <c r="P103" t="s">
        <v>38</v>
      </c>
      <c r="R103">
        <v>143</v>
      </c>
      <c r="S103" s="3">
        <v>8606.31</v>
      </c>
    </row>
    <row r="104" spans="1:19" x14ac:dyDescent="0.2">
      <c r="A104" t="s">
        <v>278</v>
      </c>
      <c r="B104" s="2">
        <v>46044</v>
      </c>
      <c r="C104" s="2">
        <v>46161</v>
      </c>
      <c r="D104" t="s">
        <v>279</v>
      </c>
      <c r="E104" t="s">
        <v>82</v>
      </c>
      <c r="F104" t="s">
        <v>22</v>
      </c>
      <c r="G104" t="s">
        <v>55</v>
      </c>
      <c r="H104" t="s">
        <v>56</v>
      </c>
      <c r="I104" t="s">
        <v>25</v>
      </c>
      <c r="J104" t="s">
        <v>26</v>
      </c>
      <c r="K104" t="s">
        <v>27</v>
      </c>
      <c r="L104" t="s">
        <v>44</v>
      </c>
      <c r="M104" s="3">
        <v>98300</v>
      </c>
      <c r="N104" s="4">
        <v>0.216</v>
      </c>
      <c r="O104" s="4">
        <v>0</v>
      </c>
      <c r="P104" t="s">
        <v>29</v>
      </c>
      <c r="Q104" t="s">
        <v>152</v>
      </c>
      <c r="R104">
        <v>117</v>
      </c>
      <c r="S104" s="3">
        <v>6419.29</v>
      </c>
    </row>
    <row r="105" spans="1:19" x14ac:dyDescent="0.2">
      <c r="A105" t="s">
        <v>280</v>
      </c>
      <c r="B105" s="2">
        <v>46206</v>
      </c>
      <c r="C105" s="2">
        <v>46277</v>
      </c>
      <c r="D105" t="s">
        <v>281</v>
      </c>
      <c r="E105" t="s">
        <v>62</v>
      </c>
      <c r="F105" t="s">
        <v>74</v>
      </c>
      <c r="G105" t="s">
        <v>34</v>
      </c>
      <c r="H105" t="s">
        <v>98</v>
      </c>
      <c r="I105" t="s">
        <v>84</v>
      </c>
      <c r="J105" t="s">
        <v>57</v>
      </c>
      <c r="K105" t="s">
        <v>27</v>
      </c>
      <c r="L105" t="s">
        <v>44</v>
      </c>
      <c r="M105" s="3">
        <v>193200</v>
      </c>
      <c r="N105" s="4">
        <v>6.0000000000000001E-3</v>
      </c>
      <c r="O105" s="4">
        <v>0</v>
      </c>
      <c r="P105" t="s">
        <v>29</v>
      </c>
      <c r="Q105" t="s">
        <v>188</v>
      </c>
      <c r="R105">
        <v>71</v>
      </c>
      <c r="S105" s="3">
        <v>16003.45</v>
      </c>
    </row>
    <row r="106" spans="1:19" x14ac:dyDescent="0.2">
      <c r="A106" t="s">
        <v>282</v>
      </c>
      <c r="B106" s="2">
        <v>46194</v>
      </c>
      <c r="C106" s="2">
        <v>46265</v>
      </c>
      <c r="D106" t="s">
        <v>283</v>
      </c>
      <c r="E106" t="s">
        <v>68</v>
      </c>
      <c r="F106" t="s">
        <v>48</v>
      </c>
      <c r="G106" t="s">
        <v>55</v>
      </c>
      <c r="H106" t="s">
        <v>69</v>
      </c>
      <c r="I106" t="s">
        <v>42</v>
      </c>
      <c r="J106" t="s">
        <v>85</v>
      </c>
      <c r="K106" t="s">
        <v>78</v>
      </c>
      <c r="L106" t="s">
        <v>44</v>
      </c>
      <c r="M106" s="3">
        <v>8700</v>
      </c>
      <c r="N106" s="4">
        <v>0.20799999999999999</v>
      </c>
      <c r="O106" s="4">
        <v>0.55000000000000004</v>
      </c>
      <c r="P106" t="s">
        <v>79</v>
      </c>
      <c r="R106">
        <v>71</v>
      </c>
      <c r="S106" s="3">
        <v>573.97</v>
      </c>
    </row>
    <row r="107" spans="1:19" x14ac:dyDescent="0.2">
      <c r="A107" t="s">
        <v>284</v>
      </c>
      <c r="B107" s="2">
        <v>46194</v>
      </c>
      <c r="C107" s="2">
        <v>46251</v>
      </c>
      <c r="D107" t="s">
        <v>285</v>
      </c>
      <c r="E107" t="s">
        <v>62</v>
      </c>
      <c r="F107" t="s">
        <v>48</v>
      </c>
      <c r="G107" t="s">
        <v>34</v>
      </c>
      <c r="H107" t="s">
        <v>98</v>
      </c>
      <c r="I107" t="s">
        <v>99</v>
      </c>
      <c r="J107" t="s">
        <v>85</v>
      </c>
      <c r="K107" t="s">
        <v>106</v>
      </c>
      <c r="L107" t="s">
        <v>28</v>
      </c>
      <c r="M107" s="3">
        <v>29400</v>
      </c>
      <c r="N107" s="4">
        <v>0.112</v>
      </c>
      <c r="O107" s="4">
        <v>0.2</v>
      </c>
      <c r="P107" t="s">
        <v>38</v>
      </c>
      <c r="R107">
        <v>57</v>
      </c>
      <c r="S107" s="3">
        <v>2176.66</v>
      </c>
    </row>
    <row r="108" spans="1:19" x14ac:dyDescent="0.2">
      <c r="A108" t="s">
        <v>286</v>
      </c>
      <c r="B108" s="2">
        <v>45974</v>
      </c>
      <c r="C108" s="2">
        <v>46060</v>
      </c>
      <c r="D108" t="s">
        <v>287</v>
      </c>
      <c r="E108" t="s">
        <v>62</v>
      </c>
      <c r="F108" t="s">
        <v>74</v>
      </c>
      <c r="G108" t="s">
        <v>23</v>
      </c>
      <c r="H108" t="s">
        <v>137</v>
      </c>
      <c r="I108" t="s">
        <v>35</v>
      </c>
      <c r="J108" t="s">
        <v>26</v>
      </c>
      <c r="K108" t="s">
        <v>88</v>
      </c>
      <c r="L108" t="s">
        <v>44</v>
      </c>
      <c r="M108" s="3">
        <v>82700</v>
      </c>
      <c r="N108" s="4">
        <v>0.155</v>
      </c>
      <c r="O108" s="4">
        <v>0.35</v>
      </c>
      <c r="P108" t="s">
        <v>38</v>
      </c>
      <c r="R108">
        <v>86</v>
      </c>
      <c r="S108" s="3">
        <v>5825.52</v>
      </c>
    </row>
    <row r="109" spans="1:19" x14ac:dyDescent="0.2">
      <c r="A109" t="s">
        <v>288</v>
      </c>
      <c r="B109" s="2">
        <v>46261</v>
      </c>
      <c r="C109" s="2">
        <v>46334</v>
      </c>
      <c r="D109" t="s">
        <v>289</v>
      </c>
      <c r="E109" t="s">
        <v>111</v>
      </c>
      <c r="F109" t="s">
        <v>22</v>
      </c>
      <c r="G109" t="s">
        <v>92</v>
      </c>
      <c r="H109" t="s">
        <v>120</v>
      </c>
      <c r="I109" t="s">
        <v>84</v>
      </c>
      <c r="J109" t="s">
        <v>57</v>
      </c>
      <c r="K109" t="s">
        <v>78</v>
      </c>
      <c r="L109" t="s">
        <v>51</v>
      </c>
      <c r="M109" s="3">
        <v>28400</v>
      </c>
      <c r="N109" s="4">
        <v>0.214</v>
      </c>
      <c r="O109" s="4">
        <v>0.55000000000000004</v>
      </c>
      <c r="P109" t="s">
        <v>79</v>
      </c>
      <c r="R109">
        <v>73</v>
      </c>
      <c r="S109" s="3">
        <v>1860.44</v>
      </c>
    </row>
    <row r="110" spans="1:19" x14ac:dyDescent="0.2">
      <c r="A110" t="s">
        <v>290</v>
      </c>
      <c r="B110" s="2">
        <v>46233</v>
      </c>
      <c r="C110" s="2">
        <v>46307</v>
      </c>
      <c r="D110" t="s">
        <v>291</v>
      </c>
      <c r="E110" t="s">
        <v>68</v>
      </c>
      <c r="F110" t="s">
        <v>48</v>
      </c>
      <c r="G110" t="s">
        <v>34</v>
      </c>
      <c r="H110" t="s">
        <v>69</v>
      </c>
      <c r="I110" t="s">
        <v>25</v>
      </c>
      <c r="J110" t="s">
        <v>43</v>
      </c>
      <c r="K110" t="s">
        <v>37</v>
      </c>
      <c r="L110" t="s">
        <v>28</v>
      </c>
      <c r="M110" s="3">
        <v>24300</v>
      </c>
      <c r="N110" s="4">
        <v>0.11600000000000001</v>
      </c>
      <c r="O110" s="4">
        <v>0.1</v>
      </c>
      <c r="P110" t="s">
        <v>38</v>
      </c>
      <c r="R110">
        <v>74</v>
      </c>
      <c r="S110" s="3">
        <v>1789.9</v>
      </c>
    </row>
    <row r="111" spans="1:19" x14ac:dyDescent="0.2">
      <c r="A111" t="s">
        <v>292</v>
      </c>
      <c r="B111" s="2">
        <v>46227</v>
      </c>
      <c r="C111" s="2">
        <v>46326</v>
      </c>
      <c r="D111" t="s">
        <v>134</v>
      </c>
      <c r="E111" t="s">
        <v>21</v>
      </c>
      <c r="F111" t="s">
        <v>22</v>
      </c>
      <c r="G111" t="s">
        <v>63</v>
      </c>
      <c r="H111" t="s">
        <v>24</v>
      </c>
      <c r="I111" t="s">
        <v>35</v>
      </c>
      <c r="J111" t="s">
        <v>85</v>
      </c>
      <c r="K111" t="s">
        <v>37</v>
      </c>
      <c r="L111" t="s">
        <v>44</v>
      </c>
      <c r="M111" s="3">
        <v>28500</v>
      </c>
      <c r="N111" s="4">
        <v>5.8000000000000003E-2</v>
      </c>
      <c r="O111" s="4">
        <v>0.1</v>
      </c>
      <c r="P111" t="s">
        <v>38</v>
      </c>
      <c r="R111">
        <v>99</v>
      </c>
      <c r="S111" s="3">
        <v>2237.2800000000002</v>
      </c>
    </row>
    <row r="112" spans="1:19" x14ac:dyDescent="0.2">
      <c r="A112" t="s">
        <v>293</v>
      </c>
      <c r="B112" s="2">
        <v>46157</v>
      </c>
      <c r="C112" s="2">
        <v>46230</v>
      </c>
      <c r="D112" t="s">
        <v>147</v>
      </c>
      <c r="E112" t="s">
        <v>21</v>
      </c>
      <c r="F112" t="s">
        <v>48</v>
      </c>
      <c r="G112" t="s">
        <v>34</v>
      </c>
      <c r="H112" t="s">
        <v>137</v>
      </c>
      <c r="I112" t="s">
        <v>65</v>
      </c>
      <c r="J112" t="s">
        <v>85</v>
      </c>
      <c r="K112" t="s">
        <v>106</v>
      </c>
      <c r="L112" t="s">
        <v>44</v>
      </c>
      <c r="M112" s="3">
        <v>10800</v>
      </c>
      <c r="N112" s="4">
        <v>7.2999999999999995E-2</v>
      </c>
      <c r="O112" s="4">
        <v>0.25</v>
      </c>
      <c r="P112" t="s">
        <v>38</v>
      </c>
      <c r="R112">
        <v>73</v>
      </c>
      <c r="S112" s="3">
        <v>834.28</v>
      </c>
    </row>
    <row r="113" spans="1:19" x14ac:dyDescent="0.2">
      <c r="A113" t="s">
        <v>294</v>
      </c>
      <c r="B113" s="2">
        <v>45977</v>
      </c>
      <c r="C113" s="2">
        <v>46002</v>
      </c>
      <c r="D113" t="s">
        <v>295</v>
      </c>
      <c r="E113" t="s">
        <v>62</v>
      </c>
      <c r="F113" t="s">
        <v>22</v>
      </c>
      <c r="G113" t="s">
        <v>55</v>
      </c>
      <c r="H113" t="s">
        <v>41</v>
      </c>
      <c r="I113" t="s">
        <v>42</v>
      </c>
      <c r="J113" t="s">
        <v>26</v>
      </c>
      <c r="K113" t="s">
        <v>88</v>
      </c>
      <c r="L113" t="s">
        <v>44</v>
      </c>
      <c r="M113" s="3">
        <v>38500</v>
      </c>
      <c r="N113" s="4">
        <v>7.3999999999999996E-2</v>
      </c>
      <c r="O113" s="4">
        <v>0.35</v>
      </c>
      <c r="P113" t="s">
        <v>38</v>
      </c>
      <c r="R113">
        <v>25</v>
      </c>
      <c r="S113" s="3">
        <v>2970.75</v>
      </c>
    </row>
    <row r="114" spans="1:19" x14ac:dyDescent="0.2">
      <c r="A114" t="s">
        <v>296</v>
      </c>
      <c r="B114" s="2">
        <v>46153</v>
      </c>
      <c r="C114" s="2">
        <v>46239</v>
      </c>
      <c r="D114" t="s">
        <v>192</v>
      </c>
      <c r="E114" t="s">
        <v>68</v>
      </c>
      <c r="F114" t="s">
        <v>74</v>
      </c>
      <c r="G114" t="s">
        <v>34</v>
      </c>
      <c r="H114" t="s">
        <v>69</v>
      </c>
      <c r="I114" t="s">
        <v>65</v>
      </c>
      <c r="J114" t="s">
        <v>57</v>
      </c>
      <c r="K114" t="s">
        <v>78</v>
      </c>
      <c r="L114" t="s">
        <v>51</v>
      </c>
      <c r="M114" s="3">
        <v>343900</v>
      </c>
      <c r="N114" s="4">
        <v>9.1999999999999998E-2</v>
      </c>
      <c r="O114" s="4">
        <v>0.5</v>
      </c>
      <c r="P114" t="s">
        <v>79</v>
      </c>
      <c r="R114">
        <v>86</v>
      </c>
      <c r="S114" s="3">
        <v>26030.85</v>
      </c>
    </row>
    <row r="115" spans="1:19" x14ac:dyDescent="0.2">
      <c r="A115" t="s">
        <v>297</v>
      </c>
      <c r="B115" s="2">
        <v>46010</v>
      </c>
      <c r="C115" s="2">
        <v>46080</v>
      </c>
      <c r="D115" t="s">
        <v>298</v>
      </c>
      <c r="E115" t="s">
        <v>21</v>
      </c>
      <c r="F115" t="s">
        <v>48</v>
      </c>
      <c r="G115" t="s">
        <v>63</v>
      </c>
      <c r="H115" t="s">
        <v>64</v>
      </c>
      <c r="I115" t="s">
        <v>65</v>
      </c>
      <c r="J115" t="s">
        <v>36</v>
      </c>
      <c r="K115" t="s">
        <v>106</v>
      </c>
      <c r="L115" t="s">
        <v>44</v>
      </c>
      <c r="M115" s="3">
        <v>28800</v>
      </c>
      <c r="N115" s="4">
        <v>2.3E-2</v>
      </c>
      <c r="O115" s="4">
        <v>0.2</v>
      </c>
      <c r="P115" t="s">
        <v>38</v>
      </c>
      <c r="R115">
        <v>70</v>
      </c>
      <c r="S115" s="3">
        <v>2344.9899999999998</v>
      </c>
    </row>
    <row r="116" spans="1:19" x14ac:dyDescent="0.2">
      <c r="A116" t="s">
        <v>299</v>
      </c>
      <c r="B116" s="2">
        <v>45986</v>
      </c>
      <c r="C116" s="2">
        <v>46100</v>
      </c>
      <c r="D116" t="s">
        <v>71</v>
      </c>
      <c r="E116" t="s">
        <v>33</v>
      </c>
      <c r="F116" t="s">
        <v>48</v>
      </c>
      <c r="G116" t="s">
        <v>34</v>
      </c>
      <c r="H116" t="s">
        <v>41</v>
      </c>
      <c r="I116" t="s">
        <v>25</v>
      </c>
      <c r="J116" t="s">
        <v>36</v>
      </c>
      <c r="K116" t="s">
        <v>27</v>
      </c>
      <c r="L116" t="s">
        <v>28</v>
      </c>
      <c r="M116" s="3">
        <v>16700</v>
      </c>
      <c r="N116" s="4">
        <v>0.28599999999999998</v>
      </c>
      <c r="O116" s="4">
        <v>0</v>
      </c>
      <c r="P116" t="s">
        <v>29</v>
      </c>
      <c r="Q116" t="s">
        <v>188</v>
      </c>
      <c r="R116">
        <v>114</v>
      </c>
      <c r="S116" s="3">
        <v>993.21</v>
      </c>
    </row>
    <row r="117" spans="1:19" x14ac:dyDescent="0.2">
      <c r="A117" t="s">
        <v>300</v>
      </c>
      <c r="B117" s="2">
        <v>46275</v>
      </c>
      <c r="C117" s="2">
        <v>46318</v>
      </c>
      <c r="D117" t="s">
        <v>301</v>
      </c>
      <c r="E117" t="s">
        <v>91</v>
      </c>
      <c r="F117" t="s">
        <v>48</v>
      </c>
      <c r="G117" t="s">
        <v>63</v>
      </c>
      <c r="H117" t="s">
        <v>41</v>
      </c>
      <c r="I117" t="s">
        <v>84</v>
      </c>
      <c r="J117" t="s">
        <v>57</v>
      </c>
      <c r="K117" t="s">
        <v>37</v>
      </c>
      <c r="L117" t="s">
        <v>51</v>
      </c>
      <c r="M117" s="3">
        <v>21100</v>
      </c>
      <c r="N117" s="4">
        <v>0.13900000000000001</v>
      </c>
      <c r="O117" s="4">
        <v>0.1</v>
      </c>
      <c r="P117" t="s">
        <v>38</v>
      </c>
      <c r="R117">
        <v>43</v>
      </c>
      <c r="S117" s="3">
        <v>1513.68</v>
      </c>
    </row>
    <row r="118" spans="1:19" x14ac:dyDescent="0.2">
      <c r="A118" t="s">
        <v>302</v>
      </c>
      <c r="B118" s="2">
        <v>46115</v>
      </c>
      <c r="C118" s="2">
        <v>46177</v>
      </c>
      <c r="D118" t="s">
        <v>303</v>
      </c>
      <c r="E118" t="s">
        <v>111</v>
      </c>
      <c r="F118" t="s">
        <v>48</v>
      </c>
      <c r="G118" t="s">
        <v>92</v>
      </c>
      <c r="H118" t="s">
        <v>120</v>
      </c>
      <c r="I118" t="s">
        <v>35</v>
      </c>
      <c r="J118" t="s">
        <v>36</v>
      </c>
      <c r="K118" t="s">
        <v>106</v>
      </c>
      <c r="L118" t="s">
        <v>51</v>
      </c>
      <c r="M118" s="3">
        <v>26500</v>
      </c>
      <c r="N118" s="4">
        <v>0.14000000000000001</v>
      </c>
      <c r="O118" s="4">
        <v>0.2</v>
      </c>
      <c r="P118" t="s">
        <v>38</v>
      </c>
      <c r="R118">
        <v>62</v>
      </c>
      <c r="S118" s="3">
        <v>1899.01</v>
      </c>
    </row>
    <row r="119" spans="1:19" x14ac:dyDescent="0.2">
      <c r="A119" t="s">
        <v>304</v>
      </c>
      <c r="B119" s="2">
        <v>46101</v>
      </c>
      <c r="C119" s="2">
        <v>46126</v>
      </c>
      <c r="D119" t="s">
        <v>305</v>
      </c>
      <c r="E119" t="s">
        <v>91</v>
      </c>
      <c r="F119" t="s">
        <v>48</v>
      </c>
      <c r="G119" t="s">
        <v>34</v>
      </c>
      <c r="H119" t="s">
        <v>64</v>
      </c>
      <c r="I119" t="s">
        <v>42</v>
      </c>
      <c r="J119" t="s">
        <v>57</v>
      </c>
      <c r="K119" t="s">
        <v>78</v>
      </c>
      <c r="L119" t="s">
        <v>51</v>
      </c>
      <c r="M119" s="3">
        <v>26100</v>
      </c>
      <c r="N119" s="4">
        <v>0.11799999999999999</v>
      </c>
      <c r="O119" s="4">
        <v>0.55000000000000004</v>
      </c>
      <c r="P119" t="s">
        <v>79</v>
      </c>
      <c r="R119">
        <v>25</v>
      </c>
      <c r="S119" s="3">
        <v>1918.28</v>
      </c>
    </row>
    <row r="120" spans="1:19" x14ac:dyDescent="0.2">
      <c r="A120" t="s">
        <v>306</v>
      </c>
      <c r="B120" s="2">
        <v>46003</v>
      </c>
      <c r="C120" s="2">
        <v>46051</v>
      </c>
      <c r="D120" t="s">
        <v>307</v>
      </c>
      <c r="E120" t="s">
        <v>54</v>
      </c>
      <c r="F120" t="s">
        <v>22</v>
      </c>
      <c r="G120" t="s">
        <v>63</v>
      </c>
      <c r="H120" t="s">
        <v>64</v>
      </c>
      <c r="I120" t="s">
        <v>99</v>
      </c>
      <c r="J120" t="s">
        <v>43</v>
      </c>
      <c r="K120" t="s">
        <v>106</v>
      </c>
      <c r="L120" t="s">
        <v>28</v>
      </c>
      <c r="M120" s="3">
        <v>88300</v>
      </c>
      <c r="N120" s="4">
        <v>8.3000000000000004E-2</v>
      </c>
      <c r="O120" s="4">
        <v>0.15</v>
      </c>
      <c r="P120" t="s">
        <v>38</v>
      </c>
      <c r="R120">
        <v>48</v>
      </c>
      <c r="S120" s="3">
        <v>6747.3</v>
      </c>
    </row>
    <row r="121" spans="1:19" x14ac:dyDescent="0.2">
      <c r="A121" t="s">
        <v>308</v>
      </c>
      <c r="B121" s="2">
        <v>46117</v>
      </c>
      <c r="C121" s="2">
        <v>46200</v>
      </c>
      <c r="D121" t="s">
        <v>309</v>
      </c>
      <c r="E121" t="s">
        <v>21</v>
      </c>
      <c r="F121" t="s">
        <v>22</v>
      </c>
      <c r="G121" t="s">
        <v>63</v>
      </c>
      <c r="H121" t="s">
        <v>95</v>
      </c>
      <c r="I121" t="s">
        <v>65</v>
      </c>
      <c r="J121" t="s">
        <v>36</v>
      </c>
      <c r="K121" t="s">
        <v>106</v>
      </c>
      <c r="L121" t="s">
        <v>44</v>
      </c>
      <c r="M121" s="3">
        <v>83600</v>
      </c>
      <c r="N121" s="4">
        <v>8.6999999999999994E-2</v>
      </c>
      <c r="O121" s="4">
        <v>0.2</v>
      </c>
      <c r="P121" t="s">
        <v>38</v>
      </c>
      <c r="R121">
        <v>83</v>
      </c>
      <c r="S121" s="3">
        <v>6360.46</v>
      </c>
    </row>
    <row r="122" spans="1:19" x14ac:dyDescent="0.2">
      <c r="A122" t="s">
        <v>310</v>
      </c>
      <c r="B122" s="2">
        <v>46071</v>
      </c>
      <c r="C122" s="2">
        <v>46165</v>
      </c>
      <c r="D122" t="s">
        <v>76</v>
      </c>
      <c r="E122" t="s">
        <v>91</v>
      </c>
      <c r="F122" t="s">
        <v>48</v>
      </c>
      <c r="G122" t="s">
        <v>23</v>
      </c>
      <c r="H122" t="s">
        <v>41</v>
      </c>
      <c r="I122" t="s">
        <v>99</v>
      </c>
      <c r="J122" t="s">
        <v>26</v>
      </c>
      <c r="K122" t="s">
        <v>88</v>
      </c>
      <c r="L122" t="s">
        <v>51</v>
      </c>
      <c r="M122" s="3">
        <v>21700</v>
      </c>
      <c r="N122" s="4">
        <v>0.13900000000000001</v>
      </c>
      <c r="O122" s="4">
        <v>0.35</v>
      </c>
      <c r="P122" t="s">
        <v>38</v>
      </c>
      <c r="R122">
        <v>94</v>
      </c>
      <c r="S122" s="3">
        <v>1556.6</v>
      </c>
    </row>
    <row r="123" spans="1:19" x14ac:dyDescent="0.2">
      <c r="A123" t="s">
        <v>311</v>
      </c>
      <c r="B123" s="2">
        <v>46179</v>
      </c>
      <c r="C123" s="2">
        <v>46277</v>
      </c>
      <c r="D123" t="s">
        <v>312</v>
      </c>
      <c r="E123" t="s">
        <v>21</v>
      </c>
      <c r="F123" t="s">
        <v>48</v>
      </c>
      <c r="G123" t="s">
        <v>63</v>
      </c>
      <c r="H123" t="s">
        <v>98</v>
      </c>
      <c r="I123" t="s">
        <v>99</v>
      </c>
      <c r="J123" t="s">
        <v>36</v>
      </c>
      <c r="K123" t="s">
        <v>27</v>
      </c>
      <c r="L123" t="s">
        <v>51</v>
      </c>
      <c r="M123" s="3">
        <v>22300</v>
      </c>
      <c r="N123" s="4">
        <v>0.123</v>
      </c>
      <c r="O123" s="4">
        <v>0.05</v>
      </c>
      <c r="P123" t="s">
        <v>29</v>
      </c>
      <c r="Q123" t="s">
        <v>222</v>
      </c>
      <c r="R123">
        <v>98</v>
      </c>
      <c r="S123" s="3">
        <v>1628.94</v>
      </c>
    </row>
    <row r="124" spans="1:19" x14ac:dyDescent="0.2">
      <c r="A124" t="s">
        <v>313</v>
      </c>
      <c r="B124" s="2">
        <v>46131</v>
      </c>
      <c r="C124" s="2">
        <v>46162</v>
      </c>
      <c r="D124" t="s">
        <v>314</v>
      </c>
      <c r="E124" t="s">
        <v>62</v>
      </c>
      <c r="F124" t="s">
        <v>22</v>
      </c>
      <c r="G124" t="s">
        <v>23</v>
      </c>
      <c r="H124" t="s">
        <v>77</v>
      </c>
      <c r="I124" t="s">
        <v>25</v>
      </c>
      <c r="J124" t="s">
        <v>26</v>
      </c>
      <c r="K124" t="s">
        <v>88</v>
      </c>
      <c r="L124" t="s">
        <v>28</v>
      </c>
      <c r="M124" s="3">
        <v>93500</v>
      </c>
      <c r="N124" s="4">
        <v>0.121</v>
      </c>
      <c r="O124" s="4">
        <v>0.35</v>
      </c>
      <c r="P124" t="s">
        <v>38</v>
      </c>
      <c r="R124">
        <v>31</v>
      </c>
      <c r="S124" s="3">
        <v>6852.66</v>
      </c>
    </row>
    <row r="125" spans="1:19" x14ac:dyDescent="0.2">
      <c r="A125" t="s">
        <v>315</v>
      </c>
      <c r="B125" s="2">
        <v>46186</v>
      </c>
      <c r="C125" s="2">
        <v>46226</v>
      </c>
      <c r="D125" t="s">
        <v>316</v>
      </c>
      <c r="E125" t="s">
        <v>82</v>
      </c>
      <c r="F125" t="s">
        <v>74</v>
      </c>
      <c r="G125" t="s">
        <v>92</v>
      </c>
      <c r="H125" t="s">
        <v>49</v>
      </c>
      <c r="I125" t="s">
        <v>25</v>
      </c>
      <c r="J125" t="s">
        <v>57</v>
      </c>
      <c r="K125" t="s">
        <v>106</v>
      </c>
      <c r="L125" t="s">
        <v>44</v>
      </c>
      <c r="M125" s="3">
        <v>80600</v>
      </c>
      <c r="N125" s="4">
        <v>0.26200000000000001</v>
      </c>
      <c r="O125" s="4">
        <v>0.15</v>
      </c>
      <c r="P125" t="s">
        <v>38</v>
      </c>
      <c r="R125">
        <v>40</v>
      </c>
      <c r="S125" s="3">
        <v>4959.08</v>
      </c>
    </row>
    <row r="126" spans="1:19" x14ac:dyDescent="0.2">
      <c r="A126" t="s">
        <v>317</v>
      </c>
      <c r="B126" s="2">
        <v>46053</v>
      </c>
      <c r="C126" s="2">
        <v>46119</v>
      </c>
      <c r="D126" t="s">
        <v>318</v>
      </c>
      <c r="E126" t="s">
        <v>62</v>
      </c>
      <c r="F126" t="s">
        <v>22</v>
      </c>
      <c r="G126" t="s">
        <v>34</v>
      </c>
      <c r="H126" t="s">
        <v>137</v>
      </c>
      <c r="I126" t="s">
        <v>25</v>
      </c>
      <c r="J126" t="s">
        <v>57</v>
      </c>
      <c r="K126" t="s">
        <v>78</v>
      </c>
      <c r="L126" t="s">
        <v>51</v>
      </c>
      <c r="M126" s="3">
        <v>41100</v>
      </c>
      <c r="N126" s="4">
        <v>0.16400000000000001</v>
      </c>
      <c r="O126" s="4">
        <v>0.5</v>
      </c>
      <c r="P126" t="s">
        <v>79</v>
      </c>
      <c r="R126">
        <v>66</v>
      </c>
      <c r="S126" s="3">
        <v>2862.39</v>
      </c>
    </row>
    <row r="127" spans="1:19" x14ac:dyDescent="0.2">
      <c r="A127" t="s">
        <v>319</v>
      </c>
      <c r="B127" s="2">
        <v>46165</v>
      </c>
      <c r="C127" s="2">
        <v>46314</v>
      </c>
      <c r="D127" t="s">
        <v>265</v>
      </c>
      <c r="E127" t="s">
        <v>68</v>
      </c>
      <c r="F127" t="s">
        <v>22</v>
      </c>
      <c r="G127" t="s">
        <v>23</v>
      </c>
      <c r="H127" t="s">
        <v>69</v>
      </c>
      <c r="I127" t="s">
        <v>99</v>
      </c>
      <c r="J127" t="s">
        <v>36</v>
      </c>
      <c r="K127" t="s">
        <v>37</v>
      </c>
      <c r="L127" t="s">
        <v>51</v>
      </c>
      <c r="M127" s="3">
        <v>70100</v>
      </c>
      <c r="N127" s="4">
        <v>1.4E-2</v>
      </c>
      <c r="O127" s="4">
        <v>0.15</v>
      </c>
      <c r="P127" t="s">
        <v>38</v>
      </c>
      <c r="R127">
        <v>149</v>
      </c>
      <c r="S127" s="3">
        <v>5759.27</v>
      </c>
    </row>
    <row r="128" spans="1:19" x14ac:dyDescent="0.2">
      <c r="A128" t="s">
        <v>320</v>
      </c>
      <c r="B128" s="2">
        <v>46021</v>
      </c>
      <c r="C128" s="2">
        <v>46152</v>
      </c>
      <c r="D128" t="s">
        <v>321</v>
      </c>
      <c r="E128" t="s">
        <v>21</v>
      </c>
      <c r="F128" t="s">
        <v>22</v>
      </c>
      <c r="G128" t="s">
        <v>34</v>
      </c>
      <c r="H128" t="s">
        <v>95</v>
      </c>
      <c r="I128" t="s">
        <v>84</v>
      </c>
      <c r="J128" t="s">
        <v>57</v>
      </c>
      <c r="K128" t="s">
        <v>50</v>
      </c>
      <c r="L128" t="s">
        <v>51</v>
      </c>
      <c r="M128" s="3">
        <v>36500</v>
      </c>
      <c r="N128" s="4">
        <v>1.6E-2</v>
      </c>
      <c r="O128" s="4">
        <v>1</v>
      </c>
      <c r="P128" t="s">
        <v>29</v>
      </c>
      <c r="R128">
        <v>131</v>
      </c>
      <c r="S128" s="3">
        <v>2992.16</v>
      </c>
    </row>
    <row r="129" spans="1:19" x14ac:dyDescent="0.2">
      <c r="A129" t="s">
        <v>322</v>
      </c>
      <c r="B129" s="2">
        <v>45960</v>
      </c>
      <c r="C129" s="2">
        <v>45985</v>
      </c>
      <c r="D129" t="s">
        <v>323</v>
      </c>
      <c r="E129" t="s">
        <v>21</v>
      </c>
      <c r="F129" t="s">
        <v>22</v>
      </c>
      <c r="G129" t="s">
        <v>55</v>
      </c>
      <c r="H129" t="s">
        <v>137</v>
      </c>
      <c r="I129" t="s">
        <v>25</v>
      </c>
      <c r="J129" t="s">
        <v>85</v>
      </c>
      <c r="K129" t="s">
        <v>88</v>
      </c>
      <c r="L129" t="s">
        <v>28</v>
      </c>
      <c r="M129" s="3">
        <v>79900</v>
      </c>
      <c r="N129" s="4">
        <v>0.156</v>
      </c>
      <c r="O129" s="4">
        <v>0.35</v>
      </c>
      <c r="P129" t="s">
        <v>38</v>
      </c>
      <c r="R129">
        <v>25</v>
      </c>
      <c r="S129" s="3">
        <v>5622.01</v>
      </c>
    </row>
    <row r="130" spans="1:19" x14ac:dyDescent="0.2">
      <c r="A130" t="s">
        <v>324</v>
      </c>
      <c r="B130" s="2">
        <v>46053</v>
      </c>
      <c r="C130" s="2">
        <v>46133</v>
      </c>
      <c r="D130" t="s">
        <v>325</v>
      </c>
      <c r="E130" t="s">
        <v>21</v>
      </c>
      <c r="F130" t="s">
        <v>48</v>
      </c>
      <c r="G130" t="s">
        <v>23</v>
      </c>
      <c r="H130" t="s">
        <v>77</v>
      </c>
      <c r="I130" t="s">
        <v>35</v>
      </c>
      <c r="J130" t="s">
        <v>57</v>
      </c>
      <c r="K130" t="s">
        <v>88</v>
      </c>
      <c r="L130" t="s">
        <v>28</v>
      </c>
      <c r="M130" s="3">
        <v>21400</v>
      </c>
      <c r="N130" s="4">
        <v>0.121</v>
      </c>
      <c r="O130" s="4">
        <v>0.35</v>
      </c>
      <c r="P130" t="s">
        <v>38</v>
      </c>
      <c r="R130">
        <v>80</v>
      </c>
      <c r="S130" s="3">
        <v>1566.98</v>
      </c>
    </row>
    <row r="131" spans="1:19" x14ac:dyDescent="0.2">
      <c r="A131" t="s">
        <v>326</v>
      </c>
      <c r="B131" s="2">
        <v>45947</v>
      </c>
      <c r="C131" s="2">
        <v>46024</v>
      </c>
      <c r="D131" t="s">
        <v>327</v>
      </c>
      <c r="E131" t="s">
        <v>82</v>
      </c>
      <c r="F131" t="s">
        <v>22</v>
      </c>
      <c r="G131" t="s">
        <v>34</v>
      </c>
      <c r="H131" t="s">
        <v>95</v>
      </c>
      <c r="I131" t="s">
        <v>25</v>
      </c>
      <c r="J131" t="s">
        <v>26</v>
      </c>
      <c r="K131" t="s">
        <v>88</v>
      </c>
      <c r="L131" t="s">
        <v>44</v>
      </c>
      <c r="M131" s="3">
        <v>32000</v>
      </c>
      <c r="N131" s="4">
        <v>0.11</v>
      </c>
      <c r="O131" s="4">
        <v>0.35</v>
      </c>
      <c r="P131" t="s">
        <v>38</v>
      </c>
      <c r="R131">
        <v>77</v>
      </c>
      <c r="S131" s="3">
        <v>2373.7199999999998</v>
      </c>
    </row>
    <row r="132" spans="1:19" x14ac:dyDescent="0.2">
      <c r="A132" t="s">
        <v>328</v>
      </c>
      <c r="B132" s="2">
        <v>46194</v>
      </c>
      <c r="C132" s="2">
        <v>46277</v>
      </c>
      <c r="D132" t="s">
        <v>202</v>
      </c>
      <c r="E132" t="s">
        <v>62</v>
      </c>
      <c r="F132" t="s">
        <v>22</v>
      </c>
      <c r="G132" t="s">
        <v>63</v>
      </c>
      <c r="H132" t="s">
        <v>69</v>
      </c>
      <c r="I132" t="s">
        <v>84</v>
      </c>
      <c r="J132" t="s">
        <v>36</v>
      </c>
      <c r="K132" t="s">
        <v>50</v>
      </c>
      <c r="L132" t="s">
        <v>28</v>
      </c>
      <c r="M132" s="3">
        <v>84900</v>
      </c>
      <c r="N132" s="4">
        <v>0</v>
      </c>
      <c r="O132" s="4">
        <v>0.95</v>
      </c>
      <c r="P132" t="s">
        <v>29</v>
      </c>
      <c r="R132">
        <v>83</v>
      </c>
      <c r="S132" s="3">
        <v>7075</v>
      </c>
    </row>
    <row r="133" spans="1:19" x14ac:dyDescent="0.2">
      <c r="A133" t="s">
        <v>329</v>
      </c>
      <c r="B133" s="2">
        <v>46193</v>
      </c>
      <c r="C133" s="2">
        <v>46231</v>
      </c>
      <c r="D133" t="s">
        <v>330</v>
      </c>
      <c r="E133" t="s">
        <v>82</v>
      </c>
      <c r="F133" t="s">
        <v>22</v>
      </c>
      <c r="G133" t="s">
        <v>63</v>
      </c>
      <c r="H133" t="s">
        <v>69</v>
      </c>
      <c r="I133" t="s">
        <v>65</v>
      </c>
      <c r="J133" t="s">
        <v>57</v>
      </c>
      <c r="K133" t="s">
        <v>37</v>
      </c>
      <c r="L133" t="s">
        <v>44</v>
      </c>
      <c r="M133" s="3">
        <v>97100</v>
      </c>
      <c r="N133" s="4">
        <v>0.14899999999999999</v>
      </c>
      <c r="O133" s="4">
        <v>0.15</v>
      </c>
      <c r="P133" t="s">
        <v>38</v>
      </c>
      <c r="R133">
        <v>38</v>
      </c>
      <c r="S133" s="3">
        <v>6885.74</v>
      </c>
    </row>
    <row r="134" spans="1:19" x14ac:dyDescent="0.2">
      <c r="A134" t="s">
        <v>331</v>
      </c>
      <c r="B134" s="2">
        <v>46155</v>
      </c>
      <c r="C134" s="2">
        <v>46269</v>
      </c>
      <c r="D134" t="s">
        <v>332</v>
      </c>
      <c r="E134" t="s">
        <v>111</v>
      </c>
      <c r="F134" t="s">
        <v>22</v>
      </c>
      <c r="G134" t="s">
        <v>63</v>
      </c>
      <c r="H134" t="s">
        <v>95</v>
      </c>
      <c r="I134" t="s">
        <v>65</v>
      </c>
      <c r="J134" t="s">
        <v>57</v>
      </c>
      <c r="K134" t="s">
        <v>106</v>
      </c>
      <c r="L134" t="s">
        <v>51</v>
      </c>
      <c r="M134" s="3">
        <v>55800</v>
      </c>
      <c r="N134" s="4">
        <v>9.6000000000000002E-2</v>
      </c>
      <c r="O134" s="4">
        <v>0.2</v>
      </c>
      <c r="P134" t="s">
        <v>38</v>
      </c>
      <c r="R134">
        <v>114</v>
      </c>
      <c r="S134" s="3">
        <v>4203.71</v>
      </c>
    </row>
    <row r="135" spans="1:19" x14ac:dyDescent="0.2">
      <c r="A135" t="s">
        <v>333</v>
      </c>
      <c r="B135" s="2">
        <v>45970</v>
      </c>
      <c r="C135" s="2">
        <v>46048</v>
      </c>
      <c r="D135" t="s">
        <v>145</v>
      </c>
      <c r="E135" t="s">
        <v>82</v>
      </c>
      <c r="F135" t="s">
        <v>48</v>
      </c>
      <c r="G135" t="s">
        <v>92</v>
      </c>
      <c r="H135" t="s">
        <v>24</v>
      </c>
      <c r="I135" t="s">
        <v>84</v>
      </c>
      <c r="J135" t="s">
        <v>26</v>
      </c>
      <c r="K135" t="s">
        <v>37</v>
      </c>
      <c r="L135" t="s">
        <v>51</v>
      </c>
      <c r="M135" s="3">
        <v>20200</v>
      </c>
      <c r="N135" s="4">
        <v>0.11600000000000001</v>
      </c>
      <c r="O135" s="4">
        <v>0.1</v>
      </c>
      <c r="P135" t="s">
        <v>38</v>
      </c>
      <c r="R135">
        <v>78</v>
      </c>
      <c r="S135" s="3">
        <v>1487.64</v>
      </c>
    </row>
    <row r="136" spans="1:19" x14ac:dyDescent="0.2">
      <c r="A136" t="s">
        <v>334</v>
      </c>
      <c r="B136" s="2">
        <v>46268</v>
      </c>
      <c r="C136" s="2">
        <v>46287</v>
      </c>
      <c r="D136" t="s">
        <v>335</v>
      </c>
      <c r="E136" t="s">
        <v>68</v>
      </c>
      <c r="F136" t="s">
        <v>74</v>
      </c>
      <c r="G136" t="s">
        <v>92</v>
      </c>
      <c r="H136" t="s">
        <v>41</v>
      </c>
      <c r="I136" t="s">
        <v>65</v>
      </c>
      <c r="J136" t="s">
        <v>36</v>
      </c>
      <c r="K136" t="s">
        <v>58</v>
      </c>
      <c r="L136" t="s">
        <v>28</v>
      </c>
      <c r="M136" s="3">
        <v>255300</v>
      </c>
      <c r="N136" s="4">
        <v>0.156</v>
      </c>
      <c r="O136" s="4">
        <v>0.8</v>
      </c>
      <c r="P136" t="s">
        <v>59</v>
      </c>
      <c r="R136">
        <v>19</v>
      </c>
      <c r="S136" s="3">
        <v>17957.86</v>
      </c>
    </row>
    <row r="137" spans="1:19" x14ac:dyDescent="0.2">
      <c r="A137" t="s">
        <v>336</v>
      </c>
      <c r="B137" s="2">
        <v>46086</v>
      </c>
      <c r="C137" s="2">
        <v>46118</v>
      </c>
      <c r="D137" t="s">
        <v>143</v>
      </c>
      <c r="E137" t="s">
        <v>62</v>
      </c>
      <c r="F137" t="s">
        <v>48</v>
      </c>
      <c r="G137" t="s">
        <v>63</v>
      </c>
      <c r="H137" t="s">
        <v>69</v>
      </c>
      <c r="I137" t="s">
        <v>25</v>
      </c>
      <c r="J137" t="s">
        <v>26</v>
      </c>
      <c r="K137" t="s">
        <v>88</v>
      </c>
      <c r="L137" t="s">
        <v>44</v>
      </c>
      <c r="M137" s="3">
        <v>6800</v>
      </c>
      <c r="N137" s="4">
        <v>9.7000000000000003E-2</v>
      </c>
      <c r="O137" s="4">
        <v>0.4</v>
      </c>
      <c r="P137" t="s">
        <v>38</v>
      </c>
      <c r="R137">
        <v>32</v>
      </c>
      <c r="S137" s="3">
        <v>511.53</v>
      </c>
    </row>
    <row r="138" spans="1:19" x14ac:dyDescent="0.2">
      <c r="A138" t="s">
        <v>337</v>
      </c>
      <c r="B138" s="2">
        <v>46159</v>
      </c>
      <c r="C138" s="2">
        <v>46205</v>
      </c>
      <c r="D138" t="s">
        <v>338</v>
      </c>
      <c r="E138" t="s">
        <v>68</v>
      </c>
      <c r="F138" t="s">
        <v>22</v>
      </c>
      <c r="G138" t="s">
        <v>23</v>
      </c>
      <c r="H138" t="s">
        <v>56</v>
      </c>
      <c r="I138" t="s">
        <v>42</v>
      </c>
      <c r="J138" t="s">
        <v>85</v>
      </c>
      <c r="K138" t="s">
        <v>106</v>
      </c>
      <c r="L138" t="s">
        <v>28</v>
      </c>
      <c r="M138" s="3">
        <v>56200</v>
      </c>
      <c r="N138" s="4">
        <v>1.9E-2</v>
      </c>
      <c r="O138" s="4">
        <v>0.2</v>
      </c>
      <c r="P138" t="s">
        <v>38</v>
      </c>
      <c r="R138">
        <v>46</v>
      </c>
      <c r="S138" s="3">
        <v>4596.0600000000004</v>
      </c>
    </row>
    <row r="139" spans="1:19" x14ac:dyDescent="0.2">
      <c r="A139" t="s">
        <v>339</v>
      </c>
      <c r="B139" s="2">
        <v>46181</v>
      </c>
      <c r="C139" s="2">
        <v>46277</v>
      </c>
      <c r="D139" t="s">
        <v>321</v>
      </c>
      <c r="E139" t="s">
        <v>62</v>
      </c>
      <c r="F139" t="s">
        <v>74</v>
      </c>
      <c r="G139" t="s">
        <v>55</v>
      </c>
      <c r="H139" t="s">
        <v>95</v>
      </c>
      <c r="I139" t="s">
        <v>35</v>
      </c>
      <c r="J139" t="s">
        <v>26</v>
      </c>
      <c r="K139" t="s">
        <v>27</v>
      </c>
      <c r="L139" t="s">
        <v>28</v>
      </c>
      <c r="M139" s="3">
        <v>340700</v>
      </c>
      <c r="N139" s="4">
        <v>0.14299999999999999</v>
      </c>
      <c r="O139" s="4">
        <v>0</v>
      </c>
      <c r="P139" t="s">
        <v>29</v>
      </c>
      <c r="Q139" t="s">
        <v>222</v>
      </c>
      <c r="R139">
        <v>96</v>
      </c>
      <c r="S139" s="3">
        <v>24334.55</v>
      </c>
    </row>
    <row r="140" spans="1:19" x14ac:dyDescent="0.2">
      <c r="A140" t="s">
        <v>340</v>
      </c>
      <c r="B140" s="2">
        <v>46209</v>
      </c>
      <c r="C140" s="2">
        <v>46277</v>
      </c>
      <c r="D140" t="s">
        <v>314</v>
      </c>
      <c r="E140" t="s">
        <v>54</v>
      </c>
      <c r="F140" t="s">
        <v>48</v>
      </c>
      <c r="G140" t="s">
        <v>34</v>
      </c>
      <c r="H140" t="s">
        <v>49</v>
      </c>
      <c r="I140" t="s">
        <v>42</v>
      </c>
      <c r="J140" t="s">
        <v>43</v>
      </c>
      <c r="K140" t="s">
        <v>27</v>
      </c>
      <c r="L140" t="s">
        <v>28</v>
      </c>
      <c r="M140" s="3">
        <v>24200</v>
      </c>
      <c r="N140" s="4">
        <v>3.9E-2</v>
      </c>
      <c r="O140" s="4">
        <v>0</v>
      </c>
      <c r="P140" t="s">
        <v>29</v>
      </c>
      <c r="Q140" t="s">
        <v>188</v>
      </c>
      <c r="R140">
        <v>68</v>
      </c>
      <c r="S140" s="3">
        <v>1937.9</v>
      </c>
    </row>
    <row r="141" spans="1:19" x14ac:dyDescent="0.2">
      <c r="A141" t="s">
        <v>341</v>
      </c>
      <c r="B141" s="2">
        <v>46241</v>
      </c>
      <c r="C141" s="2">
        <v>46328</v>
      </c>
      <c r="D141" t="s">
        <v>342</v>
      </c>
      <c r="E141" t="s">
        <v>62</v>
      </c>
      <c r="F141" t="s">
        <v>48</v>
      </c>
      <c r="G141" t="s">
        <v>63</v>
      </c>
      <c r="H141" t="s">
        <v>83</v>
      </c>
      <c r="I141" t="s">
        <v>35</v>
      </c>
      <c r="J141" t="s">
        <v>43</v>
      </c>
      <c r="K141" t="s">
        <v>37</v>
      </c>
      <c r="L141" t="s">
        <v>51</v>
      </c>
      <c r="M141" s="3">
        <v>28100</v>
      </c>
      <c r="N141" s="4">
        <v>9.7000000000000003E-2</v>
      </c>
      <c r="O141" s="4">
        <v>0.1</v>
      </c>
      <c r="P141" t="s">
        <v>38</v>
      </c>
      <c r="R141">
        <v>87</v>
      </c>
      <c r="S141" s="3">
        <v>2114.9899999999998</v>
      </c>
    </row>
    <row r="142" spans="1:19" x14ac:dyDescent="0.2">
      <c r="A142" t="s">
        <v>343</v>
      </c>
      <c r="B142" s="2">
        <v>46210</v>
      </c>
      <c r="C142" s="2">
        <v>46335</v>
      </c>
      <c r="D142" t="s">
        <v>344</v>
      </c>
      <c r="E142" t="s">
        <v>54</v>
      </c>
      <c r="F142" t="s">
        <v>22</v>
      </c>
      <c r="G142" t="s">
        <v>34</v>
      </c>
      <c r="H142" t="s">
        <v>83</v>
      </c>
      <c r="I142" t="s">
        <v>35</v>
      </c>
      <c r="J142" t="s">
        <v>43</v>
      </c>
      <c r="K142" t="s">
        <v>78</v>
      </c>
      <c r="L142" t="s">
        <v>51</v>
      </c>
      <c r="M142" s="3">
        <v>31000</v>
      </c>
      <c r="N142" s="4">
        <v>4.5999999999999999E-2</v>
      </c>
      <c r="O142" s="4">
        <v>0.55000000000000004</v>
      </c>
      <c r="P142" t="s">
        <v>79</v>
      </c>
      <c r="R142">
        <v>125</v>
      </c>
      <c r="S142" s="3">
        <v>2464</v>
      </c>
    </row>
    <row r="143" spans="1:19" x14ac:dyDescent="0.2">
      <c r="A143" t="s">
        <v>345</v>
      </c>
      <c r="B143" s="2">
        <v>46006</v>
      </c>
      <c r="C143" s="2">
        <v>46050</v>
      </c>
      <c r="D143" t="s">
        <v>307</v>
      </c>
      <c r="E143" t="s">
        <v>82</v>
      </c>
      <c r="F143" t="s">
        <v>22</v>
      </c>
      <c r="G143" t="s">
        <v>63</v>
      </c>
      <c r="H143" t="s">
        <v>95</v>
      </c>
      <c r="I143" t="s">
        <v>84</v>
      </c>
      <c r="J143" t="s">
        <v>26</v>
      </c>
      <c r="K143" t="s">
        <v>50</v>
      </c>
      <c r="L143" t="s">
        <v>28</v>
      </c>
      <c r="M143" s="3">
        <v>85800</v>
      </c>
      <c r="N143" s="4">
        <v>5.6000000000000001E-2</v>
      </c>
      <c r="O143" s="4">
        <v>1</v>
      </c>
      <c r="P143" t="s">
        <v>29</v>
      </c>
      <c r="R143">
        <v>44</v>
      </c>
      <c r="S143" s="3">
        <v>6746.3</v>
      </c>
    </row>
    <row r="144" spans="1:19" x14ac:dyDescent="0.2">
      <c r="A144" t="s">
        <v>346</v>
      </c>
      <c r="B144" s="2">
        <v>46081</v>
      </c>
      <c r="C144" s="2">
        <v>46235</v>
      </c>
      <c r="D144" t="s">
        <v>217</v>
      </c>
      <c r="E144" t="s">
        <v>33</v>
      </c>
      <c r="F144" t="s">
        <v>22</v>
      </c>
      <c r="G144" t="s">
        <v>63</v>
      </c>
      <c r="H144" t="s">
        <v>98</v>
      </c>
      <c r="I144" t="s">
        <v>25</v>
      </c>
      <c r="J144" t="s">
        <v>43</v>
      </c>
      <c r="K144" t="s">
        <v>50</v>
      </c>
      <c r="L144" t="s">
        <v>28</v>
      </c>
      <c r="M144" s="3">
        <v>54100</v>
      </c>
      <c r="N144" s="4">
        <v>0.12</v>
      </c>
      <c r="O144" s="4">
        <v>1</v>
      </c>
      <c r="P144" t="s">
        <v>29</v>
      </c>
      <c r="R144">
        <v>154</v>
      </c>
      <c r="S144" s="3">
        <v>3965.2</v>
      </c>
    </row>
    <row r="145" spans="1:19" x14ac:dyDescent="0.2">
      <c r="A145" t="s">
        <v>347</v>
      </c>
      <c r="B145" s="2">
        <v>46126</v>
      </c>
      <c r="C145" s="2">
        <v>46265</v>
      </c>
      <c r="D145" t="s">
        <v>348</v>
      </c>
      <c r="E145" t="s">
        <v>62</v>
      </c>
      <c r="F145" t="s">
        <v>22</v>
      </c>
      <c r="G145" t="s">
        <v>92</v>
      </c>
      <c r="H145" t="s">
        <v>120</v>
      </c>
      <c r="I145" t="s">
        <v>65</v>
      </c>
      <c r="J145" t="s">
        <v>57</v>
      </c>
      <c r="K145" t="s">
        <v>88</v>
      </c>
      <c r="L145" t="s">
        <v>44</v>
      </c>
      <c r="M145" s="3">
        <v>96700</v>
      </c>
      <c r="N145" s="4">
        <v>0.105</v>
      </c>
      <c r="O145" s="4">
        <v>0.35</v>
      </c>
      <c r="P145" t="s">
        <v>38</v>
      </c>
      <c r="R145">
        <v>139</v>
      </c>
      <c r="S145" s="3">
        <v>7212.71</v>
      </c>
    </row>
    <row r="146" spans="1:19" x14ac:dyDescent="0.2">
      <c r="A146" t="s">
        <v>349</v>
      </c>
      <c r="B146" s="2">
        <v>46244</v>
      </c>
      <c r="C146" s="2">
        <v>46281</v>
      </c>
      <c r="D146" t="s">
        <v>350</v>
      </c>
      <c r="E146" t="s">
        <v>82</v>
      </c>
      <c r="F146" t="s">
        <v>74</v>
      </c>
      <c r="G146" t="s">
        <v>55</v>
      </c>
      <c r="H146" t="s">
        <v>69</v>
      </c>
      <c r="I146" t="s">
        <v>42</v>
      </c>
      <c r="J146" t="s">
        <v>26</v>
      </c>
      <c r="K146" t="s">
        <v>88</v>
      </c>
      <c r="L146" t="s">
        <v>51</v>
      </c>
      <c r="M146" s="3">
        <v>128100</v>
      </c>
      <c r="N146" s="4">
        <v>0.14199999999999999</v>
      </c>
      <c r="O146" s="4">
        <v>0.3</v>
      </c>
      <c r="P146" t="s">
        <v>38</v>
      </c>
      <c r="R146">
        <v>37</v>
      </c>
      <c r="S146" s="3">
        <v>9161.57</v>
      </c>
    </row>
    <row r="147" spans="1:19" x14ac:dyDescent="0.2">
      <c r="A147" t="s">
        <v>351</v>
      </c>
      <c r="B147" s="2">
        <v>45999</v>
      </c>
      <c r="C147" s="2">
        <v>46083</v>
      </c>
      <c r="D147" t="s">
        <v>352</v>
      </c>
      <c r="E147" t="s">
        <v>68</v>
      </c>
      <c r="F147" t="s">
        <v>48</v>
      </c>
      <c r="G147" t="s">
        <v>92</v>
      </c>
      <c r="H147" t="s">
        <v>41</v>
      </c>
      <c r="I147" t="s">
        <v>42</v>
      </c>
      <c r="J147" t="s">
        <v>57</v>
      </c>
      <c r="K147" t="s">
        <v>88</v>
      </c>
      <c r="L147" t="s">
        <v>28</v>
      </c>
      <c r="M147" s="3">
        <v>11900</v>
      </c>
      <c r="N147" s="4">
        <v>0.106</v>
      </c>
      <c r="O147" s="4">
        <v>0.4</v>
      </c>
      <c r="P147" t="s">
        <v>38</v>
      </c>
      <c r="R147">
        <v>84</v>
      </c>
      <c r="S147" s="3">
        <v>886.47</v>
      </c>
    </row>
    <row r="148" spans="1:19" x14ac:dyDescent="0.2">
      <c r="A148" t="s">
        <v>353</v>
      </c>
      <c r="B148" s="2">
        <v>46183</v>
      </c>
      <c r="C148" s="2">
        <v>46244</v>
      </c>
      <c r="D148" t="s">
        <v>354</v>
      </c>
      <c r="E148" t="s">
        <v>33</v>
      </c>
      <c r="F148" t="s">
        <v>48</v>
      </c>
      <c r="G148" t="s">
        <v>34</v>
      </c>
      <c r="H148" t="s">
        <v>41</v>
      </c>
      <c r="I148" t="s">
        <v>99</v>
      </c>
      <c r="J148" t="s">
        <v>26</v>
      </c>
      <c r="K148" t="s">
        <v>50</v>
      </c>
      <c r="L148" t="s">
        <v>44</v>
      </c>
      <c r="M148" s="3">
        <v>14000</v>
      </c>
      <c r="N148" s="4">
        <v>0.115</v>
      </c>
      <c r="O148" s="4">
        <v>1</v>
      </c>
      <c r="P148" t="s">
        <v>29</v>
      </c>
      <c r="R148">
        <v>61</v>
      </c>
      <c r="S148" s="3">
        <v>1032.0899999999999</v>
      </c>
    </row>
    <row r="149" spans="1:19" x14ac:dyDescent="0.2">
      <c r="A149" t="s">
        <v>355</v>
      </c>
      <c r="B149" s="2">
        <v>45970</v>
      </c>
      <c r="C149" s="2">
        <v>46108</v>
      </c>
      <c r="D149" t="s">
        <v>356</v>
      </c>
      <c r="E149" t="s">
        <v>62</v>
      </c>
      <c r="F149" t="s">
        <v>48</v>
      </c>
      <c r="G149" t="s">
        <v>55</v>
      </c>
      <c r="H149" t="s">
        <v>49</v>
      </c>
      <c r="I149" t="s">
        <v>99</v>
      </c>
      <c r="J149" t="s">
        <v>36</v>
      </c>
      <c r="K149" t="s">
        <v>106</v>
      </c>
      <c r="L149" t="s">
        <v>28</v>
      </c>
      <c r="M149" s="3">
        <v>15400</v>
      </c>
      <c r="N149" s="4">
        <v>0.159</v>
      </c>
      <c r="O149" s="4">
        <v>0.15</v>
      </c>
      <c r="P149" t="s">
        <v>38</v>
      </c>
      <c r="R149">
        <v>138</v>
      </c>
      <c r="S149" s="3">
        <v>1078.99</v>
      </c>
    </row>
    <row r="150" spans="1:19" x14ac:dyDescent="0.2">
      <c r="A150" t="s">
        <v>357</v>
      </c>
      <c r="B150" s="2">
        <v>46228</v>
      </c>
      <c r="C150" s="2">
        <v>46331</v>
      </c>
      <c r="D150" t="s">
        <v>358</v>
      </c>
      <c r="E150" t="s">
        <v>111</v>
      </c>
      <c r="F150" t="s">
        <v>48</v>
      </c>
      <c r="G150" t="s">
        <v>34</v>
      </c>
      <c r="H150" t="s">
        <v>137</v>
      </c>
      <c r="I150" t="s">
        <v>42</v>
      </c>
      <c r="J150" t="s">
        <v>57</v>
      </c>
      <c r="K150" t="s">
        <v>78</v>
      </c>
      <c r="L150" t="s">
        <v>51</v>
      </c>
      <c r="M150" s="3">
        <v>27500</v>
      </c>
      <c r="N150" s="4">
        <v>0.105</v>
      </c>
      <c r="O150" s="4">
        <v>0.55000000000000004</v>
      </c>
      <c r="P150" t="s">
        <v>79</v>
      </c>
      <c r="R150">
        <v>103</v>
      </c>
      <c r="S150" s="3">
        <v>2050.37</v>
      </c>
    </row>
    <row r="151" spans="1:19" x14ac:dyDescent="0.2">
      <c r="A151" t="s">
        <v>359</v>
      </c>
      <c r="B151" s="2">
        <v>46188</v>
      </c>
      <c r="C151" s="2">
        <v>46255</v>
      </c>
      <c r="D151" t="s">
        <v>360</v>
      </c>
      <c r="E151" t="s">
        <v>82</v>
      </c>
      <c r="F151" t="s">
        <v>48</v>
      </c>
      <c r="G151" t="s">
        <v>23</v>
      </c>
      <c r="H151" t="s">
        <v>137</v>
      </c>
      <c r="I151" t="s">
        <v>42</v>
      </c>
      <c r="J151" t="s">
        <v>43</v>
      </c>
      <c r="K151" t="s">
        <v>50</v>
      </c>
      <c r="L151" t="s">
        <v>44</v>
      </c>
      <c r="M151" s="3">
        <v>12800</v>
      </c>
      <c r="N151" s="4">
        <v>5.3999999999999999E-2</v>
      </c>
      <c r="O151" s="4">
        <v>0.95</v>
      </c>
      <c r="P151" t="s">
        <v>29</v>
      </c>
      <c r="R151">
        <v>67</v>
      </c>
      <c r="S151" s="3">
        <v>1008.73</v>
      </c>
    </row>
    <row r="152" spans="1:19" x14ac:dyDescent="0.2">
      <c r="A152" t="s">
        <v>361</v>
      </c>
      <c r="B152" s="2">
        <v>46216</v>
      </c>
      <c r="C152" s="2">
        <v>46270</v>
      </c>
      <c r="D152" t="s">
        <v>362</v>
      </c>
      <c r="E152" t="s">
        <v>62</v>
      </c>
      <c r="F152" t="s">
        <v>22</v>
      </c>
      <c r="G152" t="s">
        <v>63</v>
      </c>
      <c r="H152" t="s">
        <v>98</v>
      </c>
      <c r="I152" t="s">
        <v>35</v>
      </c>
      <c r="J152" t="s">
        <v>26</v>
      </c>
      <c r="K152" t="s">
        <v>27</v>
      </c>
      <c r="L152" t="s">
        <v>44</v>
      </c>
      <c r="M152" s="3">
        <v>94000</v>
      </c>
      <c r="N152" s="4">
        <v>0.17</v>
      </c>
      <c r="O152" s="4">
        <v>0</v>
      </c>
      <c r="P152" t="s">
        <v>29</v>
      </c>
      <c r="Q152" t="s">
        <v>209</v>
      </c>
      <c r="R152">
        <v>54</v>
      </c>
      <c r="S152" s="3">
        <v>6504.86</v>
      </c>
    </row>
    <row r="153" spans="1:19" x14ac:dyDescent="0.2">
      <c r="A153" t="s">
        <v>363</v>
      </c>
      <c r="B153" s="2">
        <v>46256</v>
      </c>
      <c r="C153" s="2">
        <v>46277</v>
      </c>
      <c r="D153" t="s">
        <v>364</v>
      </c>
      <c r="E153" t="s">
        <v>82</v>
      </c>
      <c r="F153" t="s">
        <v>74</v>
      </c>
      <c r="G153" t="s">
        <v>23</v>
      </c>
      <c r="H153" t="s">
        <v>137</v>
      </c>
      <c r="I153" t="s">
        <v>65</v>
      </c>
      <c r="J153" t="s">
        <v>43</v>
      </c>
      <c r="K153" t="s">
        <v>50</v>
      </c>
      <c r="L153" t="s">
        <v>28</v>
      </c>
      <c r="M153" s="3">
        <v>100700</v>
      </c>
      <c r="N153" s="4">
        <v>0.13200000000000001</v>
      </c>
      <c r="O153" s="4">
        <v>1</v>
      </c>
      <c r="P153" t="s">
        <v>29</v>
      </c>
      <c r="R153">
        <v>21</v>
      </c>
      <c r="S153" s="3">
        <v>7284.35</v>
      </c>
    </row>
    <row r="154" spans="1:19" x14ac:dyDescent="0.2">
      <c r="A154" t="s">
        <v>365</v>
      </c>
      <c r="B154" s="2">
        <v>45954</v>
      </c>
      <c r="C154" s="2">
        <v>46038</v>
      </c>
      <c r="D154" t="s">
        <v>366</v>
      </c>
      <c r="E154" t="s">
        <v>21</v>
      </c>
      <c r="F154" t="s">
        <v>22</v>
      </c>
      <c r="G154" t="s">
        <v>34</v>
      </c>
      <c r="H154" t="s">
        <v>98</v>
      </c>
      <c r="I154" t="s">
        <v>84</v>
      </c>
      <c r="J154" t="s">
        <v>36</v>
      </c>
      <c r="K154" t="s">
        <v>78</v>
      </c>
      <c r="L154" t="s">
        <v>51</v>
      </c>
      <c r="M154" s="3">
        <v>82100</v>
      </c>
      <c r="N154" s="4">
        <v>7.4999999999999997E-2</v>
      </c>
      <c r="O154" s="4">
        <v>0.55000000000000004</v>
      </c>
      <c r="P154" t="s">
        <v>79</v>
      </c>
      <c r="R154">
        <v>84</v>
      </c>
      <c r="S154" s="3">
        <v>6329.1</v>
      </c>
    </row>
    <row r="155" spans="1:19" x14ac:dyDescent="0.2">
      <c r="A155" t="s">
        <v>367</v>
      </c>
      <c r="B155" s="2">
        <v>46150</v>
      </c>
      <c r="C155" s="2">
        <v>46233</v>
      </c>
      <c r="D155" t="s">
        <v>368</v>
      </c>
      <c r="E155" t="s">
        <v>68</v>
      </c>
      <c r="F155" t="s">
        <v>22</v>
      </c>
      <c r="G155" t="s">
        <v>23</v>
      </c>
      <c r="H155" t="s">
        <v>137</v>
      </c>
      <c r="I155" t="s">
        <v>35</v>
      </c>
      <c r="J155" t="s">
        <v>57</v>
      </c>
      <c r="K155" t="s">
        <v>37</v>
      </c>
      <c r="L155" t="s">
        <v>51</v>
      </c>
      <c r="M155" s="3">
        <v>63900</v>
      </c>
      <c r="N155" s="4">
        <v>0.13900000000000001</v>
      </c>
      <c r="O155" s="4">
        <v>0.15</v>
      </c>
      <c r="P155" t="s">
        <v>38</v>
      </c>
      <c r="R155">
        <v>83</v>
      </c>
      <c r="S155" s="3">
        <v>4585.63</v>
      </c>
    </row>
    <row r="156" spans="1:19" x14ac:dyDescent="0.2">
      <c r="A156" t="s">
        <v>369</v>
      </c>
      <c r="B156" s="2">
        <v>46000</v>
      </c>
      <c r="C156" s="2">
        <v>46155</v>
      </c>
      <c r="D156" t="s">
        <v>370</v>
      </c>
      <c r="E156" t="s">
        <v>82</v>
      </c>
      <c r="F156" t="s">
        <v>22</v>
      </c>
      <c r="G156" t="s">
        <v>34</v>
      </c>
      <c r="H156" t="s">
        <v>137</v>
      </c>
      <c r="I156" t="s">
        <v>99</v>
      </c>
      <c r="J156" t="s">
        <v>43</v>
      </c>
      <c r="K156" t="s">
        <v>50</v>
      </c>
      <c r="L156" t="s">
        <v>51</v>
      </c>
      <c r="M156" s="3">
        <v>35700</v>
      </c>
      <c r="N156" s="4">
        <v>0.154</v>
      </c>
      <c r="O156" s="4">
        <v>1</v>
      </c>
      <c r="P156" t="s">
        <v>29</v>
      </c>
      <c r="R156">
        <v>155</v>
      </c>
      <c r="S156" s="3">
        <v>2515.98</v>
      </c>
    </row>
    <row r="157" spans="1:19" x14ac:dyDescent="0.2">
      <c r="A157" t="s">
        <v>371</v>
      </c>
      <c r="B157" s="2">
        <v>46185</v>
      </c>
      <c r="C157" s="2">
        <v>46331</v>
      </c>
      <c r="D157" t="s">
        <v>372</v>
      </c>
      <c r="E157" t="s">
        <v>91</v>
      </c>
      <c r="F157" t="s">
        <v>48</v>
      </c>
      <c r="G157" t="s">
        <v>55</v>
      </c>
      <c r="H157" t="s">
        <v>120</v>
      </c>
      <c r="I157" t="s">
        <v>84</v>
      </c>
      <c r="J157" t="s">
        <v>26</v>
      </c>
      <c r="K157" t="s">
        <v>106</v>
      </c>
      <c r="L157" t="s">
        <v>28</v>
      </c>
      <c r="M157" s="3">
        <v>9200</v>
      </c>
      <c r="N157" s="4">
        <v>0.161</v>
      </c>
      <c r="O157" s="4">
        <v>0.2</v>
      </c>
      <c r="P157" t="s">
        <v>38</v>
      </c>
      <c r="R157">
        <v>146</v>
      </c>
      <c r="S157" s="3">
        <v>643.17999999999995</v>
      </c>
    </row>
    <row r="158" spans="1:19" x14ac:dyDescent="0.2">
      <c r="A158" t="s">
        <v>373</v>
      </c>
      <c r="B158" s="2">
        <v>46144</v>
      </c>
      <c r="C158" s="2">
        <v>46271</v>
      </c>
      <c r="D158" t="s">
        <v>130</v>
      </c>
      <c r="E158" t="s">
        <v>91</v>
      </c>
      <c r="F158" t="s">
        <v>48</v>
      </c>
      <c r="G158" t="s">
        <v>92</v>
      </c>
      <c r="H158" t="s">
        <v>83</v>
      </c>
      <c r="I158" t="s">
        <v>25</v>
      </c>
      <c r="J158" t="s">
        <v>26</v>
      </c>
      <c r="K158" t="s">
        <v>37</v>
      </c>
      <c r="L158" t="s">
        <v>28</v>
      </c>
      <c r="M158" s="3">
        <v>22100</v>
      </c>
      <c r="N158" s="4">
        <v>0.17899999999999999</v>
      </c>
      <c r="O158" s="4">
        <v>0.1</v>
      </c>
      <c r="P158" t="s">
        <v>38</v>
      </c>
      <c r="R158">
        <v>127</v>
      </c>
      <c r="S158" s="3">
        <v>1512.11</v>
      </c>
    </row>
    <row r="159" spans="1:19" x14ac:dyDescent="0.2">
      <c r="A159" t="s">
        <v>374</v>
      </c>
      <c r="B159" s="2">
        <v>46053</v>
      </c>
      <c r="C159" s="2">
        <v>46147</v>
      </c>
      <c r="D159" t="s">
        <v>375</v>
      </c>
      <c r="E159" t="s">
        <v>21</v>
      </c>
      <c r="F159" t="s">
        <v>48</v>
      </c>
      <c r="G159" t="s">
        <v>55</v>
      </c>
      <c r="H159" t="s">
        <v>49</v>
      </c>
      <c r="I159" t="s">
        <v>25</v>
      </c>
      <c r="J159" t="s">
        <v>43</v>
      </c>
      <c r="K159" t="s">
        <v>88</v>
      </c>
      <c r="L159" t="s">
        <v>44</v>
      </c>
      <c r="M159" s="3">
        <v>24100</v>
      </c>
      <c r="N159" s="4">
        <v>0.128</v>
      </c>
      <c r="O159" s="4">
        <v>0.35</v>
      </c>
      <c r="P159" t="s">
        <v>38</v>
      </c>
      <c r="R159">
        <v>94</v>
      </c>
      <c r="S159" s="3">
        <v>1751.18</v>
      </c>
    </row>
    <row r="160" spans="1:19" x14ac:dyDescent="0.2">
      <c r="A160" t="s">
        <v>376</v>
      </c>
      <c r="B160" s="2">
        <v>46257</v>
      </c>
      <c r="C160" s="2">
        <v>46305</v>
      </c>
      <c r="D160" t="s">
        <v>377</v>
      </c>
      <c r="E160" t="s">
        <v>21</v>
      </c>
      <c r="F160" t="s">
        <v>48</v>
      </c>
      <c r="G160" t="s">
        <v>63</v>
      </c>
      <c r="H160" t="s">
        <v>120</v>
      </c>
      <c r="I160" t="s">
        <v>65</v>
      </c>
      <c r="J160" t="s">
        <v>36</v>
      </c>
      <c r="K160" t="s">
        <v>58</v>
      </c>
      <c r="L160" t="s">
        <v>28</v>
      </c>
      <c r="M160" s="3">
        <v>17900</v>
      </c>
      <c r="N160" s="4">
        <v>8.6999999999999994E-2</v>
      </c>
      <c r="O160" s="4">
        <v>0.8</v>
      </c>
      <c r="P160" t="s">
        <v>59</v>
      </c>
      <c r="R160">
        <v>48</v>
      </c>
      <c r="S160" s="3">
        <v>1362.02</v>
      </c>
    </row>
    <row r="161" spans="1:19" x14ac:dyDescent="0.2">
      <c r="A161" t="s">
        <v>378</v>
      </c>
      <c r="B161" s="2">
        <v>46084</v>
      </c>
      <c r="C161" s="2">
        <v>46184</v>
      </c>
      <c r="D161" t="s">
        <v>105</v>
      </c>
      <c r="E161" t="s">
        <v>33</v>
      </c>
      <c r="F161" t="s">
        <v>48</v>
      </c>
      <c r="G161" t="s">
        <v>55</v>
      </c>
      <c r="H161" t="s">
        <v>24</v>
      </c>
      <c r="I161" t="s">
        <v>42</v>
      </c>
      <c r="J161" t="s">
        <v>26</v>
      </c>
      <c r="K161" t="s">
        <v>50</v>
      </c>
      <c r="L161" t="s">
        <v>51</v>
      </c>
      <c r="M161" s="3">
        <v>15900</v>
      </c>
      <c r="N161" s="4">
        <v>0.16400000000000001</v>
      </c>
      <c r="O161" s="4">
        <v>1</v>
      </c>
      <c r="P161" t="s">
        <v>29</v>
      </c>
      <c r="R161">
        <v>100</v>
      </c>
      <c r="S161" s="3">
        <v>1107.3599999999999</v>
      </c>
    </row>
    <row r="162" spans="1:19" x14ac:dyDescent="0.2">
      <c r="A162" t="s">
        <v>379</v>
      </c>
      <c r="B162" s="2">
        <v>45941</v>
      </c>
      <c r="C162" s="2">
        <v>46029</v>
      </c>
      <c r="D162" t="s">
        <v>380</v>
      </c>
      <c r="E162" t="s">
        <v>21</v>
      </c>
      <c r="F162" t="s">
        <v>48</v>
      </c>
      <c r="G162" t="s">
        <v>23</v>
      </c>
      <c r="H162" t="s">
        <v>24</v>
      </c>
      <c r="I162" t="s">
        <v>99</v>
      </c>
      <c r="J162" t="s">
        <v>26</v>
      </c>
      <c r="K162" t="s">
        <v>78</v>
      </c>
      <c r="L162" t="s">
        <v>28</v>
      </c>
      <c r="M162" s="3">
        <v>28600</v>
      </c>
      <c r="N162" s="4">
        <v>0.105</v>
      </c>
      <c r="O162" s="4">
        <v>0.5</v>
      </c>
      <c r="P162" t="s">
        <v>79</v>
      </c>
      <c r="R162">
        <v>88</v>
      </c>
      <c r="S162" s="3">
        <v>2133.9699999999998</v>
      </c>
    </row>
    <row r="163" spans="1:19" x14ac:dyDescent="0.2">
      <c r="A163" t="s">
        <v>381</v>
      </c>
      <c r="B163" s="2">
        <v>46022</v>
      </c>
      <c r="C163" s="2">
        <v>46065</v>
      </c>
      <c r="D163" t="s">
        <v>382</v>
      </c>
      <c r="E163" t="s">
        <v>91</v>
      </c>
      <c r="F163" t="s">
        <v>22</v>
      </c>
      <c r="G163" t="s">
        <v>92</v>
      </c>
      <c r="H163" t="s">
        <v>56</v>
      </c>
      <c r="I163" t="s">
        <v>35</v>
      </c>
      <c r="J163" t="s">
        <v>43</v>
      </c>
      <c r="K163" t="s">
        <v>58</v>
      </c>
      <c r="L163" t="s">
        <v>51</v>
      </c>
      <c r="M163" s="3">
        <v>85600</v>
      </c>
      <c r="N163" s="4">
        <v>0.24099999999999999</v>
      </c>
      <c r="O163" s="4">
        <v>0.75</v>
      </c>
      <c r="P163" t="s">
        <v>59</v>
      </c>
      <c r="R163">
        <v>43</v>
      </c>
      <c r="S163" s="3">
        <v>5416.82</v>
      </c>
    </row>
    <row r="164" spans="1:19" x14ac:dyDescent="0.2">
      <c r="A164" t="s">
        <v>383</v>
      </c>
      <c r="B164" s="2">
        <v>45965</v>
      </c>
      <c r="C164" s="2">
        <v>46094</v>
      </c>
      <c r="D164" t="s">
        <v>384</v>
      </c>
      <c r="E164" t="s">
        <v>33</v>
      </c>
      <c r="F164" t="s">
        <v>22</v>
      </c>
      <c r="G164" t="s">
        <v>63</v>
      </c>
      <c r="H164" t="s">
        <v>64</v>
      </c>
      <c r="I164" t="s">
        <v>42</v>
      </c>
      <c r="J164" t="s">
        <v>43</v>
      </c>
      <c r="K164" t="s">
        <v>50</v>
      </c>
      <c r="L164" t="s">
        <v>28</v>
      </c>
      <c r="M164" s="3">
        <v>56800</v>
      </c>
      <c r="N164" s="4">
        <v>0.13</v>
      </c>
      <c r="O164" s="4">
        <v>1</v>
      </c>
      <c r="P164" t="s">
        <v>29</v>
      </c>
      <c r="R164">
        <v>129</v>
      </c>
      <c r="S164" s="3">
        <v>4115.8500000000004</v>
      </c>
    </row>
    <row r="165" spans="1:19" x14ac:dyDescent="0.2">
      <c r="A165" t="s">
        <v>385</v>
      </c>
      <c r="B165" s="2">
        <v>45943</v>
      </c>
      <c r="C165" s="2">
        <v>46086</v>
      </c>
      <c r="D165" t="s">
        <v>386</v>
      </c>
      <c r="E165" t="s">
        <v>111</v>
      </c>
      <c r="F165" t="s">
        <v>74</v>
      </c>
      <c r="G165" t="s">
        <v>34</v>
      </c>
      <c r="H165" t="s">
        <v>95</v>
      </c>
      <c r="I165" t="s">
        <v>35</v>
      </c>
      <c r="J165" t="s">
        <v>57</v>
      </c>
      <c r="K165" t="s">
        <v>27</v>
      </c>
      <c r="L165" t="s">
        <v>51</v>
      </c>
      <c r="M165" s="3">
        <v>99400</v>
      </c>
      <c r="N165" s="4">
        <v>0.14199999999999999</v>
      </c>
      <c r="O165" s="4">
        <v>0</v>
      </c>
      <c r="P165" t="s">
        <v>29</v>
      </c>
      <c r="Q165" t="s">
        <v>188</v>
      </c>
      <c r="R165">
        <v>143</v>
      </c>
      <c r="S165" s="3">
        <v>7104.77</v>
      </c>
    </row>
    <row r="166" spans="1:19" x14ac:dyDescent="0.2">
      <c r="A166" t="s">
        <v>387</v>
      </c>
      <c r="B166" s="2">
        <v>46129</v>
      </c>
      <c r="C166" s="2">
        <v>46250</v>
      </c>
      <c r="D166" t="s">
        <v>388</v>
      </c>
      <c r="E166" t="s">
        <v>54</v>
      </c>
      <c r="F166" t="s">
        <v>48</v>
      </c>
      <c r="G166" t="s">
        <v>34</v>
      </c>
      <c r="H166" t="s">
        <v>49</v>
      </c>
      <c r="I166" t="s">
        <v>84</v>
      </c>
      <c r="J166" t="s">
        <v>36</v>
      </c>
      <c r="K166" t="s">
        <v>88</v>
      </c>
      <c r="L166" t="s">
        <v>44</v>
      </c>
      <c r="M166" s="3">
        <v>24700</v>
      </c>
      <c r="N166" s="4">
        <v>0.108</v>
      </c>
      <c r="O166" s="4">
        <v>0.4</v>
      </c>
      <c r="P166" t="s">
        <v>38</v>
      </c>
      <c r="R166">
        <v>121</v>
      </c>
      <c r="S166" s="3">
        <v>1836.35</v>
      </c>
    </row>
    <row r="167" spans="1:19" x14ac:dyDescent="0.2">
      <c r="A167" t="s">
        <v>389</v>
      </c>
      <c r="B167" s="2">
        <v>45986</v>
      </c>
      <c r="C167" s="2">
        <v>46022</v>
      </c>
      <c r="D167" t="s">
        <v>390</v>
      </c>
      <c r="E167" t="s">
        <v>68</v>
      </c>
      <c r="F167" t="s">
        <v>48</v>
      </c>
      <c r="G167" t="s">
        <v>63</v>
      </c>
      <c r="H167" t="s">
        <v>41</v>
      </c>
      <c r="I167" t="s">
        <v>42</v>
      </c>
      <c r="J167" t="s">
        <v>57</v>
      </c>
      <c r="K167" t="s">
        <v>37</v>
      </c>
      <c r="L167" t="s">
        <v>28</v>
      </c>
      <c r="M167" s="3">
        <v>7600</v>
      </c>
      <c r="N167" s="4">
        <v>0.21199999999999999</v>
      </c>
      <c r="O167" s="4">
        <v>0.1</v>
      </c>
      <c r="P167" t="s">
        <v>38</v>
      </c>
      <c r="R167">
        <v>36</v>
      </c>
      <c r="S167" s="3">
        <v>499.02</v>
      </c>
    </row>
    <row r="168" spans="1:19" x14ac:dyDescent="0.2">
      <c r="A168" t="s">
        <v>391</v>
      </c>
      <c r="B168" s="2">
        <v>46208</v>
      </c>
      <c r="C168" s="2">
        <v>46258</v>
      </c>
      <c r="D168" t="s">
        <v>392</v>
      </c>
      <c r="E168" t="s">
        <v>62</v>
      </c>
      <c r="F168" t="s">
        <v>74</v>
      </c>
      <c r="G168" t="s">
        <v>34</v>
      </c>
      <c r="H168" t="s">
        <v>41</v>
      </c>
      <c r="I168" t="s">
        <v>65</v>
      </c>
      <c r="J168" t="s">
        <v>36</v>
      </c>
      <c r="K168" t="s">
        <v>50</v>
      </c>
      <c r="L168" t="s">
        <v>44</v>
      </c>
      <c r="M168" s="3">
        <v>308700</v>
      </c>
      <c r="N168" s="4">
        <v>0.11899999999999999</v>
      </c>
      <c r="O168" s="4">
        <v>1</v>
      </c>
      <c r="P168" t="s">
        <v>29</v>
      </c>
      <c r="R168">
        <v>50</v>
      </c>
      <c r="S168" s="3">
        <v>22654.34</v>
      </c>
    </row>
    <row r="169" spans="1:19" x14ac:dyDescent="0.2">
      <c r="A169" t="s">
        <v>393</v>
      </c>
      <c r="B169" s="2">
        <v>46260</v>
      </c>
      <c r="C169" s="2">
        <v>46277</v>
      </c>
      <c r="D169" t="s">
        <v>394</v>
      </c>
      <c r="E169" t="s">
        <v>91</v>
      </c>
      <c r="F169" t="s">
        <v>74</v>
      </c>
      <c r="G169" t="s">
        <v>63</v>
      </c>
      <c r="H169" t="s">
        <v>56</v>
      </c>
      <c r="I169" t="s">
        <v>99</v>
      </c>
      <c r="J169" t="s">
        <v>43</v>
      </c>
      <c r="K169" t="s">
        <v>27</v>
      </c>
      <c r="L169" t="s">
        <v>51</v>
      </c>
      <c r="M169" s="3">
        <v>341300</v>
      </c>
      <c r="N169" s="4">
        <v>1.2E-2</v>
      </c>
      <c r="O169" s="4">
        <v>0</v>
      </c>
      <c r="P169" t="s">
        <v>29</v>
      </c>
      <c r="Q169" t="s">
        <v>45</v>
      </c>
      <c r="R169">
        <v>17</v>
      </c>
      <c r="S169" s="3">
        <v>28094.46</v>
      </c>
    </row>
    <row r="170" spans="1:19" x14ac:dyDescent="0.2">
      <c r="A170" t="s">
        <v>395</v>
      </c>
      <c r="B170" s="2">
        <v>46182</v>
      </c>
      <c r="C170" s="2">
        <v>46301</v>
      </c>
      <c r="D170" t="s">
        <v>396</v>
      </c>
      <c r="E170" t="s">
        <v>111</v>
      </c>
      <c r="F170" t="s">
        <v>74</v>
      </c>
      <c r="G170" t="s">
        <v>63</v>
      </c>
      <c r="H170" t="s">
        <v>98</v>
      </c>
      <c r="I170" t="s">
        <v>65</v>
      </c>
      <c r="J170" t="s">
        <v>57</v>
      </c>
      <c r="K170" t="s">
        <v>88</v>
      </c>
      <c r="L170" t="s">
        <v>44</v>
      </c>
      <c r="M170" s="3">
        <v>336500</v>
      </c>
      <c r="N170" s="4">
        <v>0.14899999999999999</v>
      </c>
      <c r="O170" s="4">
        <v>0.4</v>
      </c>
      <c r="P170" t="s">
        <v>38</v>
      </c>
      <c r="R170">
        <v>119</v>
      </c>
      <c r="S170" s="3">
        <v>23849.63</v>
      </c>
    </row>
    <row r="171" spans="1:19" x14ac:dyDescent="0.2">
      <c r="A171" t="s">
        <v>397</v>
      </c>
      <c r="B171" s="2">
        <v>45991</v>
      </c>
      <c r="C171" s="2">
        <v>46027</v>
      </c>
      <c r="D171" t="s">
        <v>352</v>
      </c>
      <c r="E171" t="s">
        <v>82</v>
      </c>
      <c r="F171" t="s">
        <v>22</v>
      </c>
      <c r="G171" t="s">
        <v>92</v>
      </c>
      <c r="H171" t="s">
        <v>69</v>
      </c>
      <c r="I171" t="s">
        <v>35</v>
      </c>
      <c r="J171" t="s">
        <v>26</v>
      </c>
      <c r="K171" t="s">
        <v>50</v>
      </c>
      <c r="L171" t="s">
        <v>28</v>
      </c>
      <c r="M171" s="3">
        <v>59300</v>
      </c>
      <c r="N171" s="4">
        <v>0.05</v>
      </c>
      <c r="O171" s="4">
        <v>1</v>
      </c>
      <c r="P171" t="s">
        <v>29</v>
      </c>
      <c r="R171">
        <v>36</v>
      </c>
      <c r="S171" s="3">
        <v>4693.63</v>
      </c>
    </row>
    <row r="172" spans="1:19" x14ac:dyDescent="0.2">
      <c r="A172" t="s">
        <v>398</v>
      </c>
      <c r="B172" s="2">
        <v>45988</v>
      </c>
      <c r="C172" s="2">
        <v>46071</v>
      </c>
      <c r="D172" t="s">
        <v>399</v>
      </c>
      <c r="E172" t="s">
        <v>54</v>
      </c>
      <c r="F172" t="s">
        <v>48</v>
      </c>
      <c r="G172" t="s">
        <v>55</v>
      </c>
      <c r="H172" t="s">
        <v>95</v>
      </c>
      <c r="I172" t="s">
        <v>42</v>
      </c>
      <c r="J172" t="s">
        <v>43</v>
      </c>
      <c r="K172" t="s">
        <v>78</v>
      </c>
      <c r="L172" t="s">
        <v>51</v>
      </c>
      <c r="M172" s="3">
        <v>11000</v>
      </c>
      <c r="N172" s="4">
        <v>0.221</v>
      </c>
      <c r="O172" s="4">
        <v>0.55000000000000004</v>
      </c>
      <c r="P172" t="s">
        <v>79</v>
      </c>
      <c r="R172">
        <v>83</v>
      </c>
      <c r="S172" s="3">
        <v>713.77</v>
      </c>
    </row>
    <row r="173" spans="1:19" x14ac:dyDescent="0.2">
      <c r="A173" t="s">
        <v>400</v>
      </c>
      <c r="B173" s="2">
        <v>45976</v>
      </c>
      <c r="C173" s="2">
        <v>46126</v>
      </c>
      <c r="D173" t="s">
        <v>401</v>
      </c>
      <c r="E173" t="s">
        <v>111</v>
      </c>
      <c r="F173" t="s">
        <v>48</v>
      </c>
      <c r="G173" t="s">
        <v>92</v>
      </c>
      <c r="H173" t="s">
        <v>98</v>
      </c>
      <c r="I173" t="s">
        <v>35</v>
      </c>
      <c r="J173" t="s">
        <v>85</v>
      </c>
      <c r="K173" t="s">
        <v>88</v>
      </c>
      <c r="L173" t="s">
        <v>44</v>
      </c>
      <c r="M173" s="3">
        <v>22900</v>
      </c>
      <c r="N173" s="4">
        <v>0.13900000000000001</v>
      </c>
      <c r="O173" s="4">
        <v>0.35</v>
      </c>
      <c r="P173" t="s">
        <v>38</v>
      </c>
      <c r="R173">
        <v>150</v>
      </c>
      <c r="S173" s="3">
        <v>1642.82</v>
      </c>
    </row>
    <row r="174" spans="1:19" x14ac:dyDescent="0.2">
      <c r="A174" t="s">
        <v>402</v>
      </c>
      <c r="B174" s="2">
        <v>45980</v>
      </c>
      <c r="C174" s="2">
        <v>46134</v>
      </c>
      <c r="D174" t="s">
        <v>243</v>
      </c>
      <c r="E174" t="s">
        <v>82</v>
      </c>
      <c r="F174" t="s">
        <v>48</v>
      </c>
      <c r="G174" t="s">
        <v>92</v>
      </c>
      <c r="H174" t="s">
        <v>77</v>
      </c>
      <c r="I174" t="s">
        <v>99</v>
      </c>
      <c r="J174" t="s">
        <v>85</v>
      </c>
      <c r="K174" t="s">
        <v>50</v>
      </c>
      <c r="L174" t="s">
        <v>44</v>
      </c>
      <c r="M174" s="3">
        <v>25200</v>
      </c>
      <c r="N174" s="4">
        <v>0.14599999999999999</v>
      </c>
      <c r="O174" s="4">
        <v>1</v>
      </c>
      <c r="P174" t="s">
        <v>29</v>
      </c>
      <c r="R174">
        <v>154</v>
      </c>
      <c r="S174" s="3">
        <v>1793.61</v>
      </c>
    </row>
    <row r="175" spans="1:19" x14ac:dyDescent="0.2">
      <c r="A175" t="s">
        <v>403</v>
      </c>
      <c r="B175" s="2">
        <v>46062</v>
      </c>
      <c r="C175" s="2">
        <v>46173</v>
      </c>
      <c r="D175" t="s">
        <v>404</v>
      </c>
      <c r="E175" t="s">
        <v>21</v>
      </c>
      <c r="F175" t="s">
        <v>74</v>
      </c>
      <c r="G175" t="s">
        <v>55</v>
      </c>
      <c r="H175" t="s">
        <v>77</v>
      </c>
      <c r="I175" t="s">
        <v>99</v>
      </c>
      <c r="J175" t="s">
        <v>43</v>
      </c>
      <c r="K175" t="s">
        <v>37</v>
      </c>
      <c r="L175" t="s">
        <v>44</v>
      </c>
      <c r="M175" s="3">
        <v>310600</v>
      </c>
      <c r="N175" s="4">
        <v>5.7000000000000002E-2</v>
      </c>
      <c r="O175" s="4">
        <v>0.1</v>
      </c>
      <c r="P175" t="s">
        <v>38</v>
      </c>
      <c r="R175">
        <v>111</v>
      </c>
      <c r="S175" s="3">
        <v>24414.48</v>
      </c>
    </row>
    <row r="176" spans="1:19" x14ac:dyDescent="0.2">
      <c r="A176" t="s">
        <v>405</v>
      </c>
      <c r="B176" s="2">
        <v>46070</v>
      </c>
      <c r="C176" s="2">
        <v>46191</v>
      </c>
      <c r="D176" t="s">
        <v>406</v>
      </c>
      <c r="E176" t="s">
        <v>54</v>
      </c>
      <c r="F176" t="s">
        <v>48</v>
      </c>
      <c r="G176" t="s">
        <v>63</v>
      </c>
      <c r="H176" t="s">
        <v>77</v>
      </c>
      <c r="I176" t="s">
        <v>35</v>
      </c>
      <c r="J176" t="s">
        <v>43</v>
      </c>
      <c r="K176" t="s">
        <v>88</v>
      </c>
      <c r="L176" t="s">
        <v>28</v>
      </c>
      <c r="M176" s="3">
        <v>18000</v>
      </c>
      <c r="N176" s="4">
        <v>0.13500000000000001</v>
      </c>
      <c r="O176" s="4">
        <v>0.3</v>
      </c>
      <c r="P176" t="s">
        <v>38</v>
      </c>
      <c r="R176">
        <v>121</v>
      </c>
      <c r="S176" s="3">
        <v>1298.04</v>
      </c>
    </row>
    <row r="177" spans="1:19" x14ac:dyDescent="0.2">
      <c r="A177" t="s">
        <v>407</v>
      </c>
      <c r="B177" s="2">
        <v>46036</v>
      </c>
      <c r="C177" s="2">
        <v>46128</v>
      </c>
      <c r="D177" t="s">
        <v>408</v>
      </c>
      <c r="E177" t="s">
        <v>54</v>
      </c>
      <c r="F177" t="s">
        <v>22</v>
      </c>
      <c r="G177" t="s">
        <v>92</v>
      </c>
      <c r="H177" t="s">
        <v>64</v>
      </c>
      <c r="I177" t="s">
        <v>84</v>
      </c>
      <c r="J177" t="s">
        <v>57</v>
      </c>
      <c r="K177" t="s">
        <v>37</v>
      </c>
      <c r="L177" t="s">
        <v>28</v>
      </c>
      <c r="M177" s="3">
        <v>74000</v>
      </c>
      <c r="N177" s="4">
        <v>0.09</v>
      </c>
      <c r="O177" s="4">
        <v>0.1</v>
      </c>
      <c r="P177" t="s">
        <v>38</v>
      </c>
      <c r="R177">
        <v>92</v>
      </c>
      <c r="S177" s="3">
        <v>5612.85</v>
      </c>
    </row>
    <row r="178" spans="1:19" x14ac:dyDescent="0.2">
      <c r="A178" t="s">
        <v>409</v>
      </c>
      <c r="B178" s="2">
        <v>46031</v>
      </c>
      <c r="C178" s="2">
        <v>46177</v>
      </c>
      <c r="D178" t="s">
        <v>410</v>
      </c>
      <c r="E178" t="s">
        <v>21</v>
      </c>
      <c r="F178" t="s">
        <v>48</v>
      </c>
      <c r="G178" t="s">
        <v>34</v>
      </c>
      <c r="H178" t="s">
        <v>24</v>
      </c>
      <c r="I178" t="s">
        <v>42</v>
      </c>
      <c r="J178" t="s">
        <v>26</v>
      </c>
      <c r="K178" t="s">
        <v>58</v>
      </c>
      <c r="L178" t="s">
        <v>44</v>
      </c>
      <c r="M178" s="3">
        <v>30000</v>
      </c>
      <c r="N178" s="4">
        <v>4.9000000000000002E-2</v>
      </c>
      <c r="O178" s="4">
        <v>0.8</v>
      </c>
      <c r="P178" t="s">
        <v>59</v>
      </c>
      <c r="R178">
        <v>146</v>
      </c>
      <c r="S178" s="3">
        <v>2377.9499999999998</v>
      </c>
    </row>
    <row r="179" spans="1:19" x14ac:dyDescent="0.2">
      <c r="A179" t="s">
        <v>411</v>
      </c>
      <c r="B179" s="2">
        <v>45934</v>
      </c>
      <c r="C179" s="2">
        <v>46011</v>
      </c>
      <c r="D179" t="s">
        <v>412</v>
      </c>
      <c r="E179" t="s">
        <v>62</v>
      </c>
      <c r="F179" t="s">
        <v>74</v>
      </c>
      <c r="G179" t="s">
        <v>23</v>
      </c>
      <c r="H179" t="s">
        <v>120</v>
      </c>
      <c r="I179" t="s">
        <v>25</v>
      </c>
      <c r="J179" t="s">
        <v>26</v>
      </c>
      <c r="K179" t="s">
        <v>50</v>
      </c>
      <c r="L179" t="s">
        <v>51</v>
      </c>
      <c r="M179" s="3">
        <v>300800</v>
      </c>
      <c r="N179" s="4">
        <v>0.21099999999999999</v>
      </c>
      <c r="O179" s="4">
        <v>1</v>
      </c>
      <c r="P179" t="s">
        <v>29</v>
      </c>
      <c r="R179">
        <v>77</v>
      </c>
      <c r="S179" s="3">
        <v>19779.060000000001</v>
      </c>
    </row>
    <row r="180" spans="1:19" x14ac:dyDescent="0.2">
      <c r="A180" t="s">
        <v>413</v>
      </c>
      <c r="B180" s="2">
        <v>46123</v>
      </c>
      <c r="C180" s="2">
        <v>46171</v>
      </c>
      <c r="D180" t="s">
        <v>414</v>
      </c>
      <c r="E180" t="s">
        <v>91</v>
      </c>
      <c r="F180" t="s">
        <v>22</v>
      </c>
      <c r="G180" t="s">
        <v>23</v>
      </c>
      <c r="H180" t="s">
        <v>64</v>
      </c>
      <c r="I180" t="s">
        <v>25</v>
      </c>
      <c r="J180" t="s">
        <v>57</v>
      </c>
      <c r="K180" t="s">
        <v>88</v>
      </c>
      <c r="L180" t="s">
        <v>51</v>
      </c>
      <c r="M180" s="3">
        <v>26400</v>
      </c>
      <c r="N180" s="4">
        <v>8.9999999999999993E-3</v>
      </c>
      <c r="O180" s="4">
        <v>0.35</v>
      </c>
      <c r="P180" t="s">
        <v>38</v>
      </c>
      <c r="R180">
        <v>48</v>
      </c>
      <c r="S180" s="3">
        <v>2181.2800000000002</v>
      </c>
    </row>
    <row r="181" spans="1:19" x14ac:dyDescent="0.2">
      <c r="A181" t="s">
        <v>415</v>
      </c>
      <c r="B181" s="2">
        <v>46268</v>
      </c>
      <c r="C181" s="2">
        <v>46277</v>
      </c>
      <c r="D181" t="s">
        <v>416</v>
      </c>
      <c r="E181" t="s">
        <v>111</v>
      </c>
      <c r="F181" t="s">
        <v>48</v>
      </c>
      <c r="G181" t="s">
        <v>34</v>
      </c>
      <c r="H181" t="s">
        <v>98</v>
      </c>
      <c r="I181" t="s">
        <v>35</v>
      </c>
      <c r="J181" t="s">
        <v>85</v>
      </c>
      <c r="K181" t="s">
        <v>50</v>
      </c>
      <c r="L181" t="s">
        <v>51</v>
      </c>
      <c r="M181" s="3">
        <v>17300</v>
      </c>
      <c r="N181" s="4">
        <v>8.2000000000000003E-2</v>
      </c>
      <c r="O181" s="4">
        <v>0.95</v>
      </c>
      <c r="P181" t="s">
        <v>29</v>
      </c>
      <c r="R181">
        <v>9</v>
      </c>
      <c r="S181" s="3">
        <v>1323.98</v>
      </c>
    </row>
    <row r="182" spans="1:19" x14ac:dyDescent="0.2">
      <c r="A182" t="s">
        <v>417</v>
      </c>
      <c r="B182" s="2">
        <v>46031</v>
      </c>
      <c r="C182" s="2">
        <v>46067</v>
      </c>
      <c r="D182" t="s">
        <v>418</v>
      </c>
      <c r="E182" t="s">
        <v>68</v>
      </c>
      <c r="F182" t="s">
        <v>48</v>
      </c>
      <c r="G182" t="s">
        <v>23</v>
      </c>
      <c r="H182" t="s">
        <v>41</v>
      </c>
      <c r="I182" t="s">
        <v>25</v>
      </c>
      <c r="J182" t="s">
        <v>57</v>
      </c>
      <c r="K182" t="s">
        <v>50</v>
      </c>
      <c r="L182" t="s">
        <v>51</v>
      </c>
      <c r="M182" s="3">
        <v>26300</v>
      </c>
      <c r="N182" s="4">
        <v>0</v>
      </c>
      <c r="O182" s="4">
        <v>0.95</v>
      </c>
      <c r="P182" t="s">
        <v>29</v>
      </c>
      <c r="R182">
        <v>36</v>
      </c>
      <c r="S182" s="3">
        <v>2191.67</v>
      </c>
    </row>
    <row r="183" spans="1:19" x14ac:dyDescent="0.2">
      <c r="A183" t="s">
        <v>419</v>
      </c>
      <c r="B183" s="2">
        <v>46192</v>
      </c>
      <c r="C183" s="2">
        <v>46277</v>
      </c>
      <c r="D183" t="s">
        <v>420</v>
      </c>
      <c r="E183" t="s">
        <v>54</v>
      </c>
      <c r="F183" t="s">
        <v>74</v>
      </c>
      <c r="G183" t="s">
        <v>55</v>
      </c>
      <c r="H183" t="s">
        <v>24</v>
      </c>
      <c r="I183" t="s">
        <v>99</v>
      </c>
      <c r="J183" t="s">
        <v>57</v>
      </c>
      <c r="K183" t="s">
        <v>50</v>
      </c>
      <c r="L183" t="s">
        <v>51</v>
      </c>
      <c r="M183" s="3">
        <v>280800</v>
      </c>
      <c r="N183" s="4">
        <v>0.12</v>
      </c>
      <c r="O183" s="4">
        <v>1</v>
      </c>
      <c r="P183" t="s">
        <v>29</v>
      </c>
      <c r="R183">
        <v>85</v>
      </c>
      <c r="S183" s="3">
        <v>20586.55</v>
      </c>
    </row>
    <row r="184" spans="1:19" x14ac:dyDescent="0.2">
      <c r="A184" t="s">
        <v>421</v>
      </c>
      <c r="B184" s="2">
        <v>46245</v>
      </c>
      <c r="C184" s="2">
        <v>46319</v>
      </c>
      <c r="D184" t="s">
        <v>422</v>
      </c>
      <c r="E184" t="s">
        <v>91</v>
      </c>
      <c r="F184" t="s">
        <v>48</v>
      </c>
      <c r="G184" t="s">
        <v>63</v>
      </c>
      <c r="H184" t="s">
        <v>98</v>
      </c>
      <c r="I184" t="s">
        <v>35</v>
      </c>
      <c r="J184" t="s">
        <v>36</v>
      </c>
      <c r="K184" t="s">
        <v>37</v>
      </c>
      <c r="L184" t="s">
        <v>51</v>
      </c>
      <c r="M184" s="3">
        <v>23500</v>
      </c>
      <c r="N184" s="4">
        <v>0.16200000000000001</v>
      </c>
      <c r="O184" s="4">
        <v>0.05</v>
      </c>
      <c r="P184" t="s">
        <v>38</v>
      </c>
      <c r="R184">
        <v>74</v>
      </c>
      <c r="S184" s="3">
        <v>1642.06</v>
      </c>
    </row>
    <row r="185" spans="1:19" x14ac:dyDescent="0.2">
      <c r="A185" t="s">
        <v>423</v>
      </c>
      <c r="B185" s="2">
        <v>45991</v>
      </c>
      <c r="C185" s="2">
        <v>46026</v>
      </c>
      <c r="D185" t="s">
        <v>327</v>
      </c>
      <c r="E185" t="s">
        <v>68</v>
      </c>
      <c r="F185" t="s">
        <v>48</v>
      </c>
      <c r="G185" t="s">
        <v>63</v>
      </c>
      <c r="H185" t="s">
        <v>137</v>
      </c>
      <c r="I185" t="s">
        <v>35</v>
      </c>
      <c r="J185" t="s">
        <v>36</v>
      </c>
      <c r="K185" t="s">
        <v>88</v>
      </c>
      <c r="L185" t="s">
        <v>51</v>
      </c>
      <c r="M185" s="3">
        <v>19600</v>
      </c>
      <c r="N185" s="4">
        <v>5.3999999999999999E-2</v>
      </c>
      <c r="O185" s="4">
        <v>0.35</v>
      </c>
      <c r="P185" t="s">
        <v>38</v>
      </c>
      <c r="R185">
        <v>35</v>
      </c>
      <c r="S185" s="3">
        <v>1545.39</v>
      </c>
    </row>
    <row r="186" spans="1:19" x14ac:dyDescent="0.2">
      <c r="A186" t="s">
        <v>424</v>
      </c>
      <c r="B186" s="2">
        <v>45965</v>
      </c>
      <c r="C186" s="2">
        <v>46102</v>
      </c>
      <c r="D186" t="s">
        <v>425</v>
      </c>
      <c r="E186" t="s">
        <v>111</v>
      </c>
      <c r="F186" t="s">
        <v>48</v>
      </c>
      <c r="G186" t="s">
        <v>34</v>
      </c>
      <c r="H186" t="s">
        <v>137</v>
      </c>
      <c r="I186" t="s">
        <v>42</v>
      </c>
      <c r="J186" t="s">
        <v>26</v>
      </c>
      <c r="K186" t="s">
        <v>88</v>
      </c>
      <c r="L186" t="s">
        <v>51</v>
      </c>
      <c r="M186" s="3">
        <v>6100</v>
      </c>
      <c r="N186" s="4">
        <v>8.5999999999999993E-2</v>
      </c>
      <c r="O186" s="4">
        <v>0.4</v>
      </c>
      <c r="P186" t="s">
        <v>38</v>
      </c>
      <c r="R186">
        <v>137</v>
      </c>
      <c r="S186" s="3">
        <v>464.49</v>
      </c>
    </row>
    <row r="187" spans="1:19" x14ac:dyDescent="0.2">
      <c r="A187" t="s">
        <v>426</v>
      </c>
      <c r="B187" s="2">
        <v>46139</v>
      </c>
      <c r="C187" s="2">
        <v>46189</v>
      </c>
      <c r="D187" t="s">
        <v>427</v>
      </c>
      <c r="E187" t="s">
        <v>62</v>
      </c>
      <c r="F187" t="s">
        <v>74</v>
      </c>
      <c r="G187" t="s">
        <v>63</v>
      </c>
      <c r="H187" t="s">
        <v>137</v>
      </c>
      <c r="I187" t="s">
        <v>99</v>
      </c>
      <c r="J187" t="s">
        <v>85</v>
      </c>
      <c r="K187" t="s">
        <v>50</v>
      </c>
      <c r="L187" t="s">
        <v>44</v>
      </c>
      <c r="M187" s="3">
        <v>148800</v>
      </c>
      <c r="N187" s="4">
        <v>0.01</v>
      </c>
      <c r="O187" s="4">
        <v>1</v>
      </c>
      <c r="P187" t="s">
        <v>29</v>
      </c>
      <c r="R187">
        <v>50</v>
      </c>
      <c r="S187" s="3">
        <v>12270.04</v>
      </c>
    </row>
    <row r="188" spans="1:19" x14ac:dyDescent="0.2">
      <c r="A188" t="s">
        <v>428</v>
      </c>
      <c r="B188" s="2">
        <v>45979</v>
      </c>
      <c r="C188" s="2">
        <v>46041</v>
      </c>
      <c r="D188" t="s">
        <v>429</v>
      </c>
      <c r="E188" t="s">
        <v>33</v>
      </c>
      <c r="F188" t="s">
        <v>48</v>
      </c>
      <c r="G188" t="s">
        <v>34</v>
      </c>
      <c r="H188" t="s">
        <v>98</v>
      </c>
      <c r="I188" t="s">
        <v>42</v>
      </c>
      <c r="J188" t="s">
        <v>36</v>
      </c>
      <c r="K188" t="s">
        <v>50</v>
      </c>
      <c r="L188" t="s">
        <v>51</v>
      </c>
      <c r="M188" s="3">
        <v>25700</v>
      </c>
      <c r="N188" s="4">
        <v>6.6000000000000003E-2</v>
      </c>
      <c r="O188" s="4">
        <v>1</v>
      </c>
      <c r="P188" t="s">
        <v>29</v>
      </c>
      <c r="R188">
        <v>62</v>
      </c>
      <c r="S188" s="3">
        <v>2001.1</v>
      </c>
    </row>
    <row r="189" spans="1:19" x14ac:dyDescent="0.2">
      <c r="A189" t="s">
        <v>430</v>
      </c>
      <c r="B189" s="2">
        <v>46054</v>
      </c>
      <c r="C189" s="2">
        <v>46187</v>
      </c>
      <c r="D189" t="s">
        <v>431</v>
      </c>
      <c r="E189" t="s">
        <v>33</v>
      </c>
      <c r="F189" t="s">
        <v>74</v>
      </c>
      <c r="G189" t="s">
        <v>55</v>
      </c>
      <c r="H189" t="s">
        <v>98</v>
      </c>
      <c r="I189" t="s">
        <v>25</v>
      </c>
      <c r="J189" t="s">
        <v>26</v>
      </c>
      <c r="K189" t="s">
        <v>106</v>
      </c>
      <c r="L189" t="s">
        <v>44</v>
      </c>
      <c r="M189" s="3">
        <v>209400</v>
      </c>
      <c r="N189" s="4">
        <v>0.17499999999999999</v>
      </c>
      <c r="O189" s="4">
        <v>0.15</v>
      </c>
      <c r="P189" t="s">
        <v>38</v>
      </c>
      <c r="R189">
        <v>133</v>
      </c>
      <c r="S189" s="3">
        <v>14396.82</v>
      </c>
    </row>
    <row r="190" spans="1:19" x14ac:dyDescent="0.2">
      <c r="A190" t="s">
        <v>432</v>
      </c>
      <c r="B190" s="2">
        <v>46182</v>
      </c>
      <c r="C190" s="2">
        <v>46277</v>
      </c>
      <c r="D190" t="s">
        <v>433</v>
      </c>
      <c r="E190" t="s">
        <v>21</v>
      </c>
      <c r="F190" t="s">
        <v>74</v>
      </c>
      <c r="G190" t="s">
        <v>55</v>
      </c>
      <c r="H190" t="s">
        <v>49</v>
      </c>
      <c r="I190" t="s">
        <v>25</v>
      </c>
      <c r="J190" t="s">
        <v>26</v>
      </c>
      <c r="K190" t="s">
        <v>27</v>
      </c>
      <c r="L190" t="s">
        <v>28</v>
      </c>
      <c r="M190" s="3">
        <v>148900</v>
      </c>
      <c r="N190" s="4">
        <v>0.16200000000000001</v>
      </c>
      <c r="O190" s="4">
        <v>0</v>
      </c>
      <c r="P190" t="s">
        <v>29</v>
      </c>
      <c r="Q190" t="s">
        <v>209</v>
      </c>
      <c r="R190">
        <v>95</v>
      </c>
      <c r="S190" s="3">
        <v>10394.27</v>
      </c>
    </row>
    <row r="191" spans="1:19" x14ac:dyDescent="0.2">
      <c r="A191" t="s">
        <v>434</v>
      </c>
      <c r="B191" s="2">
        <v>46097</v>
      </c>
      <c r="C191" s="2">
        <v>46170</v>
      </c>
      <c r="D191" t="s">
        <v>435</v>
      </c>
      <c r="E191" t="s">
        <v>82</v>
      </c>
      <c r="F191" t="s">
        <v>48</v>
      </c>
      <c r="G191" t="s">
        <v>34</v>
      </c>
      <c r="H191" t="s">
        <v>83</v>
      </c>
      <c r="I191" t="s">
        <v>99</v>
      </c>
      <c r="J191" t="s">
        <v>57</v>
      </c>
      <c r="K191" t="s">
        <v>37</v>
      </c>
      <c r="L191" t="s">
        <v>51</v>
      </c>
      <c r="M191" s="3">
        <v>27600</v>
      </c>
      <c r="N191" s="4">
        <v>8.3000000000000004E-2</v>
      </c>
      <c r="O191" s="4">
        <v>0.1</v>
      </c>
      <c r="P191" t="s">
        <v>38</v>
      </c>
      <c r="R191">
        <v>73</v>
      </c>
      <c r="S191" s="3">
        <v>2108.71</v>
      </c>
    </row>
    <row r="192" spans="1:19" x14ac:dyDescent="0.2">
      <c r="A192" t="s">
        <v>436</v>
      </c>
      <c r="B192" s="2">
        <v>46029</v>
      </c>
      <c r="C192" s="2">
        <v>46128</v>
      </c>
      <c r="D192" t="s">
        <v>425</v>
      </c>
      <c r="E192" t="s">
        <v>62</v>
      </c>
      <c r="F192" t="s">
        <v>48</v>
      </c>
      <c r="G192" t="s">
        <v>55</v>
      </c>
      <c r="H192" t="s">
        <v>98</v>
      </c>
      <c r="I192" t="s">
        <v>99</v>
      </c>
      <c r="J192" t="s">
        <v>36</v>
      </c>
      <c r="K192" t="s">
        <v>37</v>
      </c>
      <c r="L192" t="s">
        <v>28</v>
      </c>
      <c r="M192" s="3">
        <v>29700</v>
      </c>
      <c r="N192" s="4">
        <v>0.13100000000000001</v>
      </c>
      <c r="O192" s="4">
        <v>0.05</v>
      </c>
      <c r="P192" t="s">
        <v>38</v>
      </c>
      <c r="R192">
        <v>99</v>
      </c>
      <c r="S192" s="3">
        <v>2151.42</v>
      </c>
    </row>
    <row r="193" spans="1:19" x14ac:dyDescent="0.2">
      <c r="A193" t="s">
        <v>437</v>
      </c>
      <c r="B193" s="2">
        <v>46084</v>
      </c>
      <c r="C193" s="2">
        <v>46119</v>
      </c>
      <c r="D193" t="s">
        <v>438</v>
      </c>
      <c r="E193" t="s">
        <v>111</v>
      </c>
      <c r="F193" t="s">
        <v>74</v>
      </c>
      <c r="G193" t="s">
        <v>92</v>
      </c>
      <c r="H193" t="s">
        <v>77</v>
      </c>
      <c r="I193" t="s">
        <v>65</v>
      </c>
      <c r="J193" t="s">
        <v>85</v>
      </c>
      <c r="K193" t="s">
        <v>88</v>
      </c>
      <c r="L193" t="s">
        <v>28</v>
      </c>
      <c r="M193" s="3">
        <v>184600</v>
      </c>
      <c r="N193" s="4">
        <v>4.3999999999999997E-2</v>
      </c>
      <c r="O193" s="4">
        <v>0.3</v>
      </c>
      <c r="P193" t="s">
        <v>38</v>
      </c>
      <c r="R193">
        <v>35</v>
      </c>
      <c r="S193" s="3">
        <v>14713.42</v>
      </c>
    </row>
    <row r="194" spans="1:19" x14ac:dyDescent="0.2">
      <c r="A194" t="s">
        <v>439</v>
      </c>
      <c r="B194" s="2">
        <v>46017</v>
      </c>
      <c r="C194" s="2">
        <v>46089</v>
      </c>
      <c r="D194" t="s">
        <v>440</v>
      </c>
      <c r="E194" t="s">
        <v>111</v>
      </c>
      <c r="F194" t="s">
        <v>48</v>
      </c>
      <c r="G194" t="s">
        <v>34</v>
      </c>
      <c r="H194" t="s">
        <v>24</v>
      </c>
      <c r="I194" t="s">
        <v>84</v>
      </c>
      <c r="J194" t="s">
        <v>26</v>
      </c>
      <c r="K194" t="s">
        <v>37</v>
      </c>
      <c r="L194" t="s">
        <v>28</v>
      </c>
      <c r="M194" s="3">
        <v>17100</v>
      </c>
      <c r="N194" s="4">
        <v>0.11600000000000001</v>
      </c>
      <c r="O194" s="4">
        <v>0.1</v>
      </c>
      <c r="P194" t="s">
        <v>38</v>
      </c>
      <c r="R194">
        <v>72</v>
      </c>
      <c r="S194" s="3">
        <v>1259.3800000000001</v>
      </c>
    </row>
    <row r="195" spans="1:19" x14ac:dyDescent="0.2">
      <c r="A195" t="s">
        <v>441</v>
      </c>
      <c r="B195" s="2">
        <v>46017</v>
      </c>
      <c r="C195" s="2">
        <v>46126</v>
      </c>
      <c r="D195" t="s">
        <v>410</v>
      </c>
      <c r="E195" t="s">
        <v>33</v>
      </c>
      <c r="F195" t="s">
        <v>22</v>
      </c>
      <c r="G195" t="s">
        <v>92</v>
      </c>
      <c r="H195" t="s">
        <v>83</v>
      </c>
      <c r="I195" t="s">
        <v>65</v>
      </c>
      <c r="J195" t="s">
        <v>57</v>
      </c>
      <c r="K195" t="s">
        <v>78</v>
      </c>
      <c r="L195" t="s">
        <v>51</v>
      </c>
      <c r="M195" s="3">
        <v>68800</v>
      </c>
      <c r="N195" s="4">
        <v>0.16600000000000001</v>
      </c>
      <c r="O195" s="4">
        <v>0.55000000000000004</v>
      </c>
      <c r="P195" t="s">
        <v>79</v>
      </c>
      <c r="R195">
        <v>109</v>
      </c>
      <c r="S195" s="3">
        <v>4782.8900000000003</v>
      </c>
    </row>
    <row r="196" spans="1:19" x14ac:dyDescent="0.2">
      <c r="A196" t="s">
        <v>442</v>
      </c>
      <c r="B196" s="2">
        <v>46179</v>
      </c>
      <c r="C196" s="2">
        <v>46266</v>
      </c>
      <c r="D196" t="s">
        <v>443</v>
      </c>
      <c r="E196" t="s">
        <v>33</v>
      </c>
      <c r="F196" t="s">
        <v>22</v>
      </c>
      <c r="G196" t="s">
        <v>34</v>
      </c>
      <c r="H196" t="s">
        <v>77</v>
      </c>
      <c r="I196" t="s">
        <v>65</v>
      </c>
      <c r="J196" t="s">
        <v>85</v>
      </c>
      <c r="K196" t="s">
        <v>50</v>
      </c>
      <c r="L196" t="s">
        <v>44</v>
      </c>
      <c r="M196" s="3">
        <v>96600</v>
      </c>
      <c r="N196" s="4">
        <v>0.09</v>
      </c>
      <c r="O196" s="4">
        <v>0.95</v>
      </c>
      <c r="P196" t="s">
        <v>29</v>
      </c>
      <c r="R196">
        <v>87</v>
      </c>
      <c r="S196" s="3">
        <v>7328.86</v>
      </c>
    </row>
    <row r="197" spans="1:19" x14ac:dyDescent="0.2">
      <c r="A197" t="s">
        <v>444</v>
      </c>
      <c r="B197" s="2">
        <v>46001</v>
      </c>
      <c r="C197" s="2">
        <v>46066</v>
      </c>
      <c r="D197" t="s">
        <v>445</v>
      </c>
      <c r="E197" t="s">
        <v>91</v>
      </c>
      <c r="F197" t="s">
        <v>48</v>
      </c>
      <c r="G197" t="s">
        <v>23</v>
      </c>
      <c r="H197" t="s">
        <v>98</v>
      </c>
      <c r="I197" t="s">
        <v>25</v>
      </c>
      <c r="J197" t="s">
        <v>43</v>
      </c>
      <c r="K197" t="s">
        <v>106</v>
      </c>
      <c r="L197" t="s">
        <v>51</v>
      </c>
      <c r="M197" s="3">
        <v>11100</v>
      </c>
      <c r="N197" s="4">
        <v>3.5999999999999997E-2</v>
      </c>
      <c r="O197" s="4">
        <v>0.2</v>
      </c>
      <c r="P197" t="s">
        <v>38</v>
      </c>
      <c r="R197">
        <v>65</v>
      </c>
      <c r="S197" s="3">
        <v>891.61</v>
      </c>
    </row>
    <row r="198" spans="1:19" x14ac:dyDescent="0.2">
      <c r="A198" t="s">
        <v>446</v>
      </c>
      <c r="B198" s="2">
        <v>46068</v>
      </c>
      <c r="C198" s="2">
        <v>46110</v>
      </c>
      <c r="D198" t="s">
        <v>447</v>
      </c>
      <c r="E198" t="s">
        <v>54</v>
      </c>
      <c r="F198" t="s">
        <v>48</v>
      </c>
      <c r="G198" t="s">
        <v>23</v>
      </c>
      <c r="H198" t="s">
        <v>69</v>
      </c>
      <c r="I198" t="s">
        <v>35</v>
      </c>
      <c r="J198" t="s">
        <v>36</v>
      </c>
      <c r="K198" t="s">
        <v>106</v>
      </c>
      <c r="L198" t="s">
        <v>44</v>
      </c>
      <c r="M198" s="3">
        <v>24700</v>
      </c>
      <c r="N198" s="4">
        <v>0.159</v>
      </c>
      <c r="O198" s="4">
        <v>0.2</v>
      </c>
      <c r="P198" t="s">
        <v>38</v>
      </c>
      <c r="R198">
        <v>42</v>
      </c>
      <c r="S198" s="3">
        <v>1730.25</v>
      </c>
    </row>
    <row r="199" spans="1:19" x14ac:dyDescent="0.2">
      <c r="A199" t="s">
        <v>448</v>
      </c>
      <c r="B199" s="2">
        <v>46050</v>
      </c>
      <c r="C199" s="2">
        <v>46170</v>
      </c>
      <c r="D199" t="s">
        <v>449</v>
      </c>
      <c r="E199" t="s">
        <v>33</v>
      </c>
      <c r="F199" t="s">
        <v>22</v>
      </c>
      <c r="G199" t="s">
        <v>63</v>
      </c>
      <c r="H199" t="s">
        <v>56</v>
      </c>
      <c r="I199" t="s">
        <v>25</v>
      </c>
      <c r="J199" t="s">
        <v>26</v>
      </c>
      <c r="K199" t="s">
        <v>58</v>
      </c>
      <c r="L199" t="s">
        <v>44</v>
      </c>
      <c r="M199" s="3">
        <v>65800</v>
      </c>
      <c r="N199" s="4">
        <v>0.14099999999999999</v>
      </c>
      <c r="O199" s="4">
        <v>0.7</v>
      </c>
      <c r="P199" t="s">
        <v>59</v>
      </c>
      <c r="R199">
        <v>120</v>
      </c>
      <c r="S199" s="3">
        <v>4709.47</v>
      </c>
    </row>
    <row r="200" spans="1:19" x14ac:dyDescent="0.2">
      <c r="A200" t="s">
        <v>450</v>
      </c>
      <c r="B200" s="2">
        <v>45960</v>
      </c>
      <c r="C200" s="2">
        <v>46014</v>
      </c>
      <c r="D200" t="s">
        <v>183</v>
      </c>
      <c r="E200" t="s">
        <v>91</v>
      </c>
      <c r="F200" t="s">
        <v>22</v>
      </c>
      <c r="G200" t="s">
        <v>23</v>
      </c>
      <c r="H200" t="s">
        <v>56</v>
      </c>
      <c r="I200" t="s">
        <v>25</v>
      </c>
      <c r="J200" t="s">
        <v>26</v>
      </c>
      <c r="K200" t="s">
        <v>50</v>
      </c>
      <c r="L200" t="s">
        <v>44</v>
      </c>
      <c r="M200" s="3">
        <v>71200</v>
      </c>
      <c r="N200" s="4">
        <v>9.0999999999999998E-2</v>
      </c>
      <c r="O200" s="4">
        <v>1</v>
      </c>
      <c r="P200" t="s">
        <v>29</v>
      </c>
      <c r="R200">
        <v>54</v>
      </c>
      <c r="S200" s="3">
        <v>5391.15</v>
      </c>
    </row>
    <row r="201" spans="1:19" x14ac:dyDescent="0.2">
      <c r="A201" t="s">
        <v>451</v>
      </c>
      <c r="B201" s="2">
        <v>46087</v>
      </c>
      <c r="C201" s="2">
        <v>46165</v>
      </c>
      <c r="D201" t="s">
        <v>452</v>
      </c>
      <c r="E201" t="s">
        <v>33</v>
      </c>
      <c r="F201" t="s">
        <v>22</v>
      </c>
      <c r="G201" t="s">
        <v>55</v>
      </c>
      <c r="H201" t="s">
        <v>64</v>
      </c>
      <c r="I201" t="s">
        <v>84</v>
      </c>
      <c r="J201" t="s">
        <v>85</v>
      </c>
      <c r="K201" t="s">
        <v>37</v>
      </c>
      <c r="L201" t="s">
        <v>28</v>
      </c>
      <c r="M201" s="3">
        <v>46700</v>
      </c>
      <c r="N201" s="4">
        <v>0.16700000000000001</v>
      </c>
      <c r="O201" s="4">
        <v>0.05</v>
      </c>
      <c r="P201" t="s">
        <v>38</v>
      </c>
      <c r="R201">
        <v>78</v>
      </c>
      <c r="S201" s="3">
        <v>3242.4</v>
      </c>
    </row>
    <row r="202" spans="1:19" x14ac:dyDescent="0.2">
      <c r="A202" t="s">
        <v>453</v>
      </c>
      <c r="B202" s="2">
        <v>46094</v>
      </c>
      <c r="C202" s="2">
        <v>46115</v>
      </c>
      <c r="D202" t="s">
        <v>454</v>
      </c>
      <c r="E202" t="s">
        <v>21</v>
      </c>
      <c r="F202" t="s">
        <v>22</v>
      </c>
      <c r="G202" t="s">
        <v>92</v>
      </c>
      <c r="H202" t="s">
        <v>49</v>
      </c>
      <c r="I202" t="s">
        <v>35</v>
      </c>
      <c r="J202" t="s">
        <v>57</v>
      </c>
      <c r="K202" t="s">
        <v>27</v>
      </c>
      <c r="L202" t="s">
        <v>51</v>
      </c>
      <c r="M202" s="3">
        <v>91000</v>
      </c>
      <c r="N202" s="4">
        <v>6.6000000000000003E-2</v>
      </c>
      <c r="O202" s="4">
        <v>0</v>
      </c>
      <c r="P202" t="s">
        <v>29</v>
      </c>
      <c r="Q202" t="s">
        <v>126</v>
      </c>
      <c r="R202">
        <v>21</v>
      </c>
      <c r="S202" s="3">
        <v>7079.17</v>
      </c>
    </row>
    <row r="203" spans="1:19" x14ac:dyDescent="0.2">
      <c r="A203" t="s">
        <v>455</v>
      </c>
      <c r="B203" s="2">
        <v>46040</v>
      </c>
      <c r="C203" s="2">
        <v>46110</v>
      </c>
      <c r="D203" t="s">
        <v>141</v>
      </c>
      <c r="E203" t="s">
        <v>33</v>
      </c>
      <c r="F203" t="s">
        <v>48</v>
      </c>
      <c r="G203" t="s">
        <v>55</v>
      </c>
      <c r="H203" t="s">
        <v>98</v>
      </c>
      <c r="I203" t="s">
        <v>84</v>
      </c>
      <c r="J203" t="s">
        <v>26</v>
      </c>
      <c r="K203" t="s">
        <v>37</v>
      </c>
      <c r="L203" t="s">
        <v>28</v>
      </c>
      <c r="M203" s="3">
        <v>26000</v>
      </c>
      <c r="N203" s="4">
        <v>9.7000000000000003E-2</v>
      </c>
      <c r="O203" s="4">
        <v>0.1</v>
      </c>
      <c r="P203" t="s">
        <v>38</v>
      </c>
      <c r="R203">
        <v>70</v>
      </c>
      <c r="S203" s="3">
        <v>1955.5</v>
      </c>
    </row>
    <row r="204" spans="1:19" x14ac:dyDescent="0.2">
      <c r="A204" t="s">
        <v>456</v>
      </c>
      <c r="B204" s="2">
        <v>46021</v>
      </c>
      <c r="C204" s="2">
        <v>46064</v>
      </c>
      <c r="D204" t="s">
        <v>457</v>
      </c>
      <c r="E204" t="s">
        <v>62</v>
      </c>
      <c r="F204" t="s">
        <v>48</v>
      </c>
      <c r="G204" t="s">
        <v>55</v>
      </c>
      <c r="H204" t="s">
        <v>83</v>
      </c>
      <c r="I204" t="s">
        <v>35</v>
      </c>
      <c r="J204" t="s">
        <v>26</v>
      </c>
      <c r="K204" t="s">
        <v>50</v>
      </c>
      <c r="L204" t="s">
        <v>28</v>
      </c>
      <c r="M204" s="3">
        <v>16800</v>
      </c>
      <c r="N204" s="4">
        <v>0.13700000000000001</v>
      </c>
      <c r="O204" s="4">
        <v>1</v>
      </c>
      <c r="P204" t="s">
        <v>29</v>
      </c>
      <c r="R204">
        <v>43</v>
      </c>
      <c r="S204" s="3">
        <v>1207.95</v>
      </c>
    </row>
    <row r="205" spans="1:19" x14ac:dyDescent="0.2">
      <c r="A205" t="s">
        <v>458</v>
      </c>
      <c r="B205" s="2">
        <v>46003</v>
      </c>
      <c r="C205" s="2">
        <v>46047</v>
      </c>
      <c r="D205" t="s">
        <v>459</v>
      </c>
      <c r="E205" t="s">
        <v>33</v>
      </c>
      <c r="F205" t="s">
        <v>22</v>
      </c>
      <c r="G205" t="s">
        <v>23</v>
      </c>
      <c r="H205" t="s">
        <v>24</v>
      </c>
      <c r="I205" t="s">
        <v>25</v>
      </c>
      <c r="J205" t="s">
        <v>26</v>
      </c>
      <c r="K205" t="s">
        <v>106</v>
      </c>
      <c r="L205" t="s">
        <v>28</v>
      </c>
      <c r="M205" s="3">
        <v>52500</v>
      </c>
      <c r="N205" s="4">
        <v>0.188</v>
      </c>
      <c r="O205" s="4">
        <v>0.2</v>
      </c>
      <c r="P205" t="s">
        <v>38</v>
      </c>
      <c r="R205">
        <v>44</v>
      </c>
      <c r="S205" s="3">
        <v>3553.08</v>
      </c>
    </row>
    <row r="206" spans="1:19" x14ac:dyDescent="0.2">
      <c r="A206" t="s">
        <v>460</v>
      </c>
      <c r="B206" s="2">
        <v>46142</v>
      </c>
      <c r="C206" s="2">
        <v>46229</v>
      </c>
      <c r="D206" t="s">
        <v>461</v>
      </c>
      <c r="E206" t="s">
        <v>111</v>
      </c>
      <c r="F206" t="s">
        <v>22</v>
      </c>
      <c r="G206" t="s">
        <v>92</v>
      </c>
      <c r="H206" t="s">
        <v>56</v>
      </c>
      <c r="I206" t="s">
        <v>42</v>
      </c>
      <c r="J206" t="s">
        <v>43</v>
      </c>
      <c r="K206" t="s">
        <v>58</v>
      </c>
      <c r="L206" t="s">
        <v>51</v>
      </c>
      <c r="M206" s="3">
        <v>97800</v>
      </c>
      <c r="N206" s="4">
        <v>0.192</v>
      </c>
      <c r="O206" s="4">
        <v>0.7</v>
      </c>
      <c r="P206" t="s">
        <v>59</v>
      </c>
      <c r="R206">
        <v>87</v>
      </c>
      <c r="S206" s="3">
        <v>6583.91</v>
      </c>
    </row>
    <row r="207" spans="1:19" x14ac:dyDescent="0.2">
      <c r="A207" t="s">
        <v>462</v>
      </c>
      <c r="B207" s="2">
        <v>46267</v>
      </c>
      <c r="C207" s="2">
        <v>46334</v>
      </c>
      <c r="D207" t="s">
        <v>463</v>
      </c>
      <c r="E207" t="s">
        <v>68</v>
      </c>
      <c r="F207" t="s">
        <v>48</v>
      </c>
      <c r="G207" t="s">
        <v>63</v>
      </c>
      <c r="H207" t="s">
        <v>98</v>
      </c>
      <c r="I207" t="s">
        <v>84</v>
      </c>
      <c r="J207" t="s">
        <v>43</v>
      </c>
      <c r="K207" t="s">
        <v>78</v>
      </c>
      <c r="L207" t="s">
        <v>28</v>
      </c>
      <c r="M207" s="3">
        <v>11500</v>
      </c>
      <c r="N207" s="4">
        <v>0.14099999999999999</v>
      </c>
      <c r="O207" s="4">
        <v>0.55000000000000004</v>
      </c>
      <c r="P207" t="s">
        <v>79</v>
      </c>
      <c r="R207">
        <v>67</v>
      </c>
      <c r="S207" s="3">
        <v>823.54</v>
      </c>
    </row>
    <row r="208" spans="1:19" x14ac:dyDescent="0.2">
      <c r="A208" t="s">
        <v>464</v>
      </c>
      <c r="B208" s="2">
        <v>46102</v>
      </c>
      <c r="C208" s="2">
        <v>46166</v>
      </c>
      <c r="D208" t="s">
        <v>465</v>
      </c>
      <c r="E208" t="s">
        <v>62</v>
      </c>
      <c r="F208" t="s">
        <v>48</v>
      </c>
      <c r="G208" t="s">
        <v>92</v>
      </c>
      <c r="H208" t="s">
        <v>120</v>
      </c>
      <c r="I208" t="s">
        <v>84</v>
      </c>
      <c r="J208" t="s">
        <v>26</v>
      </c>
      <c r="K208" t="s">
        <v>88</v>
      </c>
      <c r="L208" t="s">
        <v>51</v>
      </c>
      <c r="M208" s="3">
        <v>7900</v>
      </c>
      <c r="N208" s="4">
        <v>4.9000000000000002E-2</v>
      </c>
      <c r="O208" s="4">
        <v>0.3</v>
      </c>
      <c r="P208" t="s">
        <v>38</v>
      </c>
      <c r="R208">
        <v>64</v>
      </c>
      <c r="S208" s="3">
        <v>626.28</v>
      </c>
    </row>
    <row r="209" spans="1:19" x14ac:dyDescent="0.2">
      <c r="A209" t="s">
        <v>466</v>
      </c>
      <c r="B209" s="2">
        <v>45956</v>
      </c>
      <c r="C209" s="2">
        <v>46039</v>
      </c>
      <c r="D209" t="s">
        <v>332</v>
      </c>
      <c r="E209" t="s">
        <v>62</v>
      </c>
      <c r="F209" t="s">
        <v>22</v>
      </c>
      <c r="G209" t="s">
        <v>63</v>
      </c>
      <c r="H209" t="s">
        <v>83</v>
      </c>
      <c r="I209" t="s">
        <v>65</v>
      </c>
      <c r="J209" t="s">
        <v>85</v>
      </c>
      <c r="K209" t="s">
        <v>58</v>
      </c>
      <c r="L209" t="s">
        <v>51</v>
      </c>
      <c r="M209" s="3">
        <v>83500</v>
      </c>
      <c r="N209" s="4">
        <v>5.8999999999999997E-2</v>
      </c>
      <c r="O209" s="4">
        <v>0.75</v>
      </c>
      <c r="P209" t="s">
        <v>59</v>
      </c>
      <c r="R209">
        <v>83</v>
      </c>
      <c r="S209" s="3">
        <v>6548.52</v>
      </c>
    </row>
    <row r="210" spans="1:19" x14ac:dyDescent="0.2">
      <c r="A210" t="s">
        <v>467</v>
      </c>
      <c r="B210" s="2">
        <v>46042</v>
      </c>
      <c r="C210" s="2">
        <v>46071</v>
      </c>
      <c r="D210" t="s">
        <v>468</v>
      </c>
      <c r="E210" t="s">
        <v>62</v>
      </c>
      <c r="F210" t="s">
        <v>22</v>
      </c>
      <c r="G210" t="s">
        <v>63</v>
      </c>
      <c r="H210" t="s">
        <v>49</v>
      </c>
      <c r="I210" t="s">
        <v>42</v>
      </c>
      <c r="J210" t="s">
        <v>43</v>
      </c>
      <c r="K210" t="s">
        <v>37</v>
      </c>
      <c r="L210" t="s">
        <v>28</v>
      </c>
      <c r="M210" s="3">
        <v>50000</v>
      </c>
      <c r="N210" s="4">
        <v>1.0999999999999999E-2</v>
      </c>
      <c r="O210" s="4">
        <v>0.15</v>
      </c>
      <c r="P210" t="s">
        <v>38</v>
      </c>
      <c r="R210">
        <v>29</v>
      </c>
      <c r="S210" s="3">
        <v>4121.2</v>
      </c>
    </row>
    <row r="211" spans="1:19" x14ac:dyDescent="0.2">
      <c r="A211" t="s">
        <v>469</v>
      </c>
      <c r="B211" s="2">
        <v>46241</v>
      </c>
      <c r="C211" s="2">
        <v>46318</v>
      </c>
      <c r="D211" t="s">
        <v>470</v>
      </c>
      <c r="E211" t="s">
        <v>68</v>
      </c>
      <c r="F211" t="s">
        <v>48</v>
      </c>
      <c r="G211" t="s">
        <v>63</v>
      </c>
      <c r="H211" t="s">
        <v>41</v>
      </c>
      <c r="I211" t="s">
        <v>35</v>
      </c>
      <c r="J211" t="s">
        <v>57</v>
      </c>
      <c r="K211" t="s">
        <v>37</v>
      </c>
      <c r="L211" t="s">
        <v>51</v>
      </c>
      <c r="M211" s="3">
        <v>18300</v>
      </c>
      <c r="N211" s="4">
        <v>0</v>
      </c>
      <c r="O211" s="4">
        <v>0.1</v>
      </c>
      <c r="P211" t="s">
        <v>38</v>
      </c>
      <c r="R211">
        <v>77</v>
      </c>
      <c r="S211" s="3">
        <v>1525</v>
      </c>
    </row>
    <row r="212" spans="1:19" x14ac:dyDescent="0.2">
      <c r="A212" t="s">
        <v>471</v>
      </c>
      <c r="B212" s="2">
        <v>46062</v>
      </c>
      <c r="C212" s="2">
        <v>46181</v>
      </c>
      <c r="D212" t="s">
        <v>472</v>
      </c>
      <c r="E212" t="s">
        <v>62</v>
      </c>
      <c r="F212" t="s">
        <v>48</v>
      </c>
      <c r="G212" t="s">
        <v>63</v>
      </c>
      <c r="H212" t="s">
        <v>41</v>
      </c>
      <c r="I212" t="s">
        <v>25</v>
      </c>
      <c r="J212" t="s">
        <v>43</v>
      </c>
      <c r="K212" t="s">
        <v>106</v>
      </c>
      <c r="L212" t="s">
        <v>51</v>
      </c>
      <c r="M212" s="3">
        <v>12200</v>
      </c>
      <c r="N212" s="4">
        <v>0.13</v>
      </c>
      <c r="O212" s="4">
        <v>0.2</v>
      </c>
      <c r="P212" t="s">
        <v>38</v>
      </c>
      <c r="R212">
        <v>119</v>
      </c>
      <c r="S212" s="3">
        <v>884.28</v>
      </c>
    </row>
    <row r="213" spans="1:19" x14ac:dyDescent="0.2">
      <c r="A213" t="s">
        <v>473</v>
      </c>
      <c r="B213" s="2">
        <v>46173</v>
      </c>
      <c r="C213" s="2">
        <v>46225</v>
      </c>
      <c r="D213" t="s">
        <v>474</v>
      </c>
      <c r="E213" t="s">
        <v>21</v>
      </c>
      <c r="F213" t="s">
        <v>48</v>
      </c>
      <c r="G213" t="s">
        <v>63</v>
      </c>
      <c r="H213" t="s">
        <v>77</v>
      </c>
      <c r="I213" t="s">
        <v>99</v>
      </c>
      <c r="J213" t="s">
        <v>26</v>
      </c>
      <c r="K213" t="s">
        <v>58</v>
      </c>
      <c r="L213" t="s">
        <v>51</v>
      </c>
      <c r="M213" s="3">
        <v>18300</v>
      </c>
      <c r="N213" s="4">
        <v>0.14399999999999999</v>
      </c>
      <c r="O213" s="4">
        <v>0.75</v>
      </c>
      <c r="P213" t="s">
        <v>59</v>
      </c>
      <c r="R213">
        <v>52</v>
      </c>
      <c r="S213" s="3">
        <v>1305.5899999999999</v>
      </c>
    </row>
    <row r="214" spans="1:19" x14ac:dyDescent="0.2">
      <c r="A214" t="s">
        <v>475</v>
      </c>
      <c r="B214" s="2">
        <v>46109</v>
      </c>
      <c r="C214" s="2">
        <v>46221</v>
      </c>
      <c r="D214" t="s">
        <v>476</v>
      </c>
      <c r="E214" t="s">
        <v>33</v>
      </c>
      <c r="F214" t="s">
        <v>74</v>
      </c>
      <c r="G214" t="s">
        <v>55</v>
      </c>
      <c r="H214" t="s">
        <v>64</v>
      </c>
      <c r="I214" t="s">
        <v>42</v>
      </c>
      <c r="J214" t="s">
        <v>36</v>
      </c>
      <c r="K214" t="s">
        <v>58</v>
      </c>
      <c r="L214" t="s">
        <v>44</v>
      </c>
      <c r="M214" s="3">
        <v>149000</v>
      </c>
      <c r="N214" s="4">
        <v>0.11600000000000001</v>
      </c>
      <c r="O214" s="4">
        <v>0.8</v>
      </c>
      <c r="P214" t="s">
        <v>59</v>
      </c>
      <c r="R214">
        <v>112</v>
      </c>
      <c r="S214" s="3">
        <v>10970.43</v>
      </c>
    </row>
    <row r="215" spans="1:19" x14ac:dyDescent="0.2">
      <c r="A215" t="s">
        <v>477</v>
      </c>
      <c r="B215" s="2">
        <v>46045</v>
      </c>
      <c r="C215" s="2">
        <v>46092</v>
      </c>
      <c r="D215" t="s">
        <v>303</v>
      </c>
      <c r="E215" t="s">
        <v>68</v>
      </c>
      <c r="F215" t="s">
        <v>22</v>
      </c>
      <c r="G215" t="s">
        <v>63</v>
      </c>
      <c r="H215" t="s">
        <v>64</v>
      </c>
      <c r="I215" t="s">
        <v>99</v>
      </c>
      <c r="J215" t="s">
        <v>26</v>
      </c>
      <c r="K215" t="s">
        <v>37</v>
      </c>
      <c r="L215" t="s">
        <v>51</v>
      </c>
      <c r="M215" s="3">
        <v>55400</v>
      </c>
      <c r="N215" s="4">
        <v>7.8E-2</v>
      </c>
      <c r="O215" s="4">
        <v>0.1</v>
      </c>
      <c r="P215" t="s">
        <v>38</v>
      </c>
      <c r="R215">
        <v>47</v>
      </c>
      <c r="S215" s="3">
        <v>4255.9799999999996</v>
      </c>
    </row>
    <row r="216" spans="1:19" x14ac:dyDescent="0.2">
      <c r="A216" t="s">
        <v>478</v>
      </c>
      <c r="B216" s="2">
        <v>46115</v>
      </c>
      <c r="C216" s="2">
        <v>46149</v>
      </c>
      <c r="D216" t="s">
        <v>81</v>
      </c>
      <c r="E216" t="s">
        <v>68</v>
      </c>
      <c r="F216" t="s">
        <v>74</v>
      </c>
      <c r="G216" t="s">
        <v>55</v>
      </c>
      <c r="H216" t="s">
        <v>41</v>
      </c>
      <c r="I216" t="s">
        <v>42</v>
      </c>
      <c r="J216" t="s">
        <v>85</v>
      </c>
      <c r="K216" t="s">
        <v>78</v>
      </c>
      <c r="L216" t="s">
        <v>28</v>
      </c>
      <c r="M216" s="3">
        <v>119200</v>
      </c>
      <c r="N216" s="4">
        <v>0.151</v>
      </c>
      <c r="O216" s="4">
        <v>0.55000000000000004</v>
      </c>
      <c r="P216" t="s">
        <v>79</v>
      </c>
      <c r="R216">
        <v>34</v>
      </c>
      <c r="S216" s="3">
        <v>8434.34</v>
      </c>
    </row>
    <row r="217" spans="1:19" x14ac:dyDescent="0.2">
      <c r="A217" t="s">
        <v>479</v>
      </c>
      <c r="B217" s="2">
        <v>45973</v>
      </c>
      <c r="C217" s="2">
        <v>46018</v>
      </c>
      <c r="D217" t="s">
        <v>480</v>
      </c>
      <c r="E217" t="s">
        <v>111</v>
      </c>
      <c r="F217" t="s">
        <v>74</v>
      </c>
      <c r="G217" t="s">
        <v>92</v>
      </c>
      <c r="H217" t="s">
        <v>77</v>
      </c>
      <c r="I217" t="s">
        <v>42</v>
      </c>
      <c r="J217" t="s">
        <v>43</v>
      </c>
      <c r="K217" t="s">
        <v>106</v>
      </c>
      <c r="L217" t="s">
        <v>51</v>
      </c>
      <c r="M217" s="3">
        <v>274700</v>
      </c>
      <c r="N217" s="4">
        <v>9.0999999999999998E-2</v>
      </c>
      <c r="O217" s="4">
        <v>0.25</v>
      </c>
      <c r="P217" t="s">
        <v>38</v>
      </c>
      <c r="R217">
        <v>45</v>
      </c>
      <c r="S217" s="3">
        <v>20799.419999999998</v>
      </c>
    </row>
    <row r="218" spans="1:19" x14ac:dyDescent="0.2">
      <c r="A218" t="s">
        <v>481</v>
      </c>
      <c r="B218" s="2">
        <v>46242</v>
      </c>
      <c r="C218" s="2">
        <v>46313</v>
      </c>
      <c r="D218" t="s">
        <v>125</v>
      </c>
      <c r="E218" t="s">
        <v>21</v>
      </c>
      <c r="F218" t="s">
        <v>22</v>
      </c>
      <c r="G218" t="s">
        <v>92</v>
      </c>
      <c r="H218" t="s">
        <v>56</v>
      </c>
      <c r="I218" t="s">
        <v>42</v>
      </c>
      <c r="J218" t="s">
        <v>26</v>
      </c>
      <c r="K218" t="s">
        <v>88</v>
      </c>
      <c r="L218" t="s">
        <v>28</v>
      </c>
      <c r="M218" s="3">
        <v>51900</v>
      </c>
      <c r="N218" s="4">
        <v>0.11799999999999999</v>
      </c>
      <c r="O218" s="4">
        <v>0.35</v>
      </c>
      <c r="P218" t="s">
        <v>38</v>
      </c>
      <c r="R218">
        <v>71</v>
      </c>
      <c r="S218" s="3">
        <v>3812.66</v>
      </c>
    </row>
    <row r="219" spans="1:19" x14ac:dyDescent="0.2">
      <c r="A219" t="s">
        <v>482</v>
      </c>
      <c r="B219" s="2">
        <v>46029</v>
      </c>
      <c r="C219" s="2">
        <v>46175</v>
      </c>
      <c r="D219" t="s">
        <v>483</v>
      </c>
      <c r="E219" t="s">
        <v>111</v>
      </c>
      <c r="F219" t="s">
        <v>48</v>
      </c>
      <c r="G219" t="s">
        <v>23</v>
      </c>
      <c r="H219" t="s">
        <v>64</v>
      </c>
      <c r="I219" t="s">
        <v>99</v>
      </c>
      <c r="J219" t="s">
        <v>43</v>
      </c>
      <c r="K219" t="s">
        <v>106</v>
      </c>
      <c r="L219" t="s">
        <v>44</v>
      </c>
      <c r="M219" s="3">
        <v>22200</v>
      </c>
      <c r="N219" s="4">
        <v>0.20699999999999999</v>
      </c>
      <c r="O219" s="4">
        <v>0.2</v>
      </c>
      <c r="P219" t="s">
        <v>38</v>
      </c>
      <c r="R219">
        <v>146</v>
      </c>
      <c r="S219" s="3">
        <v>1467.13</v>
      </c>
    </row>
    <row r="220" spans="1:19" x14ac:dyDescent="0.2">
      <c r="A220" t="s">
        <v>484</v>
      </c>
      <c r="B220" s="2">
        <v>46195</v>
      </c>
      <c r="C220" s="2">
        <v>46220</v>
      </c>
      <c r="D220" t="s">
        <v>285</v>
      </c>
      <c r="E220" t="s">
        <v>68</v>
      </c>
      <c r="F220" t="s">
        <v>22</v>
      </c>
      <c r="G220" t="s">
        <v>34</v>
      </c>
      <c r="H220" t="s">
        <v>41</v>
      </c>
      <c r="I220" t="s">
        <v>42</v>
      </c>
      <c r="J220" t="s">
        <v>43</v>
      </c>
      <c r="K220" t="s">
        <v>88</v>
      </c>
      <c r="L220" t="s">
        <v>28</v>
      </c>
      <c r="M220" s="3">
        <v>42600</v>
      </c>
      <c r="N220" s="4">
        <v>0.13500000000000001</v>
      </c>
      <c r="O220" s="4">
        <v>0.4</v>
      </c>
      <c r="P220" t="s">
        <v>38</v>
      </c>
      <c r="R220">
        <v>25</v>
      </c>
      <c r="S220" s="3">
        <v>3072.03</v>
      </c>
    </row>
    <row r="221" spans="1:19" x14ac:dyDescent="0.2">
      <c r="A221" t="s">
        <v>485</v>
      </c>
      <c r="B221" s="2">
        <v>46021</v>
      </c>
      <c r="C221" s="2">
        <v>46092</v>
      </c>
      <c r="D221" t="s">
        <v>348</v>
      </c>
      <c r="E221" t="s">
        <v>82</v>
      </c>
      <c r="F221" t="s">
        <v>48</v>
      </c>
      <c r="G221" t="s">
        <v>23</v>
      </c>
      <c r="H221" t="s">
        <v>49</v>
      </c>
      <c r="I221" t="s">
        <v>84</v>
      </c>
      <c r="J221" t="s">
        <v>43</v>
      </c>
      <c r="K221" t="s">
        <v>58</v>
      </c>
      <c r="L221" t="s">
        <v>44</v>
      </c>
      <c r="M221" s="3">
        <v>29900</v>
      </c>
      <c r="N221" s="4">
        <v>0.14099999999999999</v>
      </c>
      <c r="O221" s="4">
        <v>0.75</v>
      </c>
      <c r="P221" t="s">
        <v>59</v>
      </c>
      <c r="R221">
        <v>71</v>
      </c>
      <c r="S221" s="3">
        <v>2140.15</v>
      </c>
    </row>
    <row r="222" spans="1:19" x14ac:dyDescent="0.2">
      <c r="A222" t="s">
        <v>486</v>
      </c>
      <c r="B222" s="2">
        <v>46179</v>
      </c>
      <c r="C222" s="2">
        <v>46313</v>
      </c>
      <c r="D222" t="s">
        <v>487</v>
      </c>
      <c r="E222" t="s">
        <v>68</v>
      </c>
      <c r="F222" t="s">
        <v>48</v>
      </c>
      <c r="G222" t="s">
        <v>34</v>
      </c>
      <c r="H222" t="s">
        <v>64</v>
      </c>
      <c r="I222" t="s">
        <v>65</v>
      </c>
      <c r="J222" t="s">
        <v>85</v>
      </c>
      <c r="K222" t="s">
        <v>78</v>
      </c>
      <c r="L222" t="s">
        <v>51</v>
      </c>
      <c r="M222" s="3">
        <v>22200</v>
      </c>
      <c r="N222" s="4">
        <v>0.23</v>
      </c>
      <c r="O222" s="4">
        <v>0.55000000000000004</v>
      </c>
      <c r="P222" t="s">
        <v>79</v>
      </c>
      <c r="R222">
        <v>134</v>
      </c>
      <c r="S222" s="3">
        <v>1424.31</v>
      </c>
    </row>
    <row r="223" spans="1:19" x14ac:dyDescent="0.2">
      <c r="A223" t="s">
        <v>488</v>
      </c>
      <c r="B223" s="2">
        <v>45992</v>
      </c>
      <c r="C223" s="2">
        <v>46124</v>
      </c>
      <c r="D223" t="s">
        <v>447</v>
      </c>
      <c r="E223" t="s">
        <v>91</v>
      </c>
      <c r="F223" t="s">
        <v>48</v>
      </c>
      <c r="G223" t="s">
        <v>34</v>
      </c>
      <c r="H223" t="s">
        <v>137</v>
      </c>
      <c r="I223" t="s">
        <v>42</v>
      </c>
      <c r="J223" t="s">
        <v>57</v>
      </c>
      <c r="K223" t="s">
        <v>37</v>
      </c>
      <c r="L223" t="s">
        <v>28</v>
      </c>
      <c r="M223" s="3">
        <v>27000</v>
      </c>
      <c r="N223" s="4">
        <v>5.0999999999999997E-2</v>
      </c>
      <c r="O223" s="4">
        <v>0.1</v>
      </c>
      <c r="P223" t="s">
        <v>38</v>
      </c>
      <c r="R223">
        <v>132</v>
      </c>
      <c r="S223" s="3">
        <v>2135.4899999999998</v>
      </c>
    </row>
    <row r="224" spans="1:19" x14ac:dyDescent="0.2">
      <c r="A224" t="s">
        <v>489</v>
      </c>
      <c r="B224" s="2">
        <v>45954</v>
      </c>
      <c r="C224" s="2">
        <v>45982</v>
      </c>
      <c r="D224" t="s">
        <v>490</v>
      </c>
      <c r="E224" t="s">
        <v>82</v>
      </c>
      <c r="F224" t="s">
        <v>22</v>
      </c>
      <c r="G224" t="s">
        <v>23</v>
      </c>
      <c r="H224" t="s">
        <v>83</v>
      </c>
      <c r="I224" t="s">
        <v>99</v>
      </c>
      <c r="J224" t="s">
        <v>57</v>
      </c>
      <c r="K224" t="s">
        <v>50</v>
      </c>
      <c r="L224" t="s">
        <v>44</v>
      </c>
      <c r="M224" s="3">
        <v>71600</v>
      </c>
      <c r="N224" s="4">
        <v>0.19</v>
      </c>
      <c r="O224" s="4">
        <v>1</v>
      </c>
      <c r="P224" t="s">
        <v>29</v>
      </c>
      <c r="R224">
        <v>28</v>
      </c>
      <c r="S224" s="3">
        <v>4832.96</v>
      </c>
    </row>
    <row r="225" spans="1:19" x14ac:dyDescent="0.2">
      <c r="A225" t="s">
        <v>491</v>
      </c>
      <c r="B225" s="2">
        <v>46019</v>
      </c>
      <c r="C225" s="2">
        <v>46119</v>
      </c>
      <c r="D225" t="s">
        <v>492</v>
      </c>
      <c r="E225" t="s">
        <v>54</v>
      </c>
      <c r="F225" t="s">
        <v>48</v>
      </c>
      <c r="G225" t="s">
        <v>55</v>
      </c>
      <c r="H225" t="s">
        <v>95</v>
      </c>
      <c r="I225" t="s">
        <v>42</v>
      </c>
      <c r="J225" t="s">
        <v>85</v>
      </c>
      <c r="K225" t="s">
        <v>50</v>
      </c>
      <c r="L225" t="s">
        <v>44</v>
      </c>
      <c r="M225" s="3">
        <v>12600</v>
      </c>
      <c r="N225" s="4">
        <v>0.14099999999999999</v>
      </c>
      <c r="O225" s="4">
        <v>1</v>
      </c>
      <c r="P225" t="s">
        <v>29</v>
      </c>
      <c r="R225">
        <v>100</v>
      </c>
      <c r="S225" s="3">
        <v>902.31</v>
      </c>
    </row>
    <row r="226" spans="1:19" x14ac:dyDescent="0.2">
      <c r="A226" t="s">
        <v>493</v>
      </c>
      <c r="B226" s="2">
        <v>46072</v>
      </c>
      <c r="C226" s="2">
        <v>46211</v>
      </c>
      <c r="D226" t="s">
        <v>494</v>
      </c>
      <c r="E226" t="s">
        <v>33</v>
      </c>
      <c r="F226" t="s">
        <v>48</v>
      </c>
      <c r="G226" t="s">
        <v>55</v>
      </c>
      <c r="H226" t="s">
        <v>77</v>
      </c>
      <c r="I226" t="s">
        <v>42</v>
      </c>
      <c r="J226" t="s">
        <v>36</v>
      </c>
      <c r="K226" t="s">
        <v>78</v>
      </c>
      <c r="L226" t="s">
        <v>44</v>
      </c>
      <c r="M226" s="3">
        <v>25700</v>
      </c>
      <c r="N226" s="4">
        <v>0.12</v>
      </c>
      <c r="O226" s="4">
        <v>0.55000000000000004</v>
      </c>
      <c r="P226" t="s">
        <v>79</v>
      </c>
      <c r="R226">
        <v>139</v>
      </c>
      <c r="S226" s="3">
        <v>1884.98</v>
      </c>
    </row>
    <row r="227" spans="1:19" x14ac:dyDescent="0.2">
      <c r="A227" t="s">
        <v>495</v>
      </c>
      <c r="B227" s="2">
        <v>46012</v>
      </c>
      <c r="C227" s="2">
        <v>46126</v>
      </c>
      <c r="D227" t="s">
        <v>496</v>
      </c>
      <c r="E227" t="s">
        <v>68</v>
      </c>
      <c r="F227" t="s">
        <v>48</v>
      </c>
      <c r="G227" t="s">
        <v>92</v>
      </c>
      <c r="H227" t="s">
        <v>120</v>
      </c>
      <c r="I227" t="s">
        <v>42</v>
      </c>
      <c r="J227" t="s">
        <v>57</v>
      </c>
      <c r="K227" t="s">
        <v>27</v>
      </c>
      <c r="L227" t="s">
        <v>28</v>
      </c>
      <c r="M227" s="3">
        <v>6400</v>
      </c>
      <c r="N227" s="4">
        <v>7.6999999999999999E-2</v>
      </c>
      <c r="O227" s="4">
        <v>0</v>
      </c>
      <c r="P227" t="s">
        <v>29</v>
      </c>
      <c r="Q227" t="s">
        <v>209</v>
      </c>
      <c r="R227">
        <v>114</v>
      </c>
      <c r="S227" s="3">
        <v>492.15</v>
      </c>
    </row>
    <row r="228" spans="1:19" x14ac:dyDescent="0.2">
      <c r="A228" t="s">
        <v>497</v>
      </c>
      <c r="B228" s="2">
        <v>46153</v>
      </c>
      <c r="C228" s="2">
        <v>46277</v>
      </c>
      <c r="D228" t="s">
        <v>498</v>
      </c>
      <c r="E228" t="s">
        <v>82</v>
      </c>
      <c r="F228" t="s">
        <v>22</v>
      </c>
      <c r="G228" t="s">
        <v>34</v>
      </c>
      <c r="H228" t="s">
        <v>56</v>
      </c>
      <c r="I228" t="s">
        <v>65</v>
      </c>
      <c r="J228" t="s">
        <v>36</v>
      </c>
      <c r="K228" t="s">
        <v>78</v>
      </c>
      <c r="L228" t="s">
        <v>28</v>
      </c>
      <c r="M228" s="3">
        <v>34500</v>
      </c>
      <c r="N228" s="4">
        <v>0.107</v>
      </c>
      <c r="O228" s="4">
        <v>0.5</v>
      </c>
      <c r="P228" t="s">
        <v>79</v>
      </c>
      <c r="R228">
        <v>124</v>
      </c>
      <c r="S228" s="3">
        <v>2567.23</v>
      </c>
    </row>
    <row r="229" spans="1:19" x14ac:dyDescent="0.2">
      <c r="A229" t="s">
        <v>499</v>
      </c>
      <c r="B229" s="2">
        <v>45990</v>
      </c>
      <c r="C229" s="2">
        <v>46109</v>
      </c>
      <c r="D229" t="s">
        <v>500</v>
      </c>
      <c r="E229" t="s">
        <v>33</v>
      </c>
      <c r="F229" t="s">
        <v>22</v>
      </c>
      <c r="G229" t="s">
        <v>23</v>
      </c>
      <c r="H229" t="s">
        <v>98</v>
      </c>
      <c r="I229" t="s">
        <v>25</v>
      </c>
      <c r="J229" t="s">
        <v>36</v>
      </c>
      <c r="K229" t="s">
        <v>78</v>
      </c>
      <c r="L229" t="s">
        <v>44</v>
      </c>
      <c r="M229" s="3">
        <v>90100</v>
      </c>
      <c r="N229" s="4">
        <v>0.182</v>
      </c>
      <c r="O229" s="4">
        <v>0.55000000000000004</v>
      </c>
      <c r="P229" t="s">
        <v>79</v>
      </c>
      <c r="R229">
        <v>119</v>
      </c>
      <c r="S229" s="3">
        <v>6144.88</v>
      </c>
    </row>
    <row r="230" spans="1:19" x14ac:dyDescent="0.2">
      <c r="A230" t="s">
        <v>501</v>
      </c>
      <c r="B230" s="2">
        <v>46080</v>
      </c>
      <c r="C230" s="2">
        <v>46110</v>
      </c>
      <c r="D230" t="s">
        <v>502</v>
      </c>
      <c r="E230" t="s">
        <v>54</v>
      </c>
      <c r="F230" t="s">
        <v>48</v>
      </c>
      <c r="G230" t="s">
        <v>23</v>
      </c>
      <c r="H230" t="s">
        <v>98</v>
      </c>
      <c r="I230" t="s">
        <v>25</v>
      </c>
      <c r="J230" t="s">
        <v>43</v>
      </c>
      <c r="K230" t="s">
        <v>50</v>
      </c>
      <c r="L230" t="s">
        <v>44</v>
      </c>
      <c r="M230" s="3">
        <v>12500</v>
      </c>
      <c r="N230" s="4">
        <v>0.20499999999999999</v>
      </c>
      <c r="O230" s="4">
        <v>1</v>
      </c>
      <c r="P230" t="s">
        <v>29</v>
      </c>
      <c r="R230">
        <v>30</v>
      </c>
      <c r="S230" s="3">
        <v>827.78</v>
      </c>
    </row>
    <row r="231" spans="1:19" x14ac:dyDescent="0.2">
      <c r="A231" t="s">
        <v>503</v>
      </c>
      <c r="B231" s="2">
        <v>46149</v>
      </c>
      <c r="C231" s="2">
        <v>46286</v>
      </c>
      <c r="D231" t="s">
        <v>259</v>
      </c>
      <c r="E231" t="s">
        <v>54</v>
      </c>
      <c r="F231" t="s">
        <v>48</v>
      </c>
      <c r="G231" t="s">
        <v>63</v>
      </c>
      <c r="H231" t="s">
        <v>98</v>
      </c>
      <c r="I231" t="s">
        <v>42</v>
      </c>
      <c r="J231" t="s">
        <v>85</v>
      </c>
      <c r="K231" t="s">
        <v>78</v>
      </c>
      <c r="L231" t="s">
        <v>44</v>
      </c>
      <c r="M231" s="3">
        <v>8900</v>
      </c>
      <c r="N231" s="4">
        <v>3.2000000000000001E-2</v>
      </c>
      <c r="O231" s="4">
        <v>0.5</v>
      </c>
      <c r="P231" t="s">
        <v>79</v>
      </c>
      <c r="R231">
        <v>137</v>
      </c>
      <c r="S231" s="3">
        <v>718.05</v>
      </c>
    </row>
    <row r="232" spans="1:19" x14ac:dyDescent="0.2">
      <c r="A232" t="s">
        <v>504</v>
      </c>
      <c r="B232" s="2">
        <v>46231</v>
      </c>
      <c r="C232" s="2">
        <v>46298</v>
      </c>
      <c r="D232" t="s">
        <v>505</v>
      </c>
      <c r="E232" t="s">
        <v>111</v>
      </c>
      <c r="F232" t="s">
        <v>22</v>
      </c>
      <c r="G232" t="s">
        <v>55</v>
      </c>
      <c r="H232" t="s">
        <v>137</v>
      </c>
      <c r="I232" t="s">
        <v>65</v>
      </c>
      <c r="J232" t="s">
        <v>43</v>
      </c>
      <c r="K232" t="s">
        <v>78</v>
      </c>
      <c r="L232" t="s">
        <v>44</v>
      </c>
      <c r="M232" s="3">
        <v>47800</v>
      </c>
      <c r="N232" s="4">
        <v>0.04</v>
      </c>
      <c r="O232" s="4">
        <v>0.55000000000000004</v>
      </c>
      <c r="P232" t="s">
        <v>79</v>
      </c>
      <c r="R232">
        <v>67</v>
      </c>
      <c r="S232" s="3">
        <v>3822.05</v>
      </c>
    </row>
    <row r="233" spans="1:19" x14ac:dyDescent="0.2">
      <c r="A233" t="s">
        <v>506</v>
      </c>
      <c r="B233" s="2">
        <v>46047</v>
      </c>
      <c r="C233" s="2">
        <v>46170</v>
      </c>
      <c r="D233" t="s">
        <v>507</v>
      </c>
      <c r="E233" t="s">
        <v>111</v>
      </c>
      <c r="F233" t="s">
        <v>74</v>
      </c>
      <c r="G233" t="s">
        <v>63</v>
      </c>
      <c r="H233" t="s">
        <v>41</v>
      </c>
      <c r="I233" t="s">
        <v>65</v>
      </c>
      <c r="J233" t="s">
        <v>43</v>
      </c>
      <c r="K233" t="s">
        <v>106</v>
      </c>
      <c r="L233" t="s">
        <v>28</v>
      </c>
      <c r="M233" s="3">
        <v>96900</v>
      </c>
      <c r="N233" s="4">
        <v>0.20799999999999999</v>
      </c>
      <c r="O233" s="4">
        <v>0.2</v>
      </c>
      <c r="P233" t="s">
        <v>38</v>
      </c>
      <c r="R233">
        <v>123</v>
      </c>
      <c r="S233" s="3">
        <v>6393.44</v>
      </c>
    </row>
    <row r="234" spans="1:19" x14ac:dyDescent="0.2">
      <c r="A234" t="s">
        <v>508</v>
      </c>
      <c r="B234" s="2">
        <v>46171</v>
      </c>
      <c r="C234" s="2">
        <v>46277</v>
      </c>
      <c r="D234" t="s">
        <v>509</v>
      </c>
      <c r="E234" t="s">
        <v>54</v>
      </c>
      <c r="F234" t="s">
        <v>48</v>
      </c>
      <c r="G234" t="s">
        <v>63</v>
      </c>
      <c r="H234" t="s">
        <v>83</v>
      </c>
      <c r="I234" t="s">
        <v>42</v>
      </c>
      <c r="J234" t="s">
        <v>85</v>
      </c>
      <c r="K234" t="s">
        <v>27</v>
      </c>
      <c r="L234" t="s">
        <v>44</v>
      </c>
      <c r="M234" s="3">
        <v>24600</v>
      </c>
      <c r="N234" s="4">
        <v>0.151</v>
      </c>
      <c r="O234" s="4">
        <v>0</v>
      </c>
      <c r="P234" t="s">
        <v>29</v>
      </c>
      <c r="Q234" t="s">
        <v>45</v>
      </c>
      <c r="R234">
        <v>106</v>
      </c>
      <c r="S234" s="3">
        <v>1739.82</v>
      </c>
    </row>
    <row r="235" spans="1:19" x14ac:dyDescent="0.2">
      <c r="A235" t="s">
        <v>510</v>
      </c>
      <c r="B235" s="2">
        <v>46133</v>
      </c>
      <c r="C235" s="2">
        <v>46264</v>
      </c>
      <c r="D235" t="s">
        <v>511</v>
      </c>
      <c r="E235" t="s">
        <v>33</v>
      </c>
      <c r="F235" t="s">
        <v>48</v>
      </c>
      <c r="G235" t="s">
        <v>92</v>
      </c>
      <c r="H235" t="s">
        <v>56</v>
      </c>
      <c r="I235" t="s">
        <v>25</v>
      </c>
      <c r="J235" t="s">
        <v>43</v>
      </c>
      <c r="K235" t="s">
        <v>27</v>
      </c>
      <c r="L235" t="s">
        <v>44</v>
      </c>
      <c r="M235" s="3">
        <v>14600</v>
      </c>
      <c r="N235" s="4">
        <v>0.129</v>
      </c>
      <c r="O235" s="4">
        <v>0.05</v>
      </c>
      <c r="P235" t="s">
        <v>29</v>
      </c>
      <c r="Q235" t="s">
        <v>152</v>
      </c>
      <c r="R235">
        <v>131</v>
      </c>
      <c r="S235" s="3">
        <v>1059.1300000000001</v>
      </c>
    </row>
    <row r="236" spans="1:19" x14ac:dyDescent="0.2">
      <c r="A236" t="s">
        <v>512</v>
      </c>
      <c r="B236" s="2">
        <v>45982</v>
      </c>
      <c r="C236" s="2">
        <v>46073</v>
      </c>
      <c r="D236" t="s">
        <v>513</v>
      </c>
      <c r="E236" t="s">
        <v>91</v>
      </c>
      <c r="F236" t="s">
        <v>74</v>
      </c>
      <c r="G236" t="s">
        <v>34</v>
      </c>
      <c r="H236" t="s">
        <v>77</v>
      </c>
      <c r="I236" t="s">
        <v>84</v>
      </c>
      <c r="J236" t="s">
        <v>57</v>
      </c>
      <c r="K236" t="s">
        <v>37</v>
      </c>
      <c r="L236" t="s">
        <v>28</v>
      </c>
      <c r="M236" s="3">
        <v>110000</v>
      </c>
      <c r="N236" s="4">
        <v>8.2000000000000003E-2</v>
      </c>
      <c r="O236" s="4">
        <v>0.15</v>
      </c>
      <c r="P236" t="s">
        <v>38</v>
      </c>
      <c r="R236">
        <v>91</v>
      </c>
      <c r="S236" s="3">
        <v>8416.0300000000007</v>
      </c>
    </row>
    <row r="237" spans="1:19" x14ac:dyDescent="0.2">
      <c r="A237" t="s">
        <v>514</v>
      </c>
      <c r="B237" s="2">
        <v>45946</v>
      </c>
      <c r="C237" s="2">
        <v>46057</v>
      </c>
      <c r="D237" t="s">
        <v>515</v>
      </c>
      <c r="E237" t="s">
        <v>111</v>
      </c>
      <c r="F237" t="s">
        <v>48</v>
      </c>
      <c r="G237" t="s">
        <v>92</v>
      </c>
      <c r="H237" t="s">
        <v>64</v>
      </c>
      <c r="I237" t="s">
        <v>25</v>
      </c>
      <c r="J237" t="s">
        <v>26</v>
      </c>
      <c r="K237" t="s">
        <v>27</v>
      </c>
      <c r="L237" t="s">
        <v>51</v>
      </c>
      <c r="M237" s="3">
        <v>11000</v>
      </c>
      <c r="N237" s="4">
        <v>0.13100000000000001</v>
      </c>
      <c r="O237" s="4">
        <v>0</v>
      </c>
      <c r="P237" t="s">
        <v>29</v>
      </c>
      <c r="Q237" t="s">
        <v>188</v>
      </c>
      <c r="R237">
        <v>111</v>
      </c>
      <c r="S237" s="3">
        <v>796.57</v>
      </c>
    </row>
    <row r="238" spans="1:19" x14ac:dyDescent="0.2">
      <c r="A238" t="s">
        <v>516</v>
      </c>
      <c r="B238" s="2">
        <v>46197</v>
      </c>
      <c r="C238" s="2">
        <v>46274</v>
      </c>
      <c r="D238" t="s">
        <v>517</v>
      </c>
      <c r="E238" t="s">
        <v>82</v>
      </c>
      <c r="F238" t="s">
        <v>22</v>
      </c>
      <c r="G238" t="s">
        <v>63</v>
      </c>
      <c r="H238" t="s">
        <v>69</v>
      </c>
      <c r="I238" t="s">
        <v>42</v>
      </c>
      <c r="J238" t="s">
        <v>26</v>
      </c>
      <c r="K238" t="s">
        <v>27</v>
      </c>
      <c r="L238" t="s">
        <v>28</v>
      </c>
      <c r="M238" s="3">
        <v>53000</v>
      </c>
      <c r="N238" s="4">
        <v>7.6999999999999999E-2</v>
      </c>
      <c r="O238" s="4">
        <v>0</v>
      </c>
      <c r="P238" t="s">
        <v>29</v>
      </c>
      <c r="Q238" t="s">
        <v>209</v>
      </c>
      <c r="R238">
        <v>77</v>
      </c>
      <c r="S238" s="3">
        <v>4077.4</v>
      </c>
    </row>
    <row r="239" spans="1:19" x14ac:dyDescent="0.2">
      <c r="A239" t="s">
        <v>518</v>
      </c>
      <c r="B239" s="2">
        <v>46155</v>
      </c>
      <c r="C239" s="2">
        <v>46277</v>
      </c>
      <c r="D239" t="s">
        <v>384</v>
      </c>
      <c r="E239" t="s">
        <v>68</v>
      </c>
      <c r="F239" t="s">
        <v>48</v>
      </c>
      <c r="G239" t="s">
        <v>63</v>
      </c>
      <c r="H239" t="s">
        <v>24</v>
      </c>
      <c r="I239" t="s">
        <v>99</v>
      </c>
      <c r="J239" t="s">
        <v>57</v>
      </c>
      <c r="K239" t="s">
        <v>50</v>
      </c>
      <c r="L239" t="s">
        <v>44</v>
      </c>
      <c r="M239" s="3">
        <v>18600</v>
      </c>
      <c r="N239" s="4">
        <v>0.192</v>
      </c>
      <c r="O239" s="4">
        <v>1</v>
      </c>
      <c r="P239" t="s">
        <v>29</v>
      </c>
      <c r="R239">
        <v>122</v>
      </c>
      <c r="S239" s="3">
        <v>1251.9000000000001</v>
      </c>
    </row>
    <row r="240" spans="1:19" x14ac:dyDescent="0.2">
      <c r="A240" t="s">
        <v>519</v>
      </c>
      <c r="B240" s="2">
        <v>45946</v>
      </c>
      <c r="C240" s="2">
        <v>46052</v>
      </c>
      <c r="D240" t="s">
        <v>520</v>
      </c>
      <c r="E240" t="s">
        <v>33</v>
      </c>
      <c r="F240" t="s">
        <v>48</v>
      </c>
      <c r="G240" t="s">
        <v>23</v>
      </c>
      <c r="H240" t="s">
        <v>137</v>
      </c>
      <c r="I240" t="s">
        <v>35</v>
      </c>
      <c r="J240" t="s">
        <v>57</v>
      </c>
      <c r="K240" t="s">
        <v>50</v>
      </c>
      <c r="L240" t="s">
        <v>44</v>
      </c>
      <c r="M240" s="3">
        <v>7100</v>
      </c>
      <c r="N240" s="4">
        <v>6.0999999999999999E-2</v>
      </c>
      <c r="O240" s="4">
        <v>0.95</v>
      </c>
      <c r="P240" t="s">
        <v>29</v>
      </c>
      <c r="R240">
        <v>106</v>
      </c>
      <c r="S240" s="3">
        <v>555.42999999999995</v>
      </c>
    </row>
    <row r="241" spans="1:19" x14ac:dyDescent="0.2">
      <c r="A241" t="s">
        <v>521</v>
      </c>
      <c r="B241" s="2">
        <v>46128</v>
      </c>
      <c r="C241" s="2">
        <v>46267</v>
      </c>
      <c r="D241" t="s">
        <v>360</v>
      </c>
      <c r="E241" t="s">
        <v>62</v>
      </c>
      <c r="F241" t="s">
        <v>22</v>
      </c>
      <c r="G241" t="s">
        <v>92</v>
      </c>
      <c r="H241" t="s">
        <v>49</v>
      </c>
      <c r="I241" t="s">
        <v>84</v>
      </c>
      <c r="J241" t="s">
        <v>26</v>
      </c>
      <c r="K241" t="s">
        <v>27</v>
      </c>
      <c r="L241" t="s">
        <v>28</v>
      </c>
      <c r="M241" s="3">
        <v>58400</v>
      </c>
      <c r="N241" s="4">
        <v>0</v>
      </c>
      <c r="O241" s="4">
        <v>0</v>
      </c>
      <c r="P241" t="s">
        <v>29</v>
      </c>
      <c r="Q241" t="s">
        <v>126</v>
      </c>
      <c r="R241">
        <v>139</v>
      </c>
      <c r="S241" s="3">
        <v>4866.67</v>
      </c>
    </row>
    <row r="242" spans="1:19" x14ac:dyDescent="0.2">
      <c r="A242" t="s">
        <v>522</v>
      </c>
      <c r="B242" s="2">
        <v>45950</v>
      </c>
      <c r="C242" s="2">
        <v>46080</v>
      </c>
      <c r="D242" t="s">
        <v>523</v>
      </c>
      <c r="E242" t="s">
        <v>111</v>
      </c>
      <c r="F242" t="s">
        <v>22</v>
      </c>
      <c r="G242" t="s">
        <v>92</v>
      </c>
      <c r="H242" t="s">
        <v>120</v>
      </c>
      <c r="I242" t="s">
        <v>65</v>
      </c>
      <c r="J242" t="s">
        <v>43</v>
      </c>
      <c r="K242" t="s">
        <v>50</v>
      </c>
      <c r="L242" t="s">
        <v>44</v>
      </c>
      <c r="M242" s="3">
        <v>64800</v>
      </c>
      <c r="N242" s="4">
        <v>5.8999999999999997E-2</v>
      </c>
      <c r="O242" s="4">
        <v>0.95</v>
      </c>
      <c r="P242" t="s">
        <v>29</v>
      </c>
      <c r="R242">
        <v>130</v>
      </c>
      <c r="S242" s="3">
        <v>5080.33</v>
      </c>
    </row>
    <row r="243" spans="1:19" x14ac:dyDescent="0.2">
      <c r="A243" t="s">
        <v>524</v>
      </c>
      <c r="B243" s="2">
        <v>46066</v>
      </c>
      <c r="C243" s="2">
        <v>46139</v>
      </c>
      <c r="D243" t="s">
        <v>122</v>
      </c>
      <c r="E243" t="s">
        <v>21</v>
      </c>
      <c r="F243" t="s">
        <v>22</v>
      </c>
      <c r="G243" t="s">
        <v>23</v>
      </c>
      <c r="H243" t="s">
        <v>98</v>
      </c>
      <c r="I243" t="s">
        <v>25</v>
      </c>
      <c r="J243" t="s">
        <v>57</v>
      </c>
      <c r="K243" t="s">
        <v>88</v>
      </c>
      <c r="L243" t="s">
        <v>28</v>
      </c>
      <c r="M243" s="3">
        <v>51500</v>
      </c>
      <c r="N243" s="4">
        <v>0.16500000000000001</v>
      </c>
      <c r="O243" s="4">
        <v>0.35</v>
      </c>
      <c r="P243" t="s">
        <v>38</v>
      </c>
      <c r="R243">
        <v>73</v>
      </c>
      <c r="S243" s="3">
        <v>3583.47</v>
      </c>
    </row>
    <row r="244" spans="1:19" x14ac:dyDescent="0.2">
      <c r="A244" t="s">
        <v>525</v>
      </c>
      <c r="B244" s="2">
        <v>45959</v>
      </c>
      <c r="C244" s="2">
        <v>46073</v>
      </c>
      <c r="D244" t="s">
        <v>526</v>
      </c>
      <c r="E244" t="s">
        <v>21</v>
      </c>
      <c r="F244" t="s">
        <v>22</v>
      </c>
      <c r="G244" t="s">
        <v>34</v>
      </c>
      <c r="H244" t="s">
        <v>49</v>
      </c>
      <c r="I244" t="s">
        <v>99</v>
      </c>
      <c r="J244" t="s">
        <v>57</v>
      </c>
      <c r="K244" t="s">
        <v>27</v>
      </c>
      <c r="L244" t="s">
        <v>28</v>
      </c>
      <c r="M244" s="3">
        <v>78600</v>
      </c>
      <c r="N244" s="4">
        <v>0.13</v>
      </c>
      <c r="O244" s="4">
        <v>0</v>
      </c>
      <c r="P244" t="s">
        <v>29</v>
      </c>
      <c r="Q244" t="s">
        <v>30</v>
      </c>
      <c r="R244">
        <v>114</v>
      </c>
      <c r="S244" s="3">
        <v>5698.56</v>
      </c>
    </row>
    <row r="245" spans="1:19" x14ac:dyDescent="0.2">
      <c r="A245" t="s">
        <v>527</v>
      </c>
      <c r="B245" s="2">
        <v>45956</v>
      </c>
      <c r="C245" s="2">
        <v>45991</v>
      </c>
      <c r="D245" t="s">
        <v>528</v>
      </c>
      <c r="E245" t="s">
        <v>91</v>
      </c>
      <c r="F245" t="s">
        <v>48</v>
      </c>
      <c r="G245" t="s">
        <v>55</v>
      </c>
      <c r="H245" t="s">
        <v>77</v>
      </c>
      <c r="I245" t="s">
        <v>42</v>
      </c>
      <c r="J245" t="s">
        <v>85</v>
      </c>
      <c r="K245" t="s">
        <v>106</v>
      </c>
      <c r="L245" t="s">
        <v>51</v>
      </c>
      <c r="M245" s="3">
        <v>18000</v>
      </c>
      <c r="N245" s="4">
        <v>0.13900000000000001</v>
      </c>
      <c r="O245" s="4">
        <v>0.2</v>
      </c>
      <c r="P245" t="s">
        <v>38</v>
      </c>
      <c r="R245">
        <v>35</v>
      </c>
      <c r="S245" s="3">
        <v>1291.3800000000001</v>
      </c>
    </row>
    <row r="246" spans="1:19" x14ac:dyDescent="0.2">
      <c r="A246" t="s">
        <v>529</v>
      </c>
      <c r="B246" s="2">
        <v>45972</v>
      </c>
      <c r="C246" s="2">
        <v>46013</v>
      </c>
      <c r="D246" t="s">
        <v>502</v>
      </c>
      <c r="E246" t="s">
        <v>21</v>
      </c>
      <c r="F246" t="s">
        <v>48</v>
      </c>
      <c r="G246" t="s">
        <v>55</v>
      </c>
      <c r="H246" t="s">
        <v>83</v>
      </c>
      <c r="I246" t="s">
        <v>25</v>
      </c>
      <c r="J246" t="s">
        <v>36</v>
      </c>
      <c r="K246" t="s">
        <v>50</v>
      </c>
      <c r="L246" t="s">
        <v>28</v>
      </c>
      <c r="M246" s="3">
        <v>11400</v>
      </c>
      <c r="N246" s="4">
        <v>0</v>
      </c>
      <c r="O246" s="4">
        <v>1</v>
      </c>
      <c r="P246" t="s">
        <v>29</v>
      </c>
      <c r="R246">
        <v>41</v>
      </c>
      <c r="S246" s="3">
        <v>950</v>
      </c>
    </row>
    <row r="247" spans="1:19" x14ac:dyDescent="0.2">
      <c r="A247" t="s">
        <v>530</v>
      </c>
      <c r="B247" s="2">
        <v>45933</v>
      </c>
      <c r="C247" s="2">
        <v>46014</v>
      </c>
      <c r="D247" t="s">
        <v>531</v>
      </c>
      <c r="E247" t="s">
        <v>54</v>
      </c>
      <c r="F247" t="s">
        <v>22</v>
      </c>
      <c r="G247" t="s">
        <v>23</v>
      </c>
      <c r="H247" t="s">
        <v>69</v>
      </c>
      <c r="I247" t="s">
        <v>99</v>
      </c>
      <c r="J247" t="s">
        <v>57</v>
      </c>
      <c r="K247" t="s">
        <v>27</v>
      </c>
      <c r="L247" t="s">
        <v>44</v>
      </c>
      <c r="M247" s="3">
        <v>39100</v>
      </c>
      <c r="N247" s="4">
        <v>0.16300000000000001</v>
      </c>
      <c r="O247" s="4">
        <v>0</v>
      </c>
      <c r="P247" t="s">
        <v>29</v>
      </c>
      <c r="Q247" t="s">
        <v>152</v>
      </c>
      <c r="R247">
        <v>81</v>
      </c>
      <c r="S247" s="3">
        <v>2728.36</v>
      </c>
    </row>
    <row r="248" spans="1:19" x14ac:dyDescent="0.2">
      <c r="A248" t="s">
        <v>532</v>
      </c>
      <c r="B248" s="2">
        <v>46066</v>
      </c>
      <c r="C248" s="2">
        <v>46195</v>
      </c>
      <c r="D248" t="s">
        <v>533</v>
      </c>
      <c r="E248" t="s">
        <v>111</v>
      </c>
      <c r="F248" t="s">
        <v>48</v>
      </c>
      <c r="G248" t="s">
        <v>23</v>
      </c>
      <c r="H248" t="s">
        <v>98</v>
      </c>
      <c r="I248" t="s">
        <v>25</v>
      </c>
      <c r="J248" t="s">
        <v>26</v>
      </c>
      <c r="K248" t="s">
        <v>106</v>
      </c>
      <c r="L248" t="s">
        <v>51</v>
      </c>
      <c r="M248" s="3">
        <v>21000</v>
      </c>
      <c r="N248" s="4">
        <v>0.161</v>
      </c>
      <c r="O248" s="4">
        <v>0.2</v>
      </c>
      <c r="P248" t="s">
        <v>38</v>
      </c>
      <c r="R248">
        <v>129</v>
      </c>
      <c r="S248" s="3">
        <v>1468.09</v>
      </c>
    </row>
    <row r="249" spans="1:19" x14ac:dyDescent="0.2">
      <c r="A249" t="s">
        <v>534</v>
      </c>
      <c r="B249" s="2">
        <v>46214</v>
      </c>
      <c r="C249" s="2">
        <v>46277</v>
      </c>
      <c r="D249" t="s">
        <v>535</v>
      </c>
      <c r="E249" t="s">
        <v>91</v>
      </c>
      <c r="F249" t="s">
        <v>48</v>
      </c>
      <c r="G249" t="s">
        <v>23</v>
      </c>
      <c r="H249" t="s">
        <v>64</v>
      </c>
      <c r="I249" t="s">
        <v>25</v>
      </c>
      <c r="J249" t="s">
        <v>26</v>
      </c>
      <c r="K249" t="s">
        <v>27</v>
      </c>
      <c r="L249" t="s">
        <v>44</v>
      </c>
      <c r="M249" s="3">
        <v>6300</v>
      </c>
      <c r="N249" s="4">
        <v>9.8000000000000004E-2</v>
      </c>
      <c r="O249" s="4">
        <v>0</v>
      </c>
      <c r="P249" t="s">
        <v>29</v>
      </c>
      <c r="Q249" t="s">
        <v>222</v>
      </c>
      <c r="R249">
        <v>63</v>
      </c>
      <c r="S249" s="3">
        <v>473.3</v>
      </c>
    </row>
    <row r="250" spans="1:19" x14ac:dyDescent="0.2">
      <c r="A250" t="s">
        <v>536</v>
      </c>
      <c r="B250" s="2">
        <v>46017</v>
      </c>
      <c r="C250" s="2">
        <v>46121</v>
      </c>
      <c r="D250" t="s">
        <v>537</v>
      </c>
      <c r="E250" t="s">
        <v>33</v>
      </c>
      <c r="F250" t="s">
        <v>48</v>
      </c>
      <c r="G250" t="s">
        <v>63</v>
      </c>
      <c r="H250" t="s">
        <v>83</v>
      </c>
      <c r="I250" t="s">
        <v>65</v>
      </c>
      <c r="J250" t="s">
        <v>85</v>
      </c>
      <c r="K250" t="s">
        <v>78</v>
      </c>
      <c r="L250" t="s">
        <v>44</v>
      </c>
      <c r="M250" s="3">
        <v>13300</v>
      </c>
      <c r="N250" s="4">
        <v>6.0999999999999999E-2</v>
      </c>
      <c r="O250" s="4">
        <v>0.6</v>
      </c>
      <c r="P250" t="s">
        <v>79</v>
      </c>
      <c r="R250">
        <v>104</v>
      </c>
      <c r="S250" s="3">
        <v>1041.06</v>
      </c>
    </row>
    <row r="251" spans="1:19" x14ac:dyDescent="0.2">
      <c r="A251" t="s">
        <v>538</v>
      </c>
      <c r="B251" s="2">
        <v>46042</v>
      </c>
      <c r="C251" s="2">
        <v>46111</v>
      </c>
      <c r="D251" t="s">
        <v>539</v>
      </c>
      <c r="E251" t="s">
        <v>33</v>
      </c>
      <c r="F251" t="s">
        <v>22</v>
      </c>
      <c r="G251" t="s">
        <v>55</v>
      </c>
      <c r="H251" t="s">
        <v>77</v>
      </c>
      <c r="I251" t="s">
        <v>65</v>
      </c>
      <c r="J251" t="s">
        <v>36</v>
      </c>
      <c r="K251" t="s">
        <v>106</v>
      </c>
      <c r="L251" t="s">
        <v>28</v>
      </c>
      <c r="M251" s="3">
        <v>62600</v>
      </c>
      <c r="N251" s="4">
        <v>0.20699999999999999</v>
      </c>
      <c r="O251" s="4">
        <v>0.2</v>
      </c>
      <c r="P251" t="s">
        <v>38</v>
      </c>
      <c r="R251">
        <v>69</v>
      </c>
      <c r="S251" s="3">
        <v>4134.99</v>
      </c>
    </row>
    <row r="252" spans="1:19" x14ac:dyDescent="0.2">
      <c r="A252" t="s">
        <v>540</v>
      </c>
      <c r="B252" s="2">
        <v>45968</v>
      </c>
      <c r="C252" s="2">
        <v>46054</v>
      </c>
      <c r="D252" t="s">
        <v>298</v>
      </c>
      <c r="E252" t="s">
        <v>91</v>
      </c>
      <c r="F252" t="s">
        <v>74</v>
      </c>
      <c r="G252" t="s">
        <v>63</v>
      </c>
      <c r="H252" t="s">
        <v>77</v>
      </c>
      <c r="I252" t="s">
        <v>35</v>
      </c>
      <c r="J252" t="s">
        <v>26</v>
      </c>
      <c r="K252" t="s">
        <v>88</v>
      </c>
      <c r="L252" t="s">
        <v>51</v>
      </c>
      <c r="M252" s="3">
        <v>316000</v>
      </c>
      <c r="N252" s="4">
        <v>0.17499999999999999</v>
      </c>
      <c r="O252" s="4">
        <v>0.35</v>
      </c>
      <c r="P252" t="s">
        <v>38</v>
      </c>
      <c r="R252">
        <v>86</v>
      </c>
      <c r="S252" s="3">
        <v>21731.74</v>
      </c>
    </row>
    <row r="253" spans="1:19" x14ac:dyDescent="0.2">
      <c r="A253" t="s">
        <v>541</v>
      </c>
      <c r="B253" s="2">
        <v>46016</v>
      </c>
      <c r="C253" s="2">
        <v>46050</v>
      </c>
      <c r="D253" t="s">
        <v>542</v>
      </c>
      <c r="E253" t="s">
        <v>33</v>
      </c>
      <c r="F253" t="s">
        <v>22</v>
      </c>
      <c r="G253" t="s">
        <v>55</v>
      </c>
      <c r="H253" t="s">
        <v>56</v>
      </c>
      <c r="I253" t="s">
        <v>65</v>
      </c>
      <c r="J253" t="s">
        <v>57</v>
      </c>
      <c r="K253" t="s">
        <v>37</v>
      </c>
      <c r="L253" t="s">
        <v>51</v>
      </c>
      <c r="M253" s="3">
        <v>50900</v>
      </c>
      <c r="N253" s="4">
        <v>0.14499999999999999</v>
      </c>
      <c r="O253" s="4">
        <v>0.1</v>
      </c>
      <c r="P253" t="s">
        <v>38</v>
      </c>
      <c r="R253">
        <v>34</v>
      </c>
      <c r="S253" s="3">
        <v>3627.64</v>
      </c>
    </row>
    <row r="254" spans="1:19" x14ac:dyDescent="0.2">
      <c r="A254" t="s">
        <v>543</v>
      </c>
      <c r="B254" s="2">
        <v>45995</v>
      </c>
      <c r="C254" s="2">
        <v>46101</v>
      </c>
      <c r="D254" t="s">
        <v>544</v>
      </c>
      <c r="E254" t="s">
        <v>82</v>
      </c>
      <c r="F254" t="s">
        <v>48</v>
      </c>
      <c r="G254" t="s">
        <v>92</v>
      </c>
      <c r="H254" t="s">
        <v>83</v>
      </c>
      <c r="I254" t="s">
        <v>35</v>
      </c>
      <c r="J254" t="s">
        <v>43</v>
      </c>
      <c r="K254" t="s">
        <v>37</v>
      </c>
      <c r="L254" t="s">
        <v>28</v>
      </c>
      <c r="M254" s="3">
        <v>16200</v>
      </c>
      <c r="N254" s="4">
        <v>0.11</v>
      </c>
      <c r="O254" s="4">
        <v>0.15</v>
      </c>
      <c r="P254" t="s">
        <v>38</v>
      </c>
      <c r="R254">
        <v>106</v>
      </c>
      <c r="S254" s="3">
        <v>1201.83</v>
      </c>
    </row>
    <row r="255" spans="1:19" x14ac:dyDescent="0.2">
      <c r="A255" t="s">
        <v>545</v>
      </c>
      <c r="B255" s="2">
        <v>46257</v>
      </c>
      <c r="C255" s="2">
        <v>46277</v>
      </c>
      <c r="D255" t="s">
        <v>546</v>
      </c>
      <c r="E255" t="s">
        <v>82</v>
      </c>
      <c r="F255" t="s">
        <v>48</v>
      </c>
      <c r="G255" t="s">
        <v>55</v>
      </c>
      <c r="H255" t="s">
        <v>24</v>
      </c>
      <c r="I255" t="s">
        <v>25</v>
      </c>
      <c r="J255" t="s">
        <v>36</v>
      </c>
      <c r="K255" t="s">
        <v>50</v>
      </c>
      <c r="L255" t="s">
        <v>28</v>
      </c>
      <c r="M255" s="3">
        <v>25000</v>
      </c>
      <c r="N255" s="4">
        <v>0</v>
      </c>
      <c r="O255" s="4">
        <v>1</v>
      </c>
      <c r="P255" t="s">
        <v>29</v>
      </c>
      <c r="R255">
        <v>20</v>
      </c>
      <c r="S255" s="3">
        <v>2083.33</v>
      </c>
    </row>
    <row r="256" spans="1:19" x14ac:dyDescent="0.2">
      <c r="A256" t="s">
        <v>547</v>
      </c>
      <c r="B256" s="2">
        <v>45995</v>
      </c>
      <c r="C256" s="2">
        <v>46113</v>
      </c>
      <c r="D256" t="s">
        <v>234</v>
      </c>
      <c r="E256" t="s">
        <v>91</v>
      </c>
      <c r="F256" t="s">
        <v>74</v>
      </c>
      <c r="G256" t="s">
        <v>92</v>
      </c>
      <c r="H256" t="s">
        <v>95</v>
      </c>
      <c r="I256" t="s">
        <v>25</v>
      </c>
      <c r="J256" t="s">
        <v>26</v>
      </c>
      <c r="K256" t="s">
        <v>106</v>
      </c>
      <c r="L256" t="s">
        <v>28</v>
      </c>
      <c r="M256" s="3">
        <v>172900</v>
      </c>
      <c r="N256" s="4">
        <v>4.5999999999999999E-2</v>
      </c>
      <c r="O256" s="4">
        <v>0.2</v>
      </c>
      <c r="P256" t="s">
        <v>38</v>
      </c>
      <c r="R256">
        <v>118</v>
      </c>
      <c r="S256" s="3">
        <v>13740.82</v>
      </c>
    </row>
    <row r="257" spans="1:19" x14ac:dyDescent="0.2">
      <c r="A257" t="s">
        <v>548</v>
      </c>
      <c r="B257" s="2">
        <v>46265</v>
      </c>
      <c r="C257" s="2">
        <v>46286</v>
      </c>
      <c r="D257" t="s">
        <v>549</v>
      </c>
      <c r="E257" t="s">
        <v>21</v>
      </c>
      <c r="F257" t="s">
        <v>22</v>
      </c>
      <c r="G257" t="s">
        <v>63</v>
      </c>
      <c r="H257" t="s">
        <v>64</v>
      </c>
      <c r="I257" t="s">
        <v>42</v>
      </c>
      <c r="J257" t="s">
        <v>43</v>
      </c>
      <c r="K257" t="s">
        <v>78</v>
      </c>
      <c r="L257" t="s">
        <v>28</v>
      </c>
      <c r="M257" s="3">
        <v>49600</v>
      </c>
      <c r="N257" s="4">
        <v>0.17199999999999999</v>
      </c>
      <c r="O257" s="4">
        <v>0.6</v>
      </c>
      <c r="P257" t="s">
        <v>79</v>
      </c>
      <c r="R257">
        <v>21</v>
      </c>
      <c r="S257" s="3">
        <v>3424.27</v>
      </c>
    </row>
    <row r="258" spans="1:19" x14ac:dyDescent="0.2">
      <c r="A258" t="s">
        <v>550</v>
      </c>
      <c r="B258" s="2">
        <v>46134</v>
      </c>
      <c r="C258" s="2">
        <v>46268</v>
      </c>
      <c r="D258" t="s">
        <v>551</v>
      </c>
      <c r="E258" t="s">
        <v>82</v>
      </c>
      <c r="F258" t="s">
        <v>74</v>
      </c>
      <c r="G258" t="s">
        <v>55</v>
      </c>
      <c r="H258" t="s">
        <v>69</v>
      </c>
      <c r="I258" t="s">
        <v>99</v>
      </c>
      <c r="J258" t="s">
        <v>85</v>
      </c>
      <c r="K258" t="s">
        <v>50</v>
      </c>
      <c r="L258" t="s">
        <v>28</v>
      </c>
      <c r="M258" s="3">
        <v>144300</v>
      </c>
      <c r="N258" s="4">
        <v>0.1</v>
      </c>
      <c r="O258" s="4">
        <v>1</v>
      </c>
      <c r="P258" t="s">
        <v>29</v>
      </c>
      <c r="R258">
        <v>134</v>
      </c>
      <c r="S258" s="3">
        <v>10818.9</v>
      </c>
    </row>
    <row r="259" spans="1:19" x14ac:dyDescent="0.2">
      <c r="A259" t="s">
        <v>552</v>
      </c>
      <c r="B259" s="2">
        <v>46103</v>
      </c>
      <c r="C259" s="2">
        <v>46146</v>
      </c>
      <c r="D259" t="s">
        <v>553</v>
      </c>
      <c r="E259" t="s">
        <v>62</v>
      </c>
      <c r="F259" t="s">
        <v>74</v>
      </c>
      <c r="G259" t="s">
        <v>63</v>
      </c>
      <c r="H259" t="s">
        <v>24</v>
      </c>
      <c r="I259" t="s">
        <v>35</v>
      </c>
      <c r="J259" t="s">
        <v>26</v>
      </c>
      <c r="K259" t="s">
        <v>27</v>
      </c>
      <c r="L259" t="s">
        <v>28</v>
      </c>
      <c r="M259" s="3">
        <v>179600</v>
      </c>
      <c r="N259" s="4">
        <v>0.188</v>
      </c>
      <c r="O259" s="4">
        <v>0</v>
      </c>
      <c r="P259" t="s">
        <v>29</v>
      </c>
      <c r="Q259" t="s">
        <v>45</v>
      </c>
      <c r="R259">
        <v>43</v>
      </c>
      <c r="S259" s="3">
        <v>12157.18</v>
      </c>
    </row>
    <row r="260" spans="1:19" x14ac:dyDescent="0.2">
      <c r="A260" t="s">
        <v>554</v>
      </c>
      <c r="B260" s="2">
        <v>46005</v>
      </c>
      <c r="C260" s="2">
        <v>46173</v>
      </c>
      <c r="D260" t="s">
        <v>452</v>
      </c>
      <c r="E260" t="s">
        <v>91</v>
      </c>
      <c r="F260" t="s">
        <v>22</v>
      </c>
      <c r="G260" t="s">
        <v>23</v>
      </c>
      <c r="H260" t="s">
        <v>137</v>
      </c>
      <c r="I260" t="s">
        <v>35</v>
      </c>
      <c r="J260" t="s">
        <v>26</v>
      </c>
      <c r="K260" t="s">
        <v>27</v>
      </c>
      <c r="L260" t="s">
        <v>28</v>
      </c>
      <c r="M260" s="3">
        <v>67300</v>
      </c>
      <c r="N260" s="4">
        <v>0.14299999999999999</v>
      </c>
      <c r="O260" s="4">
        <v>0</v>
      </c>
      <c r="P260" t="s">
        <v>29</v>
      </c>
      <c r="Q260" t="s">
        <v>209</v>
      </c>
      <c r="R260">
        <v>168</v>
      </c>
      <c r="S260" s="3">
        <v>4809.08</v>
      </c>
    </row>
    <row r="261" spans="1:19" x14ac:dyDescent="0.2">
      <c r="A261" t="s">
        <v>555</v>
      </c>
      <c r="B261" s="2">
        <v>46239</v>
      </c>
      <c r="C261" s="2">
        <v>46300</v>
      </c>
      <c r="D261" t="s">
        <v>157</v>
      </c>
      <c r="E261" t="s">
        <v>33</v>
      </c>
      <c r="F261" t="s">
        <v>48</v>
      </c>
      <c r="G261" t="s">
        <v>63</v>
      </c>
      <c r="H261" t="s">
        <v>41</v>
      </c>
      <c r="I261" t="s">
        <v>65</v>
      </c>
      <c r="J261" t="s">
        <v>43</v>
      </c>
      <c r="K261" t="s">
        <v>106</v>
      </c>
      <c r="L261" t="s">
        <v>51</v>
      </c>
      <c r="M261" s="3">
        <v>11600</v>
      </c>
      <c r="N261" s="4">
        <v>7.9000000000000001E-2</v>
      </c>
      <c r="O261" s="4">
        <v>0.2</v>
      </c>
      <c r="P261" t="s">
        <v>38</v>
      </c>
      <c r="R261">
        <v>61</v>
      </c>
      <c r="S261" s="3">
        <v>890.36</v>
      </c>
    </row>
    <row r="262" spans="1:19" x14ac:dyDescent="0.2">
      <c r="A262" t="s">
        <v>556</v>
      </c>
      <c r="B262" s="2">
        <v>46047</v>
      </c>
      <c r="C262" s="2">
        <v>46116</v>
      </c>
      <c r="D262" t="s">
        <v>557</v>
      </c>
      <c r="E262" t="s">
        <v>54</v>
      </c>
      <c r="F262" t="s">
        <v>48</v>
      </c>
      <c r="G262" t="s">
        <v>55</v>
      </c>
      <c r="H262" t="s">
        <v>56</v>
      </c>
      <c r="I262" t="s">
        <v>65</v>
      </c>
      <c r="J262" t="s">
        <v>85</v>
      </c>
      <c r="K262" t="s">
        <v>58</v>
      </c>
      <c r="L262" t="s">
        <v>51</v>
      </c>
      <c r="M262" s="3">
        <v>23600</v>
      </c>
      <c r="N262" s="4">
        <v>0.16300000000000001</v>
      </c>
      <c r="O262" s="4">
        <v>0.75</v>
      </c>
      <c r="P262" t="s">
        <v>59</v>
      </c>
      <c r="R262">
        <v>69</v>
      </c>
      <c r="S262" s="3">
        <v>1645.65</v>
      </c>
    </row>
    <row r="263" spans="1:19" x14ac:dyDescent="0.2">
      <c r="A263" t="s">
        <v>558</v>
      </c>
      <c r="B263" s="2">
        <v>46029</v>
      </c>
      <c r="C263" s="2">
        <v>46123</v>
      </c>
      <c r="D263" t="s">
        <v>559</v>
      </c>
      <c r="E263" t="s">
        <v>21</v>
      </c>
      <c r="F263" t="s">
        <v>48</v>
      </c>
      <c r="G263" t="s">
        <v>63</v>
      </c>
      <c r="H263" t="s">
        <v>95</v>
      </c>
      <c r="I263" t="s">
        <v>25</v>
      </c>
      <c r="J263" t="s">
        <v>85</v>
      </c>
      <c r="K263" t="s">
        <v>58</v>
      </c>
      <c r="L263" t="s">
        <v>51</v>
      </c>
      <c r="M263" s="3">
        <v>16600</v>
      </c>
      <c r="N263" s="4">
        <v>5.3999999999999999E-2</v>
      </c>
      <c r="O263" s="4">
        <v>0.75</v>
      </c>
      <c r="P263" t="s">
        <v>59</v>
      </c>
      <c r="R263">
        <v>94</v>
      </c>
      <c r="S263" s="3">
        <v>1308.31</v>
      </c>
    </row>
    <row r="264" spans="1:19" x14ac:dyDescent="0.2">
      <c r="A264" t="s">
        <v>560</v>
      </c>
      <c r="B264" s="2">
        <v>46230</v>
      </c>
      <c r="C264" s="2">
        <v>46257</v>
      </c>
      <c r="D264" t="s">
        <v>194</v>
      </c>
      <c r="E264" t="s">
        <v>62</v>
      </c>
      <c r="F264" t="s">
        <v>48</v>
      </c>
      <c r="G264" t="s">
        <v>34</v>
      </c>
      <c r="H264" t="s">
        <v>83</v>
      </c>
      <c r="I264" t="s">
        <v>35</v>
      </c>
      <c r="J264" t="s">
        <v>43</v>
      </c>
      <c r="K264" t="s">
        <v>27</v>
      </c>
      <c r="L264" t="s">
        <v>28</v>
      </c>
      <c r="M264" s="3">
        <v>20700</v>
      </c>
      <c r="N264" s="4">
        <v>0.126</v>
      </c>
      <c r="O264" s="4">
        <v>0</v>
      </c>
      <c r="P264" t="s">
        <v>29</v>
      </c>
      <c r="Q264" t="s">
        <v>152</v>
      </c>
      <c r="R264">
        <v>27</v>
      </c>
      <c r="S264" s="3">
        <v>1507.58</v>
      </c>
    </row>
    <row r="265" spans="1:19" x14ac:dyDescent="0.2">
      <c r="A265" t="s">
        <v>561</v>
      </c>
      <c r="B265" s="2">
        <v>45933</v>
      </c>
      <c r="C265" s="2">
        <v>45972</v>
      </c>
      <c r="D265" t="s">
        <v>562</v>
      </c>
      <c r="E265" t="s">
        <v>62</v>
      </c>
      <c r="F265" t="s">
        <v>48</v>
      </c>
      <c r="G265" t="s">
        <v>92</v>
      </c>
      <c r="H265" t="s">
        <v>120</v>
      </c>
      <c r="I265" t="s">
        <v>65</v>
      </c>
      <c r="J265" t="s">
        <v>43</v>
      </c>
      <c r="K265" t="s">
        <v>58</v>
      </c>
      <c r="L265" t="s">
        <v>51</v>
      </c>
      <c r="M265" s="3">
        <v>25300</v>
      </c>
      <c r="N265" s="4">
        <v>0.16200000000000001</v>
      </c>
      <c r="O265" s="4">
        <v>0.75</v>
      </c>
      <c r="P265" t="s">
        <v>59</v>
      </c>
      <c r="R265">
        <v>39</v>
      </c>
      <c r="S265" s="3">
        <v>1766.07</v>
      </c>
    </row>
    <row r="266" spans="1:19" x14ac:dyDescent="0.2">
      <c r="A266" t="s">
        <v>563</v>
      </c>
      <c r="B266" s="2">
        <v>45997</v>
      </c>
      <c r="C266" s="2">
        <v>46099</v>
      </c>
      <c r="D266" t="s">
        <v>564</v>
      </c>
      <c r="E266" t="s">
        <v>68</v>
      </c>
      <c r="F266" t="s">
        <v>48</v>
      </c>
      <c r="G266" t="s">
        <v>63</v>
      </c>
      <c r="H266" t="s">
        <v>24</v>
      </c>
      <c r="I266" t="s">
        <v>65</v>
      </c>
      <c r="J266" t="s">
        <v>43</v>
      </c>
      <c r="K266" t="s">
        <v>88</v>
      </c>
      <c r="L266" t="s">
        <v>51</v>
      </c>
      <c r="M266" s="3">
        <v>28000</v>
      </c>
      <c r="N266" s="4">
        <v>0.248</v>
      </c>
      <c r="O266" s="4">
        <v>0.35</v>
      </c>
      <c r="P266" t="s">
        <v>38</v>
      </c>
      <c r="R266">
        <v>102</v>
      </c>
      <c r="S266" s="3">
        <v>1754.39</v>
      </c>
    </row>
    <row r="267" spans="1:19" x14ac:dyDescent="0.2">
      <c r="A267" t="s">
        <v>565</v>
      </c>
      <c r="B267" s="2">
        <v>46126</v>
      </c>
      <c r="C267" s="2">
        <v>46215</v>
      </c>
      <c r="D267" t="s">
        <v>566</v>
      </c>
      <c r="E267" t="s">
        <v>91</v>
      </c>
      <c r="F267" t="s">
        <v>48</v>
      </c>
      <c r="G267" t="s">
        <v>92</v>
      </c>
      <c r="H267" t="s">
        <v>49</v>
      </c>
      <c r="I267" t="s">
        <v>35</v>
      </c>
      <c r="J267" t="s">
        <v>57</v>
      </c>
      <c r="K267" t="s">
        <v>106</v>
      </c>
      <c r="L267" t="s">
        <v>51</v>
      </c>
      <c r="M267" s="3">
        <v>14200</v>
      </c>
      <c r="N267" s="4">
        <v>2.9000000000000001E-2</v>
      </c>
      <c r="O267" s="4">
        <v>0.25</v>
      </c>
      <c r="P267" t="s">
        <v>38</v>
      </c>
      <c r="R267">
        <v>89</v>
      </c>
      <c r="S267" s="3">
        <v>1149.03</v>
      </c>
    </row>
    <row r="268" spans="1:19" x14ac:dyDescent="0.2">
      <c r="A268" t="s">
        <v>567</v>
      </c>
      <c r="B268" s="2">
        <v>45955</v>
      </c>
      <c r="C268" s="2">
        <v>46027</v>
      </c>
      <c r="D268" t="s">
        <v>380</v>
      </c>
      <c r="E268" t="s">
        <v>82</v>
      </c>
      <c r="F268" t="s">
        <v>48</v>
      </c>
      <c r="G268" t="s">
        <v>34</v>
      </c>
      <c r="H268" t="s">
        <v>56</v>
      </c>
      <c r="I268" t="s">
        <v>99</v>
      </c>
      <c r="J268" t="s">
        <v>26</v>
      </c>
      <c r="K268" t="s">
        <v>58</v>
      </c>
      <c r="L268" t="s">
        <v>44</v>
      </c>
      <c r="M268" s="3">
        <v>12500</v>
      </c>
      <c r="N268" s="4">
        <v>0.24</v>
      </c>
      <c r="O268" s="4">
        <v>0.7</v>
      </c>
      <c r="P268" t="s">
        <v>59</v>
      </c>
      <c r="R268">
        <v>72</v>
      </c>
      <c r="S268" s="3">
        <v>791.95</v>
      </c>
    </row>
    <row r="269" spans="1:19" x14ac:dyDescent="0.2">
      <c r="A269" t="s">
        <v>568</v>
      </c>
      <c r="B269" s="2">
        <v>46112</v>
      </c>
      <c r="C269" s="2">
        <v>46250</v>
      </c>
      <c r="D269" t="s">
        <v>569</v>
      </c>
      <c r="E269" t="s">
        <v>111</v>
      </c>
      <c r="F269" t="s">
        <v>22</v>
      </c>
      <c r="G269" t="s">
        <v>23</v>
      </c>
      <c r="H269" t="s">
        <v>98</v>
      </c>
      <c r="I269" t="s">
        <v>65</v>
      </c>
      <c r="J269" t="s">
        <v>43</v>
      </c>
      <c r="K269" t="s">
        <v>37</v>
      </c>
      <c r="L269" t="s">
        <v>28</v>
      </c>
      <c r="M269" s="3">
        <v>55700</v>
      </c>
      <c r="N269" s="4">
        <v>0.126</v>
      </c>
      <c r="O269" s="4">
        <v>0.1</v>
      </c>
      <c r="P269" t="s">
        <v>38</v>
      </c>
      <c r="R269">
        <v>138</v>
      </c>
      <c r="S269" s="3">
        <v>4055.51</v>
      </c>
    </row>
    <row r="270" spans="1:19" x14ac:dyDescent="0.2">
      <c r="A270" t="s">
        <v>570</v>
      </c>
      <c r="B270" s="2">
        <v>46273</v>
      </c>
      <c r="C270" s="2">
        <v>46317</v>
      </c>
      <c r="D270" t="s">
        <v>571</v>
      </c>
      <c r="E270" t="s">
        <v>91</v>
      </c>
      <c r="F270" t="s">
        <v>48</v>
      </c>
      <c r="G270" t="s">
        <v>55</v>
      </c>
      <c r="H270" t="s">
        <v>83</v>
      </c>
      <c r="I270" t="s">
        <v>35</v>
      </c>
      <c r="J270" t="s">
        <v>57</v>
      </c>
      <c r="K270" t="s">
        <v>106</v>
      </c>
      <c r="L270" t="s">
        <v>51</v>
      </c>
      <c r="M270" s="3">
        <v>26700</v>
      </c>
      <c r="N270" s="4">
        <v>0.19</v>
      </c>
      <c r="O270" s="4">
        <v>0.2</v>
      </c>
      <c r="P270" t="s">
        <v>38</v>
      </c>
      <c r="R270">
        <v>44</v>
      </c>
      <c r="S270" s="3">
        <v>1802.13</v>
      </c>
    </row>
    <row r="271" spans="1:19" x14ac:dyDescent="0.2">
      <c r="A271" t="s">
        <v>572</v>
      </c>
      <c r="B271" s="2">
        <v>45951</v>
      </c>
      <c r="C271" s="2">
        <v>46008</v>
      </c>
      <c r="D271" t="s">
        <v>573</v>
      </c>
      <c r="E271" t="s">
        <v>68</v>
      </c>
      <c r="F271" t="s">
        <v>22</v>
      </c>
      <c r="G271" t="s">
        <v>23</v>
      </c>
      <c r="H271" t="s">
        <v>24</v>
      </c>
      <c r="I271" t="s">
        <v>35</v>
      </c>
      <c r="J271" t="s">
        <v>26</v>
      </c>
      <c r="K271" t="s">
        <v>106</v>
      </c>
      <c r="L271" t="s">
        <v>51</v>
      </c>
      <c r="M271" s="3">
        <v>83300</v>
      </c>
      <c r="N271" s="4">
        <v>4.9000000000000002E-2</v>
      </c>
      <c r="O271" s="4">
        <v>0.15</v>
      </c>
      <c r="P271" t="s">
        <v>38</v>
      </c>
      <c r="R271">
        <v>57</v>
      </c>
      <c r="S271" s="3">
        <v>6600.29</v>
      </c>
    </row>
    <row r="272" spans="1:19" x14ac:dyDescent="0.2">
      <c r="A272" t="s">
        <v>574</v>
      </c>
      <c r="B272" s="2">
        <v>46021</v>
      </c>
      <c r="C272" s="2">
        <v>46157</v>
      </c>
      <c r="D272" t="s">
        <v>575</v>
      </c>
      <c r="E272" t="s">
        <v>111</v>
      </c>
      <c r="F272" t="s">
        <v>48</v>
      </c>
      <c r="G272" t="s">
        <v>92</v>
      </c>
      <c r="H272" t="s">
        <v>120</v>
      </c>
      <c r="I272" t="s">
        <v>42</v>
      </c>
      <c r="J272" t="s">
        <v>36</v>
      </c>
      <c r="K272" t="s">
        <v>37</v>
      </c>
      <c r="L272" t="s">
        <v>44</v>
      </c>
      <c r="M272" s="3">
        <v>11100</v>
      </c>
      <c r="N272" s="4">
        <v>8.1000000000000003E-2</v>
      </c>
      <c r="O272" s="4">
        <v>0.1</v>
      </c>
      <c r="P272" t="s">
        <v>38</v>
      </c>
      <c r="R272">
        <v>136</v>
      </c>
      <c r="S272" s="3">
        <v>849.83</v>
      </c>
    </row>
    <row r="273" spans="1:19" x14ac:dyDescent="0.2">
      <c r="A273" t="s">
        <v>576</v>
      </c>
      <c r="B273" s="2">
        <v>46099</v>
      </c>
      <c r="C273" s="2">
        <v>46132</v>
      </c>
      <c r="D273" t="s">
        <v>115</v>
      </c>
      <c r="E273" t="s">
        <v>54</v>
      </c>
      <c r="F273" t="s">
        <v>48</v>
      </c>
      <c r="G273" t="s">
        <v>34</v>
      </c>
      <c r="H273" t="s">
        <v>49</v>
      </c>
      <c r="I273" t="s">
        <v>35</v>
      </c>
      <c r="J273" t="s">
        <v>43</v>
      </c>
      <c r="K273" t="s">
        <v>58</v>
      </c>
      <c r="L273" t="s">
        <v>28</v>
      </c>
      <c r="M273" s="3">
        <v>24700</v>
      </c>
      <c r="N273" s="4">
        <v>0.26500000000000001</v>
      </c>
      <c r="O273" s="4">
        <v>0.75</v>
      </c>
      <c r="P273" t="s">
        <v>59</v>
      </c>
      <c r="R273">
        <v>33</v>
      </c>
      <c r="S273" s="3">
        <v>1513.66</v>
      </c>
    </row>
    <row r="274" spans="1:19" x14ac:dyDescent="0.2">
      <c r="A274" t="s">
        <v>577</v>
      </c>
      <c r="B274" s="2">
        <v>46276</v>
      </c>
      <c r="C274" s="2">
        <v>46284</v>
      </c>
      <c r="D274" t="s">
        <v>578</v>
      </c>
      <c r="E274" t="s">
        <v>21</v>
      </c>
      <c r="F274" t="s">
        <v>74</v>
      </c>
      <c r="G274" t="s">
        <v>92</v>
      </c>
      <c r="H274" t="s">
        <v>77</v>
      </c>
      <c r="I274" t="s">
        <v>65</v>
      </c>
      <c r="J274" t="s">
        <v>26</v>
      </c>
      <c r="K274" t="s">
        <v>37</v>
      </c>
      <c r="L274" t="s">
        <v>28</v>
      </c>
      <c r="M274" s="3">
        <v>153300</v>
      </c>
      <c r="N274" s="4">
        <v>3.4000000000000002E-2</v>
      </c>
      <c r="O274" s="4">
        <v>0.1</v>
      </c>
      <c r="P274" t="s">
        <v>38</v>
      </c>
      <c r="R274">
        <v>8</v>
      </c>
      <c r="S274" s="3">
        <v>12344.37</v>
      </c>
    </row>
    <row r="275" spans="1:19" x14ac:dyDescent="0.2">
      <c r="A275" t="s">
        <v>579</v>
      </c>
      <c r="B275" s="2">
        <v>46170</v>
      </c>
      <c r="C275" s="2">
        <v>46277</v>
      </c>
      <c r="D275" t="s">
        <v>507</v>
      </c>
      <c r="E275" t="s">
        <v>91</v>
      </c>
      <c r="F275" t="s">
        <v>48</v>
      </c>
      <c r="G275" t="s">
        <v>34</v>
      </c>
      <c r="H275" t="s">
        <v>83</v>
      </c>
      <c r="I275" t="s">
        <v>99</v>
      </c>
      <c r="J275" t="s">
        <v>85</v>
      </c>
      <c r="K275" t="s">
        <v>27</v>
      </c>
      <c r="L275" t="s">
        <v>51</v>
      </c>
      <c r="M275" s="3">
        <v>22500</v>
      </c>
      <c r="N275" s="4">
        <v>0.158</v>
      </c>
      <c r="O275" s="4">
        <v>0.05</v>
      </c>
      <c r="P275" t="s">
        <v>29</v>
      </c>
      <c r="Q275" t="s">
        <v>209</v>
      </c>
      <c r="R275">
        <v>107</v>
      </c>
      <c r="S275" s="3">
        <v>1579.23</v>
      </c>
    </row>
    <row r="276" spans="1:19" x14ac:dyDescent="0.2">
      <c r="A276" t="s">
        <v>580</v>
      </c>
      <c r="B276" s="2">
        <v>46140</v>
      </c>
      <c r="C276" s="2">
        <v>46263</v>
      </c>
      <c r="D276" t="s">
        <v>581</v>
      </c>
      <c r="E276" t="s">
        <v>33</v>
      </c>
      <c r="F276" t="s">
        <v>22</v>
      </c>
      <c r="G276" t="s">
        <v>23</v>
      </c>
      <c r="H276" t="s">
        <v>64</v>
      </c>
      <c r="I276" t="s">
        <v>84</v>
      </c>
      <c r="J276" t="s">
        <v>36</v>
      </c>
      <c r="K276" t="s">
        <v>78</v>
      </c>
      <c r="L276" t="s">
        <v>44</v>
      </c>
      <c r="M276" s="3">
        <v>34600</v>
      </c>
      <c r="N276" s="4">
        <v>0</v>
      </c>
      <c r="O276" s="4">
        <v>0.55000000000000004</v>
      </c>
      <c r="P276" t="s">
        <v>79</v>
      </c>
      <c r="R276">
        <v>123</v>
      </c>
      <c r="S276" s="3">
        <v>2883.33</v>
      </c>
    </row>
    <row r="277" spans="1:19" x14ac:dyDescent="0.2">
      <c r="A277" t="s">
        <v>582</v>
      </c>
      <c r="B277" s="2">
        <v>46048</v>
      </c>
      <c r="C277" s="2">
        <v>46112</v>
      </c>
      <c r="D277" t="s">
        <v>583</v>
      </c>
      <c r="E277" t="s">
        <v>33</v>
      </c>
      <c r="F277" t="s">
        <v>22</v>
      </c>
      <c r="G277" t="s">
        <v>55</v>
      </c>
      <c r="H277" t="s">
        <v>95</v>
      </c>
      <c r="I277" t="s">
        <v>42</v>
      </c>
      <c r="J277" t="s">
        <v>85</v>
      </c>
      <c r="K277" t="s">
        <v>106</v>
      </c>
      <c r="L277" t="s">
        <v>51</v>
      </c>
      <c r="M277" s="3">
        <v>40000</v>
      </c>
      <c r="N277" s="4">
        <v>0.129</v>
      </c>
      <c r="O277" s="4">
        <v>0.15</v>
      </c>
      <c r="P277" t="s">
        <v>38</v>
      </c>
      <c r="R277">
        <v>64</v>
      </c>
      <c r="S277" s="3">
        <v>2903.87</v>
      </c>
    </row>
    <row r="278" spans="1:19" x14ac:dyDescent="0.2">
      <c r="A278" t="s">
        <v>584</v>
      </c>
      <c r="B278" s="2">
        <v>46214</v>
      </c>
      <c r="C278" s="2">
        <v>46250</v>
      </c>
      <c r="D278" t="s">
        <v>585</v>
      </c>
      <c r="E278" t="s">
        <v>82</v>
      </c>
      <c r="F278" t="s">
        <v>48</v>
      </c>
      <c r="G278" t="s">
        <v>63</v>
      </c>
      <c r="H278" t="s">
        <v>24</v>
      </c>
      <c r="I278" t="s">
        <v>99</v>
      </c>
      <c r="J278" t="s">
        <v>36</v>
      </c>
      <c r="K278" t="s">
        <v>58</v>
      </c>
      <c r="L278" t="s">
        <v>44</v>
      </c>
      <c r="M278" s="3">
        <v>27600</v>
      </c>
      <c r="N278" s="4">
        <v>0.16200000000000001</v>
      </c>
      <c r="O278" s="4">
        <v>0.75</v>
      </c>
      <c r="P278" t="s">
        <v>59</v>
      </c>
      <c r="R278">
        <v>36</v>
      </c>
      <c r="S278" s="3">
        <v>1928.41</v>
      </c>
    </row>
    <row r="279" spans="1:19" x14ac:dyDescent="0.2">
      <c r="A279" t="s">
        <v>586</v>
      </c>
      <c r="B279" s="2">
        <v>46021</v>
      </c>
      <c r="C279" s="2">
        <v>46037</v>
      </c>
      <c r="D279" t="s">
        <v>372</v>
      </c>
      <c r="E279" t="s">
        <v>111</v>
      </c>
      <c r="F279" t="s">
        <v>22</v>
      </c>
      <c r="G279" t="s">
        <v>63</v>
      </c>
      <c r="H279" t="s">
        <v>64</v>
      </c>
      <c r="I279" t="s">
        <v>99</v>
      </c>
      <c r="J279" t="s">
        <v>26</v>
      </c>
      <c r="K279" t="s">
        <v>50</v>
      </c>
      <c r="L279" t="s">
        <v>44</v>
      </c>
      <c r="M279" s="3">
        <v>95900</v>
      </c>
      <c r="N279" s="4">
        <v>0.113</v>
      </c>
      <c r="O279" s="4">
        <v>1</v>
      </c>
      <c r="P279" t="s">
        <v>29</v>
      </c>
      <c r="R279">
        <v>16</v>
      </c>
      <c r="S279" s="3">
        <v>7088.08</v>
      </c>
    </row>
    <row r="280" spans="1:19" x14ac:dyDescent="0.2">
      <c r="A280" t="s">
        <v>587</v>
      </c>
      <c r="B280" s="2">
        <v>46231</v>
      </c>
      <c r="C280" s="2">
        <v>46306</v>
      </c>
      <c r="D280" t="s">
        <v>588</v>
      </c>
      <c r="E280" t="s">
        <v>21</v>
      </c>
      <c r="F280" t="s">
        <v>74</v>
      </c>
      <c r="G280" t="s">
        <v>92</v>
      </c>
      <c r="H280" t="s">
        <v>69</v>
      </c>
      <c r="I280" t="s">
        <v>84</v>
      </c>
      <c r="J280" t="s">
        <v>43</v>
      </c>
      <c r="K280" t="s">
        <v>78</v>
      </c>
      <c r="L280" t="s">
        <v>28</v>
      </c>
      <c r="M280" s="3">
        <v>233400</v>
      </c>
      <c r="N280" s="4">
        <v>7.0000000000000007E-2</v>
      </c>
      <c r="O280" s="4">
        <v>0.55000000000000004</v>
      </c>
      <c r="P280" t="s">
        <v>79</v>
      </c>
      <c r="R280">
        <v>75</v>
      </c>
      <c r="S280" s="3">
        <v>18097.89</v>
      </c>
    </row>
    <row r="281" spans="1:19" x14ac:dyDescent="0.2">
      <c r="A281" t="s">
        <v>589</v>
      </c>
      <c r="B281" s="2">
        <v>46224</v>
      </c>
      <c r="C281" s="2">
        <v>46270</v>
      </c>
      <c r="D281" t="s">
        <v>213</v>
      </c>
      <c r="E281" t="s">
        <v>68</v>
      </c>
      <c r="F281" t="s">
        <v>48</v>
      </c>
      <c r="G281" t="s">
        <v>23</v>
      </c>
      <c r="H281" t="s">
        <v>98</v>
      </c>
      <c r="I281" t="s">
        <v>84</v>
      </c>
      <c r="J281" t="s">
        <v>26</v>
      </c>
      <c r="K281" t="s">
        <v>37</v>
      </c>
      <c r="L281" t="s">
        <v>51</v>
      </c>
      <c r="M281" s="3">
        <v>22700</v>
      </c>
      <c r="N281" s="4">
        <v>6.5000000000000002E-2</v>
      </c>
      <c r="O281" s="4">
        <v>0.05</v>
      </c>
      <c r="P281" t="s">
        <v>38</v>
      </c>
      <c r="R281">
        <v>46</v>
      </c>
      <c r="S281" s="3">
        <v>1769.06</v>
      </c>
    </row>
    <row r="282" spans="1:19" x14ac:dyDescent="0.2">
      <c r="A282" t="s">
        <v>590</v>
      </c>
      <c r="B282" s="2">
        <v>46009</v>
      </c>
      <c r="C282" s="2">
        <v>46146</v>
      </c>
      <c r="D282" t="s">
        <v>73</v>
      </c>
      <c r="E282" t="s">
        <v>91</v>
      </c>
      <c r="F282" t="s">
        <v>48</v>
      </c>
      <c r="G282" t="s">
        <v>23</v>
      </c>
      <c r="H282" t="s">
        <v>95</v>
      </c>
      <c r="I282" t="s">
        <v>42</v>
      </c>
      <c r="J282" t="s">
        <v>85</v>
      </c>
      <c r="K282" t="s">
        <v>37</v>
      </c>
      <c r="L282" t="s">
        <v>28</v>
      </c>
      <c r="M282" s="3">
        <v>27900</v>
      </c>
      <c r="N282" s="4">
        <v>6.3E-2</v>
      </c>
      <c r="O282" s="4">
        <v>0.05</v>
      </c>
      <c r="P282" t="s">
        <v>38</v>
      </c>
      <c r="R282">
        <v>137</v>
      </c>
      <c r="S282" s="3">
        <v>2179.5</v>
      </c>
    </row>
    <row r="283" spans="1:19" x14ac:dyDescent="0.2">
      <c r="A283" t="s">
        <v>591</v>
      </c>
      <c r="B283" s="2">
        <v>45996</v>
      </c>
      <c r="C283" s="2">
        <v>46080</v>
      </c>
      <c r="D283" t="s">
        <v>592</v>
      </c>
      <c r="E283" t="s">
        <v>62</v>
      </c>
      <c r="F283" t="s">
        <v>74</v>
      </c>
      <c r="G283" t="s">
        <v>34</v>
      </c>
      <c r="H283" t="s">
        <v>77</v>
      </c>
      <c r="I283" t="s">
        <v>99</v>
      </c>
      <c r="J283" t="s">
        <v>26</v>
      </c>
      <c r="K283" t="s">
        <v>106</v>
      </c>
      <c r="L283" t="s">
        <v>51</v>
      </c>
      <c r="M283" s="3">
        <v>128300</v>
      </c>
      <c r="N283" s="4">
        <v>0.05</v>
      </c>
      <c r="O283" s="4">
        <v>0.2</v>
      </c>
      <c r="P283" t="s">
        <v>38</v>
      </c>
      <c r="R283">
        <v>84</v>
      </c>
      <c r="S283" s="3">
        <v>10153.74</v>
      </c>
    </row>
    <row r="284" spans="1:19" x14ac:dyDescent="0.2">
      <c r="A284" t="s">
        <v>593</v>
      </c>
      <c r="B284" s="2">
        <v>46108</v>
      </c>
      <c r="C284" s="2">
        <v>46238</v>
      </c>
      <c r="D284" t="s">
        <v>594</v>
      </c>
      <c r="E284" t="s">
        <v>62</v>
      </c>
      <c r="F284" t="s">
        <v>48</v>
      </c>
      <c r="G284" t="s">
        <v>23</v>
      </c>
      <c r="H284" t="s">
        <v>120</v>
      </c>
      <c r="I284" t="s">
        <v>65</v>
      </c>
      <c r="J284" t="s">
        <v>85</v>
      </c>
      <c r="K284" t="s">
        <v>78</v>
      </c>
      <c r="L284" t="s">
        <v>28</v>
      </c>
      <c r="M284" s="3">
        <v>24300</v>
      </c>
      <c r="N284" s="4">
        <v>7.3999999999999996E-2</v>
      </c>
      <c r="O284" s="4">
        <v>0.55000000000000004</v>
      </c>
      <c r="P284" t="s">
        <v>79</v>
      </c>
      <c r="R284">
        <v>130</v>
      </c>
      <c r="S284" s="3">
        <v>1875.23</v>
      </c>
    </row>
    <row r="285" spans="1:19" x14ac:dyDescent="0.2">
      <c r="A285" t="s">
        <v>595</v>
      </c>
      <c r="B285" s="2">
        <v>46209</v>
      </c>
      <c r="C285" s="2">
        <v>46247</v>
      </c>
      <c r="D285" t="s">
        <v>596</v>
      </c>
      <c r="E285" t="s">
        <v>111</v>
      </c>
      <c r="F285" t="s">
        <v>48</v>
      </c>
      <c r="G285" t="s">
        <v>23</v>
      </c>
      <c r="H285" t="s">
        <v>83</v>
      </c>
      <c r="I285" t="s">
        <v>99</v>
      </c>
      <c r="J285" t="s">
        <v>43</v>
      </c>
      <c r="K285" t="s">
        <v>78</v>
      </c>
      <c r="L285" t="s">
        <v>51</v>
      </c>
      <c r="M285" s="3">
        <v>20300</v>
      </c>
      <c r="N285" s="4">
        <v>3.3000000000000002E-2</v>
      </c>
      <c r="O285" s="4">
        <v>0.55000000000000004</v>
      </c>
      <c r="P285" t="s">
        <v>79</v>
      </c>
      <c r="R285">
        <v>38</v>
      </c>
      <c r="S285" s="3">
        <v>1636.43</v>
      </c>
    </row>
    <row r="286" spans="1:19" x14ac:dyDescent="0.2">
      <c r="A286" t="s">
        <v>597</v>
      </c>
      <c r="B286" s="2">
        <v>46187</v>
      </c>
      <c r="C286" s="2">
        <v>46248</v>
      </c>
      <c r="D286" t="s">
        <v>598</v>
      </c>
      <c r="E286" t="s">
        <v>91</v>
      </c>
      <c r="F286" t="s">
        <v>48</v>
      </c>
      <c r="G286" t="s">
        <v>63</v>
      </c>
      <c r="H286" t="s">
        <v>49</v>
      </c>
      <c r="I286" t="s">
        <v>42</v>
      </c>
      <c r="J286" t="s">
        <v>43</v>
      </c>
      <c r="K286" t="s">
        <v>27</v>
      </c>
      <c r="L286" t="s">
        <v>44</v>
      </c>
      <c r="M286" s="3">
        <v>13200</v>
      </c>
      <c r="N286" s="4">
        <v>0.20599999999999999</v>
      </c>
      <c r="O286" s="4">
        <v>0</v>
      </c>
      <c r="P286" t="s">
        <v>29</v>
      </c>
      <c r="Q286" t="s">
        <v>209</v>
      </c>
      <c r="R286">
        <v>61</v>
      </c>
      <c r="S286" s="3">
        <v>872.9</v>
      </c>
    </row>
    <row r="287" spans="1:19" x14ac:dyDescent="0.2">
      <c r="A287" t="s">
        <v>599</v>
      </c>
      <c r="B287" s="2">
        <v>46008</v>
      </c>
      <c r="C287" s="2">
        <v>46038</v>
      </c>
      <c r="D287" t="s">
        <v>600</v>
      </c>
      <c r="E287" t="s">
        <v>82</v>
      </c>
      <c r="F287" t="s">
        <v>74</v>
      </c>
      <c r="G287" t="s">
        <v>92</v>
      </c>
      <c r="H287" t="s">
        <v>77</v>
      </c>
      <c r="I287" t="s">
        <v>42</v>
      </c>
      <c r="J287" t="s">
        <v>57</v>
      </c>
      <c r="K287" t="s">
        <v>58</v>
      </c>
      <c r="L287" t="s">
        <v>51</v>
      </c>
      <c r="M287" s="3">
        <v>321300</v>
      </c>
      <c r="N287" s="4">
        <v>0.151</v>
      </c>
      <c r="O287" s="4">
        <v>0.75</v>
      </c>
      <c r="P287" t="s">
        <v>59</v>
      </c>
      <c r="R287">
        <v>30</v>
      </c>
      <c r="S287" s="3">
        <v>22740.05</v>
      </c>
    </row>
    <row r="288" spans="1:19" x14ac:dyDescent="0.2">
      <c r="A288" t="s">
        <v>601</v>
      </c>
      <c r="B288" s="2">
        <v>46271</v>
      </c>
      <c r="C288" s="2">
        <v>46315</v>
      </c>
      <c r="D288" t="s">
        <v>175</v>
      </c>
      <c r="E288" t="s">
        <v>68</v>
      </c>
      <c r="F288" t="s">
        <v>48</v>
      </c>
      <c r="G288" t="s">
        <v>23</v>
      </c>
      <c r="H288" t="s">
        <v>120</v>
      </c>
      <c r="I288" t="s">
        <v>84</v>
      </c>
      <c r="J288" t="s">
        <v>85</v>
      </c>
      <c r="K288" t="s">
        <v>37</v>
      </c>
      <c r="L288" t="s">
        <v>28</v>
      </c>
      <c r="M288" s="3">
        <v>10200</v>
      </c>
      <c r="N288" s="4">
        <v>4.5999999999999999E-2</v>
      </c>
      <c r="O288" s="4">
        <v>0.1</v>
      </c>
      <c r="P288" t="s">
        <v>38</v>
      </c>
      <c r="R288">
        <v>44</v>
      </c>
      <c r="S288" s="3">
        <v>810.63</v>
      </c>
    </row>
    <row r="289" spans="1:19" x14ac:dyDescent="0.2">
      <c r="A289" t="s">
        <v>602</v>
      </c>
      <c r="B289" s="2">
        <v>46014</v>
      </c>
      <c r="C289" s="2">
        <v>46127</v>
      </c>
      <c r="D289" t="s">
        <v>204</v>
      </c>
      <c r="E289" t="s">
        <v>111</v>
      </c>
      <c r="F289" t="s">
        <v>48</v>
      </c>
      <c r="G289" t="s">
        <v>55</v>
      </c>
      <c r="H289" t="s">
        <v>49</v>
      </c>
      <c r="I289" t="s">
        <v>35</v>
      </c>
      <c r="J289" t="s">
        <v>26</v>
      </c>
      <c r="K289" t="s">
        <v>50</v>
      </c>
      <c r="L289" t="s">
        <v>51</v>
      </c>
      <c r="M289" s="3">
        <v>19700</v>
      </c>
      <c r="N289" s="4">
        <v>0.14899999999999999</v>
      </c>
      <c r="O289" s="4">
        <v>1</v>
      </c>
      <c r="P289" t="s">
        <v>29</v>
      </c>
      <c r="R289">
        <v>113</v>
      </c>
      <c r="S289" s="3">
        <v>1397.63</v>
      </c>
    </row>
    <row r="290" spans="1:19" x14ac:dyDescent="0.2">
      <c r="A290" t="s">
        <v>603</v>
      </c>
      <c r="B290" s="2">
        <v>46024</v>
      </c>
      <c r="C290" s="2">
        <v>46099</v>
      </c>
      <c r="D290" t="s">
        <v>604</v>
      </c>
      <c r="E290" t="s">
        <v>21</v>
      </c>
      <c r="F290" t="s">
        <v>48</v>
      </c>
      <c r="G290" t="s">
        <v>63</v>
      </c>
      <c r="H290" t="s">
        <v>120</v>
      </c>
      <c r="I290" t="s">
        <v>84</v>
      </c>
      <c r="J290" t="s">
        <v>26</v>
      </c>
      <c r="K290" t="s">
        <v>78</v>
      </c>
      <c r="L290" t="s">
        <v>28</v>
      </c>
      <c r="M290" s="3">
        <v>11000</v>
      </c>
      <c r="N290" s="4">
        <v>0.112</v>
      </c>
      <c r="O290" s="4">
        <v>0.55000000000000004</v>
      </c>
      <c r="P290" t="s">
        <v>79</v>
      </c>
      <c r="R290">
        <v>75</v>
      </c>
      <c r="S290" s="3">
        <v>814.28</v>
      </c>
    </row>
    <row r="291" spans="1:19" x14ac:dyDescent="0.2">
      <c r="A291" t="s">
        <v>605</v>
      </c>
      <c r="B291" s="2">
        <v>46270</v>
      </c>
      <c r="C291" s="2">
        <v>46320</v>
      </c>
      <c r="D291" t="s">
        <v>606</v>
      </c>
      <c r="E291" t="s">
        <v>82</v>
      </c>
      <c r="F291" t="s">
        <v>74</v>
      </c>
      <c r="G291" t="s">
        <v>23</v>
      </c>
      <c r="H291" t="s">
        <v>41</v>
      </c>
      <c r="I291" t="s">
        <v>84</v>
      </c>
      <c r="J291" t="s">
        <v>43</v>
      </c>
      <c r="K291" t="s">
        <v>78</v>
      </c>
      <c r="L291" t="s">
        <v>44</v>
      </c>
      <c r="M291" s="3">
        <v>314100</v>
      </c>
      <c r="N291" s="4">
        <v>0.10299999999999999</v>
      </c>
      <c r="O291" s="4">
        <v>0.5</v>
      </c>
      <c r="P291" t="s">
        <v>79</v>
      </c>
      <c r="R291">
        <v>50</v>
      </c>
      <c r="S291" s="3">
        <v>23479.25</v>
      </c>
    </row>
    <row r="292" spans="1:19" x14ac:dyDescent="0.2">
      <c r="A292" t="s">
        <v>607</v>
      </c>
      <c r="B292" s="2">
        <v>46155</v>
      </c>
      <c r="C292" s="2">
        <v>46252</v>
      </c>
      <c r="D292" t="s">
        <v>608</v>
      </c>
      <c r="E292" t="s">
        <v>82</v>
      </c>
      <c r="F292" t="s">
        <v>74</v>
      </c>
      <c r="G292" t="s">
        <v>63</v>
      </c>
      <c r="H292" t="s">
        <v>69</v>
      </c>
      <c r="I292" t="s">
        <v>99</v>
      </c>
      <c r="J292" t="s">
        <v>85</v>
      </c>
      <c r="K292" t="s">
        <v>37</v>
      </c>
      <c r="L292" t="s">
        <v>51</v>
      </c>
      <c r="M292" s="3">
        <v>237000</v>
      </c>
      <c r="N292" s="4">
        <v>0.17499999999999999</v>
      </c>
      <c r="O292" s="4">
        <v>0.15</v>
      </c>
      <c r="P292" t="s">
        <v>38</v>
      </c>
      <c r="R292">
        <v>97</v>
      </c>
      <c r="S292" s="3">
        <v>16294.12</v>
      </c>
    </row>
    <row r="293" spans="1:19" x14ac:dyDescent="0.2">
      <c r="A293" t="s">
        <v>609</v>
      </c>
      <c r="B293" s="2">
        <v>45996</v>
      </c>
      <c r="C293" s="2">
        <v>46084</v>
      </c>
      <c r="D293" t="s">
        <v>610</v>
      </c>
      <c r="E293" t="s">
        <v>111</v>
      </c>
      <c r="F293" t="s">
        <v>48</v>
      </c>
      <c r="G293" t="s">
        <v>92</v>
      </c>
      <c r="H293" t="s">
        <v>41</v>
      </c>
      <c r="I293" t="s">
        <v>99</v>
      </c>
      <c r="J293" t="s">
        <v>57</v>
      </c>
      <c r="K293" t="s">
        <v>50</v>
      </c>
      <c r="L293" t="s">
        <v>28</v>
      </c>
      <c r="M293" s="3">
        <v>23500</v>
      </c>
      <c r="N293" s="4">
        <v>0.05</v>
      </c>
      <c r="O293" s="4">
        <v>1</v>
      </c>
      <c r="P293" t="s">
        <v>29</v>
      </c>
      <c r="R293">
        <v>88</v>
      </c>
      <c r="S293" s="3">
        <v>1861.09</v>
      </c>
    </row>
    <row r="294" spans="1:19" x14ac:dyDescent="0.2">
      <c r="A294" t="s">
        <v>611</v>
      </c>
      <c r="B294" s="2">
        <v>46201</v>
      </c>
      <c r="C294" s="2">
        <v>46235</v>
      </c>
      <c r="D294" t="s">
        <v>612</v>
      </c>
      <c r="E294" t="s">
        <v>68</v>
      </c>
      <c r="F294" t="s">
        <v>48</v>
      </c>
      <c r="G294" t="s">
        <v>63</v>
      </c>
      <c r="H294" t="s">
        <v>41</v>
      </c>
      <c r="I294" t="s">
        <v>35</v>
      </c>
      <c r="J294" t="s">
        <v>26</v>
      </c>
      <c r="K294" t="s">
        <v>88</v>
      </c>
      <c r="L294" t="s">
        <v>28</v>
      </c>
      <c r="M294" s="3">
        <v>11400</v>
      </c>
      <c r="N294" s="4">
        <v>1.2999999999999999E-2</v>
      </c>
      <c r="O294" s="4">
        <v>0.35</v>
      </c>
      <c r="P294" t="s">
        <v>38</v>
      </c>
      <c r="R294">
        <v>34</v>
      </c>
      <c r="S294" s="3">
        <v>937.75</v>
      </c>
    </row>
    <row r="295" spans="1:19" x14ac:dyDescent="0.2">
      <c r="A295" t="s">
        <v>613</v>
      </c>
      <c r="B295" s="2">
        <v>46058</v>
      </c>
      <c r="C295" s="2">
        <v>46092</v>
      </c>
      <c r="D295" t="s">
        <v>614</v>
      </c>
      <c r="E295" t="s">
        <v>82</v>
      </c>
      <c r="F295" t="s">
        <v>22</v>
      </c>
      <c r="G295" t="s">
        <v>92</v>
      </c>
      <c r="H295" t="s">
        <v>98</v>
      </c>
      <c r="I295" t="s">
        <v>35</v>
      </c>
      <c r="J295" t="s">
        <v>57</v>
      </c>
      <c r="K295" t="s">
        <v>50</v>
      </c>
      <c r="L295" t="s">
        <v>44</v>
      </c>
      <c r="M295" s="3">
        <v>46800</v>
      </c>
      <c r="N295" s="4">
        <v>5.8999999999999997E-2</v>
      </c>
      <c r="O295" s="4">
        <v>1</v>
      </c>
      <c r="P295" t="s">
        <v>29</v>
      </c>
      <c r="R295">
        <v>34</v>
      </c>
      <c r="S295" s="3">
        <v>3669.49</v>
      </c>
    </row>
    <row r="296" spans="1:19" x14ac:dyDescent="0.2">
      <c r="A296" t="s">
        <v>615</v>
      </c>
      <c r="B296" s="2">
        <v>46114</v>
      </c>
      <c r="C296" s="2">
        <v>46255</v>
      </c>
      <c r="D296" t="s">
        <v>616</v>
      </c>
      <c r="E296" t="s">
        <v>111</v>
      </c>
      <c r="F296" t="s">
        <v>48</v>
      </c>
      <c r="G296" t="s">
        <v>92</v>
      </c>
      <c r="H296" t="s">
        <v>83</v>
      </c>
      <c r="I296" t="s">
        <v>84</v>
      </c>
      <c r="J296" t="s">
        <v>36</v>
      </c>
      <c r="K296" t="s">
        <v>106</v>
      </c>
      <c r="L296" t="s">
        <v>28</v>
      </c>
      <c r="M296" s="3">
        <v>28200</v>
      </c>
      <c r="N296" s="4">
        <v>0.216</v>
      </c>
      <c r="O296" s="4">
        <v>0.2</v>
      </c>
      <c r="P296" t="s">
        <v>38</v>
      </c>
      <c r="R296">
        <v>141</v>
      </c>
      <c r="S296" s="3">
        <v>1842.67</v>
      </c>
    </row>
    <row r="297" spans="1:19" x14ac:dyDescent="0.2">
      <c r="A297" t="s">
        <v>617</v>
      </c>
      <c r="B297" s="2">
        <v>46043</v>
      </c>
      <c r="C297" s="2">
        <v>46208</v>
      </c>
      <c r="D297" t="s">
        <v>289</v>
      </c>
      <c r="E297" t="s">
        <v>62</v>
      </c>
      <c r="F297" t="s">
        <v>74</v>
      </c>
      <c r="G297" t="s">
        <v>92</v>
      </c>
      <c r="H297" t="s">
        <v>77</v>
      </c>
      <c r="I297" t="s">
        <v>65</v>
      </c>
      <c r="J297" t="s">
        <v>36</v>
      </c>
      <c r="K297" t="s">
        <v>50</v>
      </c>
      <c r="L297" t="s">
        <v>28</v>
      </c>
      <c r="M297" s="3">
        <v>292400</v>
      </c>
      <c r="N297" s="4">
        <v>0</v>
      </c>
      <c r="O297" s="4">
        <v>1</v>
      </c>
      <c r="P297" t="s">
        <v>29</v>
      </c>
      <c r="R297">
        <v>165</v>
      </c>
      <c r="S297" s="3">
        <v>24366.67</v>
      </c>
    </row>
    <row r="298" spans="1:19" x14ac:dyDescent="0.2">
      <c r="A298" t="s">
        <v>618</v>
      </c>
      <c r="B298" s="2">
        <v>45997</v>
      </c>
      <c r="C298" s="2">
        <v>46118</v>
      </c>
      <c r="D298" t="s">
        <v>252</v>
      </c>
      <c r="E298" t="s">
        <v>111</v>
      </c>
      <c r="F298" t="s">
        <v>48</v>
      </c>
      <c r="G298" t="s">
        <v>55</v>
      </c>
      <c r="H298" t="s">
        <v>83</v>
      </c>
      <c r="I298" t="s">
        <v>35</v>
      </c>
      <c r="J298" t="s">
        <v>36</v>
      </c>
      <c r="K298" t="s">
        <v>37</v>
      </c>
      <c r="L298" t="s">
        <v>44</v>
      </c>
      <c r="M298" s="3">
        <v>16300</v>
      </c>
      <c r="N298" s="4">
        <v>0.17199999999999999</v>
      </c>
      <c r="O298" s="4">
        <v>0.1</v>
      </c>
      <c r="P298" t="s">
        <v>38</v>
      </c>
      <c r="R298">
        <v>121</v>
      </c>
      <c r="S298" s="3">
        <v>1125.24</v>
      </c>
    </row>
    <row r="299" spans="1:19" x14ac:dyDescent="0.2">
      <c r="A299" t="s">
        <v>619</v>
      </c>
      <c r="B299" s="2">
        <v>46044</v>
      </c>
      <c r="C299" s="2">
        <v>46099</v>
      </c>
      <c r="D299" t="s">
        <v>287</v>
      </c>
      <c r="E299" t="s">
        <v>21</v>
      </c>
      <c r="F299" t="s">
        <v>22</v>
      </c>
      <c r="G299" t="s">
        <v>55</v>
      </c>
      <c r="H299" t="s">
        <v>95</v>
      </c>
      <c r="I299" t="s">
        <v>25</v>
      </c>
      <c r="J299" t="s">
        <v>43</v>
      </c>
      <c r="K299" t="s">
        <v>78</v>
      </c>
      <c r="L299" t="s">
        <v>28</v>
      </c>
      <c r="M299" s="3">
        <v>55700</v>
      </c>
      <c r="N299" s="4">
        <v>8.6999999999999994E-2</v>
      </c>
      <c r="O299" s="4">
        <v>0.6</v>
      </c>
      <c r="P299" t="s">
        <v>79</v>
      </c>
      <c r="R299">
        <v>55</v>
      </c>
      <c r="S299" s="3">
        <v>4239.8999999999996</v>
      </c>
    </row>
    <row r="300" spans="1:19" x14ac:dyDescent="0.2">
      <c r="A300" t="s">
        <v>620</v>
      </c>
      <c r="B300" s="2">
        <v>46180</v>
      </c>
      <c r="C300" s="2">
        <v>46207</v>
      </c>
      <c r="D300" t="s">
        <v>621</v>
      </c>
      <c r="E300" t="s">
        <v>21</v>
      </c>
      <c r="F300" t="s">
        <v>48</v>
      </c>
      <c r="G300" t="s">
        <v>92</v>
      </c>
      <c r="H300" t="s">
        <v>64</v>
      </c>
      <c r="I300" t="s">
        <v>84</v>
      </c>
      <c r="J300" t="s">
        <v>57</v>
      </c>
      <c r="K300" t="s">
        <v>78</v>
      </c>
      <c r="L300" t="s">
        <v>44</v>
      </c>
      <c r="M300" s="3">
        <v>14300</v>
      </c>
      <c r="N300" s="4">
        <v>8.6999999999999994E-2</v>
      </c>
      <c r="O300" s="4">
        <v>0.6</v>
      </c>
      <c r="P300" t="s">
        <v>79</v>
      </c>
      <c r="R300">
        <v>27</v>
      </c>
      <c r="S300" s="3">
        <v>1087.46</v>
      </c>
    </row>
    <row r="301" spans="1:19" x14ac:dyDescent="0.2">
      <c r="A301" t="s">
        <v>622</v>
      </c>
      <c r="B301" s="2">
        <v>46100</v>
      </c>
      <c r="C301" s="2">
        <v>46138</v>
      </c>
      <c r="D301" t="s">
        <v>623</v>
      </c>
      <c r="E301" t="s">
        <v>91</v>
      </c>
      <c r="F301" t="s">
        <v>22</v>
      </c>
      <c r="G301" t="s">
        <v>55</v>
      </c>
      <c r="H301" t="s">
        <v>24</v>
      </c>
      <c r="I301" t="s">
        <v>65</v>
      </c>
      <c r="J301" t="s">
        <v>26</v>
      </c>
      <c r="K301" t="s">
        <v>37</v>
      </c>
      <c r="L301" t="s">
        <v>44</v>
      </c>
      <c r="M301" s="3">
        <v>64100</v>
      </c>
      <c r="N301" s="4">
        <v>0.10199999999999999</v>
      </c>
      <c r="O301" s="4">
        <v>0.1</v>
      </c>
      <c r="P301" t="s">
        <v>38</v>
      </c>
      <c r="R301">
        <v>38</v>
      </c>
      <c r="S301" s="3">
        <v>4798.3599999999997</v>
      </c>
    </row>
    <row r="302" spans="1:19" x14ac:dyDescent="0.2">
      <c r="A302" t="s">
        <v>624</v>
      </c>
      <c r="B302" s="2">
        <v>45931</v>
      </c>
      <c r="C302" s="2">
        <v>45969</v>
      </c>
      <c r="D302" t="s">
        <v>625</v>
      </c>
      <c r="E302" t="s">
        <v>111</v>
      </c>
      <c r="F302" t="s">
        <v>48</v>
      </c>
      <c r="G302" t="s">
        <v>23</v>
      </c>
      <c r="H302" t="s">
        <v>83</v>
      </c>
      <c r="I302" t="s">
        <v>65</v>
      </c>
      <c r="J302" t="s">
        <v>26</v>
      </c>
      <c r="K302" t="s">
        <v>78</v>
      </c>
      <c r="L302" t="s">
        <v>44</v>
      </c>
      <c r="M302" s="3">
        <v>25700</v>
      </c>
      <c r="N302" s="4">
        <v>0.24399999999999999</v>
      </c>
      <c r="O302" s="4">
        <v>0.6</v>
      </c>
      <c r="P302" t="s">
        <v>79</v>
      </c>
      <c r="R302">
        <v>38</v>
      </c>
      <c r="S302" s="3">
        <v>1619.69</v>
      </c>
    </row>
    <row r="303" spans="1:19" x14ac:dyDescent="0.2">
      <c r="A303" t="s">
        <v>626</v>
      </c>
      <c r="B303" s="2">
        <v>45962</v>
      </c>
      <c r="C303" s="2">
        <v>46005</v>
      </c>
      <c r="D303" t="s">
        <v>627</v>
      </c>
      <c r="E303" t="s">
        <v>68</v>
      </c>
      <c r="F303" t="s">
        <v>74</v>
      </c>
      <c r="G303" t="s">
        <v>34</v>
      </c>
      <c r="H303" t="s">
        <v>120</v>
      </c>
      <c r="I303" t="s">
        <v>84</v>
      </c>
      <c r="J303" t="s">
        <v>36</v>
      </c>
      <c r="K303" t="s">
        <v>37</v>
      </c>
      <c r="L303" t="s">
        <v>28</v>
      </c>
      <c r="M303" s="3">
        <v>167900</v>
      </c>
      <c r="N303" s="4">
        <v>0.151</v>
      </c>
      <c r="O303" s="4">
        <v>0.1</v>
      </c>
      <c r="P303" t="s">
        <v>38</v>
      </c>
      <c r="R303">
        <v>43</v>
      </c>
      <c r="S303" s="3">
        <v>11885.1</v>
      </c>
    </row>
    <row r="304" spans="1:19" x14ac:dyDescent="0.2">
      <c r="A304" t="s">
        <v>628</v>
      </c>
      <c r="B304" s="2">
        <v>46005</v>
      </c>
      <c r="C304" s="2">
        <v>46135</v>
      </c>
      <c r="D304" t="s">
        <v>629</v>
      </c>
      <c r="E304" t="s">
        <v>54</v>
      </c>
      <c r="F304" t="s">
        <v>74</v>
      </c>
      <c r="G304" t="s">
        <v>23</v>
      </c>
      <c r="H304" t="s">
        <v>24</v>
      </c>
      <c r="I304" t="s">
        <v>25</v>
      </c>
      <c r="J304" t="s">
        <v>43</v>
      </c>
      <c r="K304" t="s">
        <v>78</v>
      </c>
      <c r="L304" t="s">
        <v>28</v>
      </c>
      <c r="M304" s="3">
        <v>326600</v>
      </c>
      <c r="N304" s="4">
        <v>0.21</v>
      </c>
      <c r="O304" s="4">
        <v>0.55000000000000004</v>
      </c>
      <c r="P304" t="s">
        <v>79</v>
      </c>
      <c r="R304">
        <v>130</v>
      </c>
      <c r="S304" s="3">
        <v>21489.67</v>
      </c>
    </row>
    <row r="305" spans="1:19" x14ac:dyDescent="0.2">
      <c r="A305" t="s">
        <v>630</v>
      </c>
      <c r="B305" s="2">
        <v>46224</v>
      </c>
      <c r="C305" s="2">
        <v>46290</v>
      </c>
      <c r="D305" t="s">
        <v>631</v>
      </c>
      <c r="E305" t="s">
        <v>33</v>
      </c>
      <c r="F305" t="s">
        <v>22</v>
      </c>
      <c r="G305" t="s">
        <v>34</v>
      </c>
      <c r="H305" t="s">
        <v>64</v>
      </c>
      <c r="I305" t="s">
        <v>42</v>
      </c>
      <c r="J305" t="s">
        <v>36</v>
      </c>
      <c r="K305" t="s">
        <v>37</v>
      </c>
      <c r="L305" t="s">
        <v>44</v>
      </c>
      <c r="M305" s="3">
        <v>61000</v>
      </c>
      <c r="N305" s="4">
        <v>0.128</v>
      </c>
      <c r="O305" s="4">
        <v>0.15</v>
      </c>
      <c r="P305" t="s">
        <v>38</v>
      </c>
      <c r="R305">
        <v>66</v>
      </c>
      <c r="S305" s="3">
        <v>4433.88</v>
      </c>
    </row>
    <row r="306" spans="1:19" x14ac:dyDescent="0.2">
      <c r="A306" t="s">
        <v>632</v>
      </c>
      <c r="B306" s="2">
        <v>46235</v>
      </c>
      <c r="C306" s="2">
        <v>46273</v>
      </c>
      <c r="D306" t="s">
        <v>633</v>
      </c>
      <c r="E306" t="s">
        <v>33</v>
      </c>
      <c r="F306" t="s">
        <v>48</v>
      </c>
      <c r="G306" t="s">
        <v>23</v>
      </c>
      <c r="H306" t="s">
        <v>49</v>
      </c>
      <c r="I306" t="s">
        <v>25</v>
      </c>
      <c r="J306" t="s">
        <v>26</v>
      </c>
      <c r="K306" t="s">
        <v>58</v>
      </c>
      <c r="L306" t="s">
        <v>28</v>
      </c>
      <c r="M306" s="3">
        <v>25600</v>
      </c>
      <c r="N306" s="4">
        <v>0.161</v>
      </c>
      <c r="O306" s="4">
        <v>0.75</v>
      </c>
      <c r="P306" t="s">
        <v>59</v>
      </c>
      <c r="R306">
        <v>38</v>
      </c>
      <c r="S306" s="3">
        <v>1789.22</v>
      </c>
    </row>
    <row r="307" spans="1:19" x14ac:dyDescent="0.2">
      <c r="A307" t="s">
        <v>634</v>
      </c>
      <c r="B307" s="2">
        <v>46240</v>
      </c>
      <c r="C307" s="2">
        <v>46277</v>
      </c>
      <c r="D307" t="s">
        <v>635</v>
      </c>
      <c r="E307" t="s">
        <v>21</v>
      </c>
      <c r="F307" t="s">
        <v>22</v>
      </c>
      <c r="G307" t="s">
        <v>63</v>
      </c>
      <c r="H307" t="s">
        <v>56</v>
      </c>
      <c r="I307" t="s">
        <v>65</v>
      </c>
      <c r="J307" t="s">
        <v>26</v>
      </c>
      <c r="K307" t="s">
        <v>50</v>
      </c>
      <c r="L307" t="s">
        <v>28</v>
      </c>
      <c r="M307" s="3">
        <v>94000</v>
      </c>
      <c r="N307" s="4">
        <v>0.22600000000000001</v>
      </c>
      <c r="O307" s="4">
        <v>1</v>
      </c>
      <c r="P307" t="s">
        <v>29</v>
      </c>
      <c r="R307">
        <v>37</v>
      </c>
      <c r="S307" s="3">
        <v>6060.22</v>
      </c>
    </row>
    <row r="308" spans="1:19" x14ac:dyDescent="0.2">
      <c r="A308" t="s">
        <v>636</v>
      </c>
      <c r="B308" s="2">
        <v>46113</v>
      </c>
      <c r="C308" s="2">
        <v>46178</v>
      </c>
      <c r="D308" t="s">
        <v>637</v>
      </c>
      <c r="E308" t="s">
        <v>62</v>
      </c>
      <c r="F308" t="s">
        <v>48</v>
      </c>
      <c r="G308" t="s">
        <v>23</v>
      </c>
      <c r="H308" t="s">
        <v>98</v>
      </c>
      <c r="I308" t="s">
        <v>99</v>
      </c>
      <c r="J308" t="s">
        <v>36</v>
      </c>
      <c r="K308" t="s">
        <v>50</v>
      </c>
      <c r="L308" t="s">
        <v>44</v>
      </c>
      <c r="M308" s="3">
        <v>29300</v>
      </c>
      <c r="N308" s="4">
        <v>0.152</v>
      </c>
      <c r="O308" s="4">
        <v>1</v>
      </c>
      <c r="P308" t="s">
        <v>29</v>
      </c>
      <c r="R308">
        <v>65</v>
      </c>
      <c r="S308" s="3">
        <v>2070.7800000000002</v>
      </c>
    </row>
    <row r="309" spans="1:19" x14ac:dyDescent="0.2">
      <c r="A309" t="s">
        <v>638</v>
      </c>
      <c r="B309" s="2">
        <v>46141</v>
      </c>
      <c r="C309" s="2">
        <v>46260</v>
      </c>
      <c r="D309" t="s">
        <v>295</v>
      </c>
      <c r="E309" t="s">
        <v>111</v>
      </c>
      <c r="F309" t="s">
        <v>22</v>
      </c>
      <c r="G309" t="s">
        <v>92</v>
      </c>
      <c r="H309" t="s">
        <v>137</v>
      </c>
      <c r="I309" t="s">
        <v>35</v>
      </c>
      <c r="J309" t="s">
        <v>43</v>
      </c>
      <c r="K309" t="s">
        <v>106</v>
      </c>
      <c r="L309" t="s">
        <v>51</v>
      </c>
      <c r="M309" s="3">
        <v>57300</v>
      </c>
      <c r="N309" s="4">
        <v>1.9E-2</v>
      </c>
      <c r="O309" s="4">
        <v>0.2</v>
      </c>
      <c r="P309" t="s">
        <v>38</v>
      </c>
      <c r="R309">
        <v>119</v>
      </c>
      <c r="S309" s="3">
        <v>4685.43</v>
      </c>
    </row>
    <row r="310" spans="1:19" x14ac:dyDescent="0.2">
      <c r="A310" t="s">
        <v>639</v>
      </c>
      <c r="B310" s="2">
        <v>46169</v>
      </c>
      <c r="C310" s="2">
        <v>46277</v>
      </c>
      <c r="D310" t="s">
        <v>640</v>
      </c>
      <c r="E310" t="s">
        <v>54</v>
      </c>
      <c r="F310" t="s">
        <v>22</v>
      </c>
      <c r="G310" t="s">
        <v>23</v>
      </c>
      <c r="H310" t="s">
        <v>56</v>
      </c>
      <c r="I310" t="s">
        <v>25</v>
      </c>
      <c r="J310" t="s">
        <v>43</v>
      </c>
      <c r="K310" t="s">
        <v>27</v>
      </c>
      <c r="L310" t="s">
        <v>44</v>
      </c>
      <c r="M310" s="3">
        <v>78200</v>
      </c>
      <c r="N310" s="4">
        <v>0.14799999999999999</v>
      </c>
      <c r="O310" s="4">
        <v>0.05</v>
      </c>
      <c r="P310" t="s">
        <v>29</v>
      </c>
      <c r="Q310" t="s">
        <v>209</v>
      </c>
      <c r="R310">
        <v>108</v>
      </c>
      <c r="S310" s="3">
        <v>5553.38</v>
      </c>
    </row>
    <row r="311" spans="1:19" x14ac:dyDescent="0.2">
      <c r="A311" t="s">
        <v>641</v>
      </c>
      <c r="B311" s="2">
        <v>45996</v>
      </c>
      <c r="C311" s="2">
        <v>46117</v>
      </c>
      <c r="D311" t="s">
        <v>642</v>
      </c>
      <c r="E311" t="s">
        <v>111</v>
      </c>
      <c r="F311" t="s">
        <v>22</v>
      </c>
      <c r="G311" t="s">
        <v>63</v>
      </c>
      <c r="H311" t="s">
        <v>120</v>
      </c>
      <c r="I311" t="s">
        <v>42</v>
      </c>
      <c r="J311" t="s">
        <v>36</v>
      </c>
      <c r="K311" t="s">
        <v>58</v>
      </c>
      <c r="L311" t="s">
        <v>44</v>
      </c>
      <c r="M311" s="3">
        <v>42100</v>
      </c>
      <c r="N311" s="4">
        <v>5.7000000000000002E-2</v>
      </c>
      <c r="O311" s="4">
        <v>0.7</v>
      </c>
      <c r="P311" t="s">
        <v>59</v>
      </c>
      <c r="R311">
        <v>121</v>
      </c>
      <c r="S311" s="3">
        <v>3307.06</v>
      </c>
    </row>
    <row r="312" spans="1:19" x14ac:dyDescent="0.2">
      <c r="A312" t="s">
        <v>643</v>
      </c>
      <c r="B312" s="2">
        <v>46222</v>
      </c>
      <c r="C312" s="2">
        <v>46277</v>
      </c>
      <c r="D312" t="s">
        <v>644</v>
      </c>
      <c r="E312" t="s">
        <v>82</v>
      </c>
      <c r="F312" t="s">
        <v>22</v>
      </c>
      <c r="G312" t="s">
        <v>63</v>
      </c>
      <c r="H312" t="s">
        <v>83</v>
      </c>
      <c r="I312" t="s">
        <v>99</v>
      </c>
      <c r="J312" t="s">
        <v>36</v>
      </c>
      <c r="K312" t="s">
        <v>50</v>
      </c>
      <c r="L312" t="s">
        <v>28</v>
      </c>
      <c r="M312" s="3">
        <v>99700</v>
      </c>
      <c r="N312" s="4">
        <v>9.8000000000000004E-2</v>
      </c>
      <c r="O312" s="4">
        <v>1</v>
      </c>
      <c r="P312" t="s">
        <v>29</v>
      </c>
      <c r="R312">
        <v>55</v>
      </c>
      <c r="S312" s="3">
        <v>7498.03</v>
      </c>
    </row>
    <row r="313" spans="1:19" x14ac:dyDescent="0.2">
      <c r="A313" t="s">
        <v>645</v>
      </c>
      <c r="B313" s="2">
        <v>46066</v>
      </c>
      <c r="C313" s="2">
        <v>46194</v>
      </c>
      <c r="D313" t="s">
        <v>646</v>
      </c>
      <c r="E313" t="s">
        <v>82</v>
      </c>
      <c r="F313" t="s">
        <v>74</v>
      </c>
      <c r="G313" t="s">
        <v>63</v>
      </c>
      <c r="H313" t="s">
        <v>120</v>
      </c>
      <c r="I313" t="s">
        <v>35</v>
      </c>
      <c r="J313" t="s">
        <v>26</v>
      </c>
      <c r="K313" t="s">
        <v>58</v>
      </c>
      <c r="L313" t="s">
        <v>28</v>
      </c>
      <c r="M313" s="3">
        <v>185900</v>
      </c>
      <c r="N313" s="4">
        <v>0.122</v>
      </c>
      <c r="O313" s="4">
        <v>0.75</v>
      </c>
      <c r="P313" t="s">
        <v>59</v>
      </c>
      <c r="R313">
        <v>128</v>
      </c>
      <c r="S313" s="3">
        <v>13594.8</v>
      </c>
    </row>
    <row r="314" spans="1:19" x14ac:dyDescent="0.2">
      <c r="A314" t="s">
        <v>647</v>
      </c>
      <c r="B314" s="2">
        <v>46037</v>
      </c>
      <c r="C314" s="2">
        <v>46137</v>
      </c>
      <c r="D314" t="s">
        <v>648</v>
      </c>
      <c r="E314" t="s">
        <v>91</v>
      </c>
      <c r="F314" t="s">
        <v>48</v>
      </c>
      <c r="G314" t="s">
        <v>34</v>
      </c>
      <c r="H314" t="s">
        <v>64</v>
      </c>
      <c r="I314" t="s">
        <v>84</v>
      </c>
      <c r="J314" t="s">
        <v>26</v>
      </c>
      <c r="K314" t="s">
        <v>106</v>
      </c>
      <c r="L314" t="s">
        <v>44</v>
      </c>
      <c r="M314" s="3">
        <v>27400</v>
      </c>
      <c r="N314" s="4">
        <v>7.3999999999999996E-2</v>
      </c>
      <c r="O314" s="4">
        <v>0.25</v>
      </c>
      <c r="P314" t="s">
        <v>38</v>
      </c>
      <c r="R314">
        <v>100</v>
      </c>
      <c r="S314" s="3">
        <v>2113.35</v>
      </c>
    </row>
    <row r="315" spans="1:19" x14ac:dyDescent="0.2">
      <c r="A315" t="s">
        <v>649</v>
      </c>
      <c r="B315" s="2">
        <v>46048</v>
      </c>
      <c r="C315" s="2">
        <v>46085</v>
      </c>
      <c r="D315" t="s">
        <v>650</v>
      </c>
      <c r="E315" t="s">
        <v>33</v>
      </c>
      <c r="F315" t="s">
        <v>48</v>
      </c>
      <c r="G315" t="s">
        <v>23</v>
      </c>
      <c r="H315" t="s">
        <v>24</v>
      </c>
      <c r="I315" t="s">
        <v>65</v>
      </c>
      <c r="J315" t="s">
        <v>26</v>
      </c>
      <c r="K315" t="s">
        <v>106</v>
      </c>
      <c r="L315" t="s">
        <v>28</v>
      </c>
      <c r="M315" s="3">
        <v>20500</v>
      </c>
      <c r="N315" s="4">
        <v>0.158</v>
      </c>
      <c r="O315" s="4">
        <v>0.2</v>
      </c>
      <c r="P315" t="s">
        <v>38</v>
      </c>
      <c r="R315">
        <v>37</v>
      </c>
      <c r="S315" s="3">
        <v>1437.95</v>
      </c>
    </row>
    <row r="316" spans="1:19" x14ac:dyDescent="0.2">
      <c r="A316" t="s">
        <v>651</v>
      </c>
      <c r="B316" s="2">
        <v>45982</v>
      </c>
      <c r="C316" s="2">
        <v>46101</v>
      </c>
      <c r="D316" t="s">
        <v>97</v>
      </c>
      <c r="E316" t="s">
        <v>33</v>
      </c>
      <c r="F316" t="s">
        <v>48</v>
      </c>
      <c r="G316" t="s">
        <v>34</v>
      </c>
      <c r="H316" t="s">
        <v>49</v>
      </c>
      <c r="I316" t="s">
        <v>65</v>
      </c>
      <c r="J316" t="s">
        <v>57</v>
      </c>
      <c r="K316" t="s">
        <v>58</v>
      </c>
      <c r="L316" t="s">
        <v>44</v>
      </c>
      <c r="M316" s="3">
        <v>27800</v>
      </c>
      <c r="N316" s="4">
        <v>0.104</v>
      </c>
      <c r="O316" s="4">
        <v>0.75</v>
      </c>
      <c r="P316" t="s">
        <v>59</v>
      </c>
      <c r="R316">
        <v>119</v>
      </c>
      <c r="S316" s="3">
        <v>2076.67</v>
      </c>
    </row>
    <row r="317" spans="1:19" x14ac:dyDescent="0.2">
      <c r="A317" t="s">
        <v>652</v>
      </c>
      <c r="B317" s="2">
        <v>45969</v>
      </c>
      <c r="C317" s="2">
        <v>46045</v>
      </c>
      <c r="D317" t="s">
        <v>653</v>
      </c>
      <c r="E317" t="s">
        <v>111</v>
      </c>
      <c r="F317" t="s">
        <v>22</v>
      </c>
      <c r="G317" t="s">
        <v>92</v>
      </c>
      <c r="H317" t="s">
        <v>137</v>
      </c>
      <c r="I317" t="s">
        <v>65</v>
      </c>
      <c r="J317" t="s">
        <v>43</v>
      </c>
      <c r="K317" t="s">
        <v>50</v>
      </c>
      <c r="L317" t="s">
        <v>44</v>
      </c>
      <c r="M317" s="3">
        <v>93500</v>
      </c>
      <c r="N317" s="4">
        <v>0.06</v>
      </c>
      <c r="O317" s="4">
        <v>0.95</v>
      </c>
      <c r="P317" t="s">
        <v>29</v>
      </c>
      <c r="R317">
        <v>76</v>
      </c>
      <c r="S317" s="3">
        <v>7321.44</v>
      </c>
    </row>
    <row r="318" spans="1:19" x14ac:dyDescent="0.2">
      <c r="A318" t="s">
        <v>654</v>
      </c>
      <c r="B318" s="2">
        <v>45938</v>
      </c>
      <c r="C318" s="2">
        <v>45991</v>
      </c>
      <c r="D318" t="s">
        <v>655</v>
      </c>
      <c r="E318" t="s">
        <v>62</v>
      </c>
      <c r="F318" t="s">
        <v>22</v>
      </c>
      <c r="G318" t="s">
        <v>63</v>
      </c>
      <c r="H318" t="s">
        <v>64</v>
      </c>
      <c r="I318" t="s">
        <v>65</v>
      </c>
      <c r="J318" t="s">
        <v>36</v>
      </c>
      <c r="K318" t="s">
        <v>27</v>
      </c>
      <c r="L318" t="s">
        <v>28</v>
      </c>
      <c r="M318" s="3">
        <v>72900</v>
      </c>
      <c r="N318" s="4">
        <v>0.128</v>
      </c>
      <c r="O318" s="4">
        <v>0.05</v>
      </c>
      <c r="P318" t="s">
        <v>29</v>
      </c>
      <c r="Q318" t="s">
        <v>45</v>
      </c>
      <c r="R318">
        <v>53</v>
      </c>
      <c r="S318" s="3">
        <v>5299.46</v>
      </c>
    </row>
    <row r="319" spans="1:19" x14ac:dyDescent="0.2">
      <c r="A319" t="s">
        <v>656</v>
      </c>
      <c r="B319" s="2">
        <v>46178</v>
      </c>
      <c r="C319" s="2">
        <v>46242</v>
      </c>
      <c r="D319" t="s">
        <v>657</v>
      </c>
      <c r="E319" t="s">
        <v>91</v>
      </c>
      <c r="F319" t="s">
        <v>48</v>
      </c>
      <c r="G319" t="s">
        <v>34</v>
      </c>
      <c r="H319" t="s">
        <v>69</v>
      </c>
      <c r="I319" t="s">
        <v>84</v>
      </c>
      <c r="J319" t="s">
        <v>57</v>
      </c>
      <c r="K319" t="s">
        <v>78</v>
      </c>
      <c r="L319" t="s">
        <v>44</v>
      </c>
      <c r="M319" s="3">
        <v>26000</v>
      </c>
      <c r="N319" s="4">
        <v>0.218</v>
      </c>
      <c r="O319" s="4">
        <v>0.55000000000000004</v>
      </c>
      <c r="P319" t="s">
        <v>79</v>
      </c>
      <c r="R319">
        <v>64</v>
      </c>
      <c r="S319" s="3">
        <v>1695.25</v>
      </c>
    </row>
    <row r="320" spans="1:19" x14ac:dyDescent="0.2">
      <c r="A320" t="s">
        <v>658</v>
      </c>
      <c r="B320" s="2">
        <v>45987</v>
      </c>
      <c r="C320" s="2">
        <v>46027</v>
      </c>
      <c r="D320" t="s">
        <v>659</v>
      </c>
      <c r="E320" t="s">
        <v>21</v>
      </c>
      <c r="F320" t="s">
        <v>48</v>
      </c>
      <c r="G320" t="s">
        <v>34</v>
      </c>
      <c r="H320" t="s">
        <v>41</v>
      </c>
      <c r="I320" t="s">
        <v>35</v>
      </c>
      <c r="J320" t="s">
        <v>26</v>
      </c>
      <c r="K320" t="s">
        <v>88</v>
      </c>
      <c r="L320" t="s">
        <v>28</v>
      </c>
      <c r="M320" s="3">
        <v>11400</v>
      </c>
      <c r="N320" s="4">
        <v>6.0000000000000001E-3</v>
      </c>
      <c r="O320" s="4">
        <v>0.3</v>
      </c>
      <c r="P320" t="s">
        <v>38</v>
      </c>
      <c r="R320">
        <v>40</v>
      </c>
      <c r="S320" s="3">
        <v>944.39</v>
      </c>
    </row>
    <row r="321" spans="1:19" x14ac:dyDescent="0.2">
      <c r="A321" t="s">
        <v>660</v>
      </c>
      <c r="B321" s="2">
        <v>46219</v>
      </c>
      <c r="C321" s="2">
        <v>46279</v>
      </c>
      <c r="D321" t="s">
        <v>661</v>
      </c>
      <c r="E321" t="s">
        <v>33</v>
      </c>
      <c r="F321" t="s">
        <v>74</v>
      </c>
      <c r="G321" t="s">
        <v>63</v>
      </c>
      <c r="H321" t="s">
        <v>56</v>
      </c>
      <c r="I321" t="s">
        <v>99</v>
      </c>
      <c r="J321" t="s">
        <v>26</v>
      </c>
      <c r="K321" t="s">
        <v>106</v>
      </c>
      <c r="L321" t="s">
        <v>51</v>
      </c>
      <c r="M321" s="3">
        <v>293600</v>
      </c>
      <c r="N321" s="4">
        <v>0.114</v>
      </c>
      <c r="O321" s="4">
        <v>0.2</v>
      </c>
      <c r="P321" t="s">
        <v>38</v>
      </c>
      <c r="R321">
        <v>60</v>
      </c>
      <c r="S321" s="3">
        <v>21670.720000000001</v>
      </c>
    </row>
    <row r="322" spans="1:19" x14ac:dyDescent="0.2">
      <c r="A322" t="s">
        <v>662</v>
      </c>
      <c r="B322" s="2">
        <v>46273</v>
      </c>
      <c r="C322" s="2">
        <v>46324</v>
      </c>
      <c r="D322" t="s">
        <v>663</v>
      </c>
      <c r="E322" t="s">
        <v>111</v>
      </c>
      <c r="F322" t="s">
        <v>22</v>
      </c>
      <c r="G322" t="s">
        <v>92</v>
      </c>
      <c r="H322" t="s">
        <v>77</v>
      </c>
      <c r="I322" t="s">
        <v>84</v>
      </c>
      <c r="J322" t="s">
        <v>57</v>
      </c>
      <c r="K322" t="s">
        <v>106</v>
      </c>
      <c r="L322" t="s">
        <v>51</v>
      </c>
      <c r="M322" s="3">
        <v>74300</v>
      </c>
      <c r="N322" s="4">
        <v>0.09</v>
      </c>
      <c r="O322" s="4">
        <v>0.2</v>
      </c>
      <c r="P322" t="s">
        <v>38</v>
      </c>
      <c r="R322">
        <v>51</v>
      </c>
      <c r="S322" s="3">
        <v>5633.59</v>
      </c>
    </row>
    <row r="323" spans="1:19" x14ac:dyDescent="0.2">
      <c r="A323" t="s">
        <v>664</v>
      </c>
      <c r="B323" s="2">
        <v>46107</v>
      </c>
      <c r="C323" s="2">
        <v>46141</v>
      </c>
      <c r="D323" t="s">
        <v>665</v>
      </c>
      <c r="E323" t="s">
        <v>68</v>
      </c>
      <c r="F323" t="s">
        <v>22</v>
      </c>
      <c r="G323" t="s">
        <v>23</v>
      </c>
      <c r="H323" t="s">
        <v>77</v>
      </c>
      <c r="I323" t="s">
        <v>99</v>
      </c>
      <c r="J323" t="s">
        <v>57</v>
      </c>
      <c r="K323" t="s">
        <v>106</v>
      </c>
      <c r="L323" t="s">
        <v>28</v>
      </c>
      <c r="M323" s="3">
        <v>41900</v>
      </c>
      <c r="N323" s="4">
        <v>0.26600000000000001</v>
      </c>
      <c r="O323" s="4">
        <v>0.25</v>
      </c>
      <c r="P323" t="s">
        <v>38</v>
      </c>
      <c r="R323">
        <v>34</v>
      </c>
      <c r="S323" s="3">
        <v>2563.4299999999998</v>
      </c>
    </row>
    <row r="324" spans="1:19" x14ac:dyDescent="0.2">
      <c r="A324" t="s">
        <v>666</v>
      </c>
      <c r="B324" s="2">
        <v>46066</v>
      </c>
      <c r="C324" s="2">
        <v>46171</v>
      </c>
      <c r="D324" t="s">
        <v>667</v>
      </c>
      <c r="E324" t="s">
        <v>82</v>
      </c>
      <c r="F324" t="s">
        <v>74</v>
      </c>
      <c r="G324" t="s">
        <v>23</v>
      </c>
      <c r="H324" t="s">
        <v>24</v>
      </c>
      <c r="I324" t="s">
        <v>25</v>
      </c>
      <c r="J324" t="s">
        <v>85</v>
      </c>
      <c r="K324" t="s">
        <v>88</v>
      </c>
      <c r="L324" t="s">
        <v>44</v>
      </c>
      <c r="M324" s="3">
        <v>141700</v>
      </c>
      <c r="N324" s="4">
        <v>0.10100000000000001</v>
      </c>
      <c r="O324" s="4">
        <v>0.35</v>
      </c>
      <c r="P324" t="s">
        <v>38</v>
      </c>
      <c r="R324">
        <v>105</v>
      </c>
      <c r="S324" s="3">
        <v>10616.75</v>
      </c>
    </row>
    <row r="325" spans="1:19" x14ac:dyDescent="0.2">
      <c r="A325" t="s">
        <v>668</v>
      </c>
      <c r="B325" s="2">
        <v>46261</v>
      </c>
      <c r="C325" s="2">
        <v>46292</v>
      </c>
      <c r="D325" t="s">
        <v>669</v>
      </c>
      <c r="E325" t="s">
        <v>82</v>
      </c>
      <c r="F325" t="s">
        <v>74</v>
      </c>
      <c r="G325" t="s">
        <v>34</v>
      </c>
      <c r="H325" t="s">
        <v>49</v>
      </c>
      <c r="I325" t="s">
        <v>84</v>
      </c>
      <c r="J325" t="s">
        <v>85</v>
      </c>
      <c r="K325" t="s">
        <v>58</v>
      </c>
      <c r="L325" t="s">
        <v>44</v>
      </c>
      <c r="M325" s="3">
        <v>130900</v>
      </c>
      <c r="N325" s="4">
        <v>7.0000000000000007E-2</v>
      </c>
      <c r="O325" s="4">
        <v>0.75</v>
      </c>
      <c r="P325" t="s">
        <v>59</v>
      </c>
      <c r="R325">
        <v>31</v>
      </c>
      <c r="S325" s="3">
        <v>10141.030000000001</v>
      </c>
    </row>
    <row r="326" spans="1:19" x14ac:dyDescent="0.2">
      <c r="A326" t="s">
        <v>670</v>
      </c>
      <c r="B326" s="2">
        <v>46154</v>
      </c>
      <c r="C326" s="2">
        <v>46250</v>
      </c>
      <c r="D326" t="s">
        <v>671</v>
      </c>
      <c r="E326" t="s">
        <v>33</v>
      </c>
      <c r="F326" t="s">
        <v>74</v>
      </c>
      <c r="G326" t="s">
        <v>92</v>
      </c>
      <c r="H326" t="s">
        <v>56</v>
      </c>
      <c r="I326" t="s">
        <v>84</v>
      </c>
      <c r="J326" t="s">
        <v>85</v>
      </c>
      <c r="K326" t="s">
        <v>88</v>
      </c>
      <c r="L326" t="s">
        <v>44</v>
      </c>
      <c r="M326" s="3">
        <v>96000</v>
      </c>
      <c r="N326" s="4">
        <v>0.19400000000000001</v>
      </c>
      <c r="O326" s="4">
        <v>0.3</v>
      </c>
      <c r="P326" t="s">
        <v>38</v>
      </c>
      <c r="R326">
        <v>96</v>
      </c>
      <c r="S326" s="3">
        <v>6450.84</v>
      </c>
    </row>
    <row r="327" spans="1:19" x14ac:dyDescent="0.2">
      <c r="A327" t="s">
        <v>672</v>
      </c>
      <c r="B327" s="2">
        <v>46014</v>
      </c>
      <c r="C327" s="2">
        <v>46163</v>
      </c>
      <c r="D327" t="s">
        <v>673</v>
      </c>
      <c r="E327" t="s">
        <v>54</v>
      </c>
      <c r="F327" t="s">
        <v>48</v>
      </c>
      <c r="G327" t="s">
        <v>92</v>
      </c>
      <c r="H327" t="s">
        <v>120</v>
      </c>
      <c r="I327" t="s">
        <v>65</v>
      </c>
      <c r="J327" t="s">
        <v>85</v>
      </c>
      <c r="K327" t="s">
        <v>37</v>
      </c>
      <c r="L327" t="s">
        <v>44</v>
      </c>
      <c r="M327" s="3">
        <v>23600</v>
      </c>
      <c r="N327" s="4">
        <v>0.112</v>
      </c>
      <c r="O327" s="4">
        <v>0.05</v>
      </c>
      <c r="P327" t="s">
        <v>38</v>
      </c>
      <c r="R327">
        <v>149</v>
      </c>
      <c r="S327" s="3">
        <v>1746.39</v>
      </c>
    </row>
    <row r="328" spans="1:19" x14ac:dyDescent="0.2">
      <c r="A328" t="s">
        <v>674</v>
      </c>
      <c r="B328" s="2">
        <v>46043</v>
      </c>
      <c r="C328" s="2">
        <v>46135</v>
      </c>
      <c r="D328" t="s">
        <v>399</v>
      </c>
      <c r="E328" t="s">
        <v>62</v>
      </c>
      <c r="F328" t="s">
        <v>22</v>
      </c>
      <c r="G328" t="s">
        <v>23</v>
      </c>
      <c r="H328" t="s">
        <v>137</v>
      </c>
      <c r="I328" t="s">
        <v>25</v>
      </c>
      <c r="J328" t="s">
        <v>43</v>
      </c>
      <c r="K328" t="s">
        <v>50</v>
      </c>
      <c r="L328" t="s">
        <v>44</v>
      </c>
      <c r="M328" s="3">
        <v>51800</v>
      </c>
      <c r="N328" s="4">
        <v>0.19400000000000001</v>
      </c>
      <c r="O328" s="4">
        <v>1</v>
      </c>
      <c r="P328" t="s">
        <v>29</v>
      </c>
      <c r="R328">
        <v>92</v>
      </c>
      <c r="S328" s="3">
        <v>3478.75</v>
      </c>
    </row>
    <row r="329" spans="1:19" x14ac:dyDescent="0.2">
      <c r="A329" t="s">
        <v>675</v>
      </c>
      <c r="B329" s="2">
        <v>45973</v>
      </c>
      <c r="C329" s="2">
        <v>46088</v>
      </c>
      <c r="D329" t="s">
        <v>676</v>
      </c>
      <c r="E329" t="s">
        <v>82</v>
      </c>
      <c r="F329" t="s">
        <v>22</v>
      </c>
      <c r="G329" t="s">
        <v>63</v>
      </c>
      <c r="H329" t="s">
        <v>64</v>
      </c>
      <c r="I329" t="s">
        <v>65</v>
      </c>
      <c r="J329" t="s">
        <v>57</v>
      </c>
      <c r="K329" t="s">
        <v>37</v>
      </c>
      <c r="L329" t="s">
        <v>44</v>
      </c>
      <c r="M329" s="3">
        <v>43600</v>
      </c>
      <c r="N329" s="4">
        <v>0.16</v>
      </c>
      <c r="O329" s="4">
        <v>0.05</v>
      </c>
      <c r="P329" t="s">
        <v>38</v>
      </c>
      <c r="R329">
        <v>115</v>
      </c>
      <c r="S329" s="3">
        <v>3053.16</v>
      </c>
    </row>
    <row r="330" spans="1:19" x14ac:dyDescent="0.2">
      <c r="A330" t="s">
        <v>677</v>
      </c>
      <c r="B330" s="2">
        <v>46089</v>
      </c>
      <c r="C330" s="2">
        <v>46169</v>
      </c>
      <c r="D330" t="s">
        <v>669</v>
      </c>
      <c r="E330" t="s">
        <v>111</v>
      </c>
      <c r="F330" t="s">
        <v>48</v>
      </c>
      <c r="G330" t="s">
        <v>23</v>
      </c>
      <c r="H330" t="s">
        <v>120</v>
      </c>
      <c r="I330" t="s">
        <v>99</v>
      </c>
      <c r="J330" t="s">
        <v>26</v>
      </c>
      <c r="K330" t="s">
        <v>27</v>
      </c>
      <c r="L330" t="s">
        <v>28</v>
      </c>
      <c r="M330" s="3">
        <v>27600</v>
      </c>
      <c r="N330" s="4">
        <v>0.13100000000000001</v>
      </c>
      <c r="O330" s="4">
        <v>0.05</v>
      </c>
      <c r="P330" t="s">
        <v>29</v>
      </c>
      <c r="Q330" t="s">
        <v>126</v>
      </c>
      <c r="R330">
        <v>80</v>
      </c>
      <c r="S330" s="3">
        <v>1999.51</v>
      </c>
    </row>
    <row r="331" spans="1:19" x14ac:dyDescent="0.2">
      <c r="A331" t="s">
        <v>678</v>
      </c>
      <c r="B331" s="2">
        <v>46203</v>
      </c>
      <c r="C331" s="2">
        <v>46254</v>
      </c>
      <c r="D331" t="s">
        <v>679</v>
      </c>
      <c r="E331" t="s">
        <v>54</v>
      </c>
      <c r="F331" t="s">
        <v>48</v>
      </c>
      <c r="G331" t="s">
        <v>63</v>
      </c>
      <c r="H331" t="s">
        <v>56</v>
      </c>
      <c r="I331" t="s">
        <v>99</v>
      </c>
      <c r="J331" t="s">
        <v>85</v>
      </c>
      <c r="K331" t="s">
        <v>58</v>
      </c>
      <c r="L331" t="s">
        <v>51</v>
      </c>
      <c r="M331" s="3">
        <v>18100</v>
      </c>
      <c r="N331" s="4">
        <v>0.121</v>
      </c>
      <c r="O331" s="4">
        <v>0.8</v>
      </c>
      <c r="P331" t="s">
        <v>59</v>
      </c>
      <c r="R331">
        <v>51</v>
      </c>
      <c r="S331" s="3">
        <v>1325.39</v>
      </c>
    </row>
    <row r="332" spans="1:19" x14ac:dyDescent="0.2">
      <c r="A332" t="s">
        <v>680</v>
      </c>
      <c r="B332" s="2">
        <v>46240</v>
      </c>
      <c r="C332" s="2">
        <v>46315</v>
      </c>
      <c r="D332" t="s">
        <v>681</v>
      </c>
      <c r="E332" t="s">
        <v>21</v>
      </c>
      <c r="F332" t="s">
        <v>22</v>
      </c>
      <c r="G332" t="s">
        <v>55</v>
      </c>
      <c r="H332" t="s">
        <v>120</v>
      </c>
      <c r="I332" t="s">
        <v>42</v>
      </c>
      <c r="J332" t="s">
        <v>43</v>
      </c>
      <c r="K332" t="s">
        <v>58</v>
      </c>
      <c r="L332" t="s">
        <v>51</v>
      </c>
      <c r="M332" s="3">
        <v>48200</v>
      </c>
      <c r="N332" s="4">
        <v>0.17499999999999999</v>
      </c>
      <c r="O332" s="4">
        <v>0.75</v>
      </c>
      <c r="P332" t="s">
        <v>59</v>
      </c>
      <c r="R332">
        <v>75</v>
      </c>
      <c r="S332" s="3">
        <v>3312.45</v>
      </c>
    </row>
    <row r="333" spans="1:19" x14ac:dyDescent="0.2">
      <c r="A333" t="s">
        <v>682</v>
      </c>
      <c r="B333" s="2">
        <v>46122</v>
      </c>
      <c r="C333" s="2">
        <v>46180</v>
      </c>
      <c r="D333" t="s">
        <v>309</v>
      </c>
      <c r="E333" t="s">
        <v>33</v>
      </c>
      <c r="F333" t="s">
        <v>22</v>
      </c>
      <c r="G333" t="s">
        <v>92</v>
      </c>
      <c r="H333" t="s">
        <v>49</v>
      </c>
      <c r="I333" t="s">
        <v>84</v>
      </c>
      <c r="J333" t="s">
        <v>36</v>
      </c>
      <c r="K333" t="s">
        <v>58</v>
      </c>
      <c r="L333" t="s">
        <v>44</v>
      </c>
      <c r="M333" s="3">
        <v>76700</v>
      </c>
      <c r="N333" s="4">
        <v>8.2000000000000003E-2</v>
      </c>
      <c r="O333" s="4">
        <v>0.75</v>
      </c>
      <c r="P333" t="s">
        <v>59</v>
      </c>
      <c r="R333">
        <v>58</v>
      </c>
      <c r="S333" s="3">
        <v>5869.44</v>
      </c>
    </row>
    <row r="334" spans="1:19" x14ac:dyDescent="0.2">
      <c r="A334" t="s">
        <v>683</v>
      </c>
      <c r="B334" s="2">
        <v>46001</v>
      </c>
      <c r="C334" s="2">
        <v>46118</v>
      </c>
      <c r="D334" t="s">
        <v>684</v>
      </c>
      <c r="E334" t="s">
        <v>62</v>
      </c>
      <c r="F334" t="s">
        <v>48</v>
      </c>
      <c r="G334" t="s">
        <v>34</v>
      </c>
      <c r="H334" t="s">
        <v>77</v>
      </c>
      <c r="I334" t="s">
        <v>42</v>
      </c>
      <c r="J334" t="s">
        <v>43</v>
      </c>
      <c r="K334" t="s">
        <v>27</v>
      </c>
      <c r="L334" t="s">
        <v>44</v>
      </c>
      <c r="M334" s="3">
        <v>19000</v>
      </c>
      <c r="N334" s="4">
        <v>0</v>
      </c>
      <c r="O334" s="4">
        <v>0</v>
      </c>
      <c r="P334" t="s">
        <v>29</v>
      </c>
      <c r="Q334" t="s">
        <v>222</v>
      </c>
      <c r="R334">
        <v>117</v>
      </c>
      <c r="S334" s="3">
        <v>1583.33</v>
      </c>
    </row>
    <row r="335" spans="1:19" x14ac:dyDescent="0.2">
      <c r="A335" t="s">
        <v>685</v>
      </c>
      <c r="B335" s="2">
        <v>46223</v>
      </c>
      <c r="C335" s="2">
        <v>46274</v>
      </c>
      <c r="D335" t="s">
        <v>686</v>
      </c>
      <c r="E335" t="s">
        <v>21</v>
      </c>
      <c r="F335" t="s">
        <v>48</v>
      </c>
      <c r="G335" t="s">
        <v>23</v>
      </c>
      <c r="H335" t="s">
        <v>137</v>
      </c>
      <c r="I335" t="s">
        <v>65</v>
      </c>
      <c r="J335" t="s">
        <v>85</v>
      </c>
      <c r="K335" t="s">
        <v>58</v>
      </c>
      <c r="L335" t="s">
        <v>28</v>
      </c>
      <c r="M335" s="3">
        <v>7900</v>
      </c>
      <c r="N335" s="4">
        <v>0.2</v>
      </c>
      <c r="O335" s="4">
        <v>0.75</v>
      </c>
      <c r="P335" t="s">
        <v>59</v>
      </c>
      <c r="R335">
        <v>51</v>
      </c>
      <c r="S335" s="3">
        <v>526.6</v>
      </c>
    </row>
    <row r="336" spans="1:19" x14ac:dyDescent="0.2">
      <c r="A336" t="s">
        <v>687</v>
      </c>
      <c r="B336" s="2">
        <v>46097</v>
      </c>
      <c r="C336" s="2">
        <v>46246</v>
      </c>
      <c r="D336" t="s">
        <v>688</v>
      </c>
      <c r="E336" t="s">
        <v>62</v>
      </c>
      <c r="F336" t="s">
        <v>48</v>
      </c>
      <c r="G336" t="s">
        <v>34</v>
      </c>
      <c r="H336" t="s">
        <v>137</v>
      </c>
      <c r="I336" t="s">
        <v>35</v>
      </c>
      <c r="J336" t="s">
        <v>85</v>
      </c>
      <c r="K336" t="s">
        <v>88</v>
      </c>
      <c r="L336" t="s">
        <v>28</v>
      </c>
      <c r="M336" s="3">
        <v>13300</v>
      </c>
      <c r="N336" s="4">
        <v>2.4E-2</v>
      </c>
      <c r="O336" s="4">
        <v>0.35</v>
      </c>
      <c r="P336" t="s">
        <v>38</v>
      </c>
      <c r="R336">
        <v>149</v>
      </c>
      <c r="S336" s="3">
        <v>1081.3399999999999</v>
      </c>
    </row>
    <row r="337" spans="1:19" x14ac:dyDescent="0.2">
      <c r="A337" t="s">
        <v>689</v>
      </c>
      <c r="B337" s="2">
        <v>46001</v>
      </c>
      <c r="C337" s="2">
        <v>46074</v>
      </c>
      <c r="D337" t="s">
        <v>136</v>
      </c>
      <c r="E337" t="s">
        <v>62</v>
      </c>
      <c r="F337" t="s">
        <v>48</v>
      </c>
      <c r="G337" t="s">
        <v>23</v>
      </c>
      <c r="H337" t="s">
        <v>24</v>
      </c>
      <c r="I337" t="s">
        <v>65</v>
      </c>
      <c r="J337" t="s">
        <v>43</v>
      </c>
      <c r="K337" t="s">
        <v>88</v>
      </c>
      <c r="L337" t="s">
        <v>44</v>
      </c>
      <c r="M337" s="3">
        <v>29500</v>
      </c>
      <c r="N337" s="4">
        <v>0.183</v>
      </c>
      <c r="O337" s="4">
        <v>0.3</v>
      </c>
      <c r="P337" t="s">
        <v>38</v>
      </c>
      <c r="R337">
        <v>73</v>
      </c>
      <c r="S337" s="3">
        <v>2008.34</v>
      </c>
    </row>
    <row r="338" spans="1:19" x14ac:dyDescent="0.2">
      <c r="A338" t="s">
        <v>690</v>
      </c>
      <c r="B338" s="2">
        <v>45956</v>
      </c>
      <c r="C338" s="2">
        <v>46104</v>
      </c>
      <c r="D338" t="s">
        <v>691</v>
      </c>
      <c r="E338" t="s">
        <v>111</v>
      </c>
      <c r="F338" t="s">
        <v>48</v>
      </c>
      <c r="G338" t="s">
        <v>92</v>
      </c>
      <c r="H338" t="s">
        <v>120</v>
      </c>
      <c r="I338" t="s">
        <v>25</v>
      </c>
      <c r="J338" t="s">
        <v>57</v>
      </c>
      <c r="K338" t="s">
        <v>37</v>
      </c>
      <c r="L338" t="s">
        <v>28</v>
      </c>
      <c r="M338" s="3">
        <v>21000</v>
      </c>
      <c r="N338" s="4">
        <v>8.8999999999999996E-2</v>
      </c>
      <c r="O338" s="4">
        <v>0.1</v>
      </c>
      <c r="P338" t="s">
        <v>38</v>
      </c>
      <c r="R338">
        <v>148</v>
      </c>
      <c r="S338" s="3">
        <v>1593.84</v>
      </c>
    </row>
    <row r="339" spans="1:19" x14ac:dyDescent="0.2">
      <c r="A339" t="s">
        <v>692</v>
      </c>
      <c r="B339" s="2">
        <v>46056</v>
      </c>
      <c r="C339" s="2">
        <v>46103</v>
      </c>
      <c r="D339" t="s">
        <v>693</v>
      </c>
      <c r="E339" t="s">
        <v>21</v>
      </c>
      <c r="F339" t="s">
        <v>48</v>
      </c>
      <c r="G339" t="s">
        <v>34</v>
      </c>
      <c r="H339" t="s">
        <v>98</v>
      </c>
      <c r="I339" t="s">
        <v>42</v>
      </c>
      <c r="J339" t="s">
        <v>57</v>
      </c>
      <c r="K339" t="s">
        <v>78</v>
      </c>
      <c r="L339" t="s">
        <v>51</v>
      </c>
      <c r="M339" s="3">
        <v>9400</v>
      </c>
      <c r="N339" s="4">
        <v>7.8E-2</v>
      </c>
      <c r="O339" s="4">
        <v>0.55000000000000004</v>
      </c>
      <c r="P339" t="s">
        <v>79</v>
      </c>
      <c r="R339">
        <v>47</v>
      </c>
      <c r="S339" s="3">
        <v>722.35</v>
      </c>
    </row>
    <row r="340" spans="1:19" x14ac:dyDescent="0.2">
      <c r="A340" t="s">
        <v>694</v>
      </c>
      <c r="B340" s="2">
        <v>46036</v>
      </c>
      <c r="C340" s="2">
        <v>46063</v>
      </c>
      <c r="D340" t="s">
        <v>604</v>
      </c>
      <c r="E340" t="s">
        <v>21</v>
      </c>
      <c r="F340" t="s">
        <v>22</v>
      </c>
      <c r="G340" t="s">
        <v>55</v>
      </c>
      <c r="H340" t="s">
        <v>137</v>
      </c>
      <c r="I340" t="s">
        <v>84</v>
      </c>
      <c r="J340" t="s">
        <v>26</v>
      </c>
      <c r="K340" t="s">
        <v>88</v>
      </c>
      <c r="L340" t="s">
        <v>28</v>
      </c>
      <c r="M340" s="3">
        <v>47900</v>
      </c>
      <c r="N340" s="4">
        <v>9.6000000000000002E-2</v>
      </c>
      <c r="O340" s="4">
        <v>0.3</v>
      </c>
      <c r="P340" t="s">
        <v>38</v>
      </c>
      <c r="R340">
        <v>27</v>
      </c>
      <c r="S340" s="3">
        <v>3606.85</v>
      </c>
    </row>
    <row r="341" spans="1:19" x14ac:dyDescent="0.2">
      <c r="A341" t="s">
        <v>695</v>
      </c>
      <c r="B341" s="2">
        <v>46207</v>
      </c>
      <c r="C341" s="2">
        <v>46284</v>
      </c>
      <c r="D341" t="s">
        <v>145</v>
      </c>
      <c r="E341" t="s">
        <v>82</v>
      </c>
      <c r="F341" t="s">
        <v>74</v>
      </c>
      <c r="G341" t="s">
        <v>55</v>
      </c>
      <c r="H341" t="s">
        <v>137</v>
      </c>
      <c r="I341" t="s">
        <v>25</v>
      </c>
      <c r="J341" t="s">
        <v>26</v>
      </c>
      <c r="K341" t="s">
        <v>88</v>
      </c>
      <c r="L341" t="s">
        <v>44</v>
      </c>
      <c r="M341" s="3">
        <v>219400</v>
      </c>
      <c r="N341" s="4">
        <v>0.114</v>
      </c>
      <c r="O341" s="4">
        <v>0.35</v>
      </c>
      <c r="P341" t="s">
        <v>38</v>
      </c>
      <c r="R341">
        <v>77</v>
      </c>
      <c r="S341" s="3">
        <v>16205.25</v>
      </c>
    </row>
    <row r="342" spans="1:19" x14ac:dyDescent="0.2">
      <c r="A342" t="s">
        <v>696</v>
      </c>
      <c r="B342" s="2">
        <v>46043</v>
      </c>
      <c r="C342" s="2">
        <v>46061</v>
      </c>
      <c r="D342" t="s">
        <v>190</v>
      </c>
      <c r="E342" t="s">
        <v>91</v>
      </c>
      <c r="F342" t="s">
        <v>74</v>
      </c>
      <c r="G342" t="s">
        <v>34</v>
      </c>
      <c r="H342" t="s">
        <v>137</v>
      </c>
      <c r="I342" t="s">
        <v>42</v>
      </c>
      <c r="J342" t="s">
        <v>57</v>
      </c>
      <c r="K342" t="s">
        <v>50</v>
      </c>
      <c r="L342" t="s">
        <v>51</v>
      </c>
      <c r="M342" s="3">
        <v>304500</v>
      </c>
      <c r="N342" s="4">
        <v>0.27800000000000002</v>
      </c>
      <c r="O342" s="4">
        <v>0.95</v>
      </c>
      <c r="P342" t="s">
        <v>29</v>
      </c>
      <c r="R342">
        <v>18</v>
      </c>
      <c r="S342" s="3">
        <v>18308.75</v>
      </c>
    </row>
    <row r="343" spans="1:19" x14ac:dyDescent="0.2">
      <c r="A343" t="s">
        <v>697</v>
      </c>
      <c r="B343" s="2">
        <v>46094</v>
      </c>
      <c r="C343" s="2">
        <v>46205</v>
      </c>
      <c r="D343" t="s">
        <v>698</v>
      </c>
      <c r="E343" t="s">
        <v>33</v>
      </c>
      <c r="F343" t="s">
        <v>48</v>
      </c>
      <c r="G343" t="s">
        <v>23</v>
      </c>
      <c r="H343" t="s">
        <v>95</v>
      </c>
      <c r="I343" t="s">
        <v>42</v>
      </c>
      <c r="J343" t="s">
        <v>43</v>
      </c>
      <c r="K343" t="s">
        <v>37</v>
      </c>
      <c r="L343" t="s">
        <v>51</v>
      </c>
      <c r="M343" s="3">
        <v>13500</v>
      </c>
      <c r="N343" s="4">
        <v>0.19800000000000001</v>
      </c>
      <c r="O343" s="4">
        <v>0.1</v>
      </c>
      <c r="P343" t="s">
        <v>38</v>
      </c>
      <c r="R343">
        <v>111</v>
      </c>
      <c r="S343" s="3">
        <v>901.74</v>
      </c>
    </row>
    <row r="344" spans="1:19" x14ac:dyDescent="0.2">
      <c r="A344" t="s">
        <v>699</v>
      </c>
      <c r="B344" s="2">
        <v>46127</v>
      </c>
      <c r="C344" s="2">
        <v>46219</v>
      </c>
      <c r="D344" t="s">
        <v>700</v>
      </c>
      <c r="E344" t="s">
        <v>54</v>
      </c>
      <c r="F344" t="s">
        <v>48</v>
      </c>
      <c r="G344" t="s">
        <v>63</v>
      </c>
      <c r="H344" t="s">
        <v>69</v>
      </c>
      <c r="I344" t="s">
        <v>99</v>
      </c>
      <c r="J344" t="s">
        <v>26</v>
      </c>
      <c r="K344" t="s">
        <v>78</v>
      </c>
      <c r="L344" t="s">
        <v>28</v>
      </c>
      <c r="M344" s="3">
        <v>20100</v>
      </c>
      <c r="N344" s="4">
        <v>0.10199999999999999</v>
      </c>
      <c r="O344" s="4">
        <v>0.55000000000000004</v>
      </c>
      <c r="P344" t="s">
        <v>79</v>
      </c>
      <c r="R344">
        <v>92</v>
      </c>
      <c r="S344" s="3">
        <v>1504.75</v>
      </c>
    </row>
    <row r="345" spans="1:19" x14ac:dyDescent="0.2">
      <c r="A345" t="s">
        <v>701</v>
      </c>
      <c r="B345" s="2">
        <v>45984</v>
      </c>
      <c r="C345" s="2">
        <v>46025</v>
      </c>
      <c r="D345" t="s">
        <v>702</v>
      </c>
      <c r="E345" t="s">
        <v>62</v>
      </c>
      <c r="F345" t="s">
        <v>22</v>
      </c>
      <c r="G345" t="s">
        <v>55</v>
      </c>
      <c r="H345" t="s">
        <v>64</v>
      </c>
      <c r="I345" t="s">
        <v>35</v>
      </c>
      <c r="J345" t="s">
        <v>43</v>
      </c>
      <c r="K345" t="s">
        <v>50</v>
      </c>
      <c r="L345" t="s">
        <v>51</v>
      </c>
      <c r="M345" s="3">
        <v>87400</v>
      </c>
      <c r="N345" s="4">
        <v>0.08</v>
      </c>
      <c r="O345" s="4">
        <v>0.95</v>
      </c>
      <c r="P345" t="s">
        <v>29</v>
      </c>
      <c r="R345">
        <v>41</v>
      </c>
      <c r="S345" s="3">
        <v>6698.57</v>
      </c>
    </row>
    <row r="346" spans="1:19" x14ac:dyDescent="0.2">
      <c r="A346" t="s">
        <v>703</v>
      </c>
      <c r="B346" s="2">
        <v>46145</v>
      </c>
      <c r="C346" s="2">
        <v>46175</v>
      </c>
      <c r="D346" t="s">
        <v>704</v>
      </c>
      <c r="E346" t="s">
        <v>111</v>
      </c>
      <c r="F346" t="s">
        <v>22</v>
      </c>
      <c r="G346" t="s">
        <v>92</v>
      </c>
      <c r="H346" t="s">
        <v>98</v>
      </c>
      <c r="I346" t="s">
        <v>42</v>
      </c>
      <c r="J346" t="s">
        <v>43</v>
      </c>
      <c r="K346" t="s">
        <v>50</v>
      </c>
      <c r="L346" t="s">
        <v>44</v>
      </c>
      <c r="M346" s="3">
        <v>40100</v>
      </c>
      <c r="N346" s="4">
        <v>7.8E-2</v>
      </c>
      <c r="O346" s="4">
        <v>1</v>
      </c>
      <c r="P346" t="s">
        <v>29</v>
      </c>
      <c r="R346">
        <v>30</v>
      </c>
      <c r="S346" s="3">
        <v>3080.07</v>
      </c>
    </row>
    <row r="347" spans="1:19" x14ac:dyDescent="0.2">
      <c r="A347" t="s">
        <v>705</v>
      </c>
      <c r="B347" s="2">
        <v>46038</v>
      </c>
      <c r="C347" s="2">
        <v>46164</v>
      </c>
      <c r="D347" t="s">
        <v>706</v>
      </c>
      <c r="E347" t="s">
        <v>111</v>
      </c>
      <c r="F347" t="s">
        <v>74</v>
      </c>
      <c r="G347" t="s">
        <v>23</v>
      </c>
      <c r="H347" t="s">
        <v>49</v>
      </c>
      <c r="I347" t="s">
        <v>42</v>
      </c>
      <c r="J347" t="s">
        <v>26</v>
      </c>
      <c r="K347" t="s">
        <v>88</v>
      </c>
      <c r="L347" t="s">
        <v>51</v>
      </c>
      <c r="M347" s="3">
        <v>332900</v>
      </c>
      <c r="N347" s="4">
        <v>0.107</v>
      </c>
      <c r="O347" s="4">
        <v>0.4</v>
      </c>
      <c r="P347" t="s">
        <v>38</v>
      </c>
      <c r="R347">
        <v>126</v>
      </c>
      <c r="S347" s="3">
        <v>24783.49</v>
      </c>
    </row>
    <row r="348" spans="1:19" x14ac:dyDescent="0.2">
      <c r="A348" t="s">
        <v>707</v>
      </c>
      <c r="B348" s="2">
        <v>46217</v>
      </c>
      <c r="C348" s="2">
        <v>46277</v>
      </c>
      <c r="D348" t="s">
        <v>708</v>
      </c>
      <c r="E348" t="s">
        <v>111</v>
      </c>
      <c r="F348" t="s">
        <v>74</v>
      </c>
      <c r="G348" t="s">
        <v>92</v>
      </c>
      <c r="H348" t="s">
        <v>120</v>
      </c>
      <c r="I348" t="s">
        <v>35</v>
      </c>
      <c r="J348" t="s">
        <v>43</v>
      </c>
      <c r="K348" t="s">
        <v>27</v>
      </c>
      <c r="L348" t="s">
        <v>44</v>
      </c>
      <c r="M348" s="3">
        <v>154700</v>
      </c>
      <c r="N348" s="4">
        <v>5.8999999999999997E-2</v>
      </c>
      <c r="O348" s="4">
        <v>0</v>
      </c>
      <c r="P348" t="s">
        <v>29</v>
      </c>
      <c r="Q348" t="s">
        <v>152</v>
      </c>
      <c r="R348">
        <v>60</v>
      </c>
      <c r="S348" s="3">
        <v>12129.96</v>
      </c>
    </row>
    <row r="349" spans="1:19" x14ac:dyDescent="0.2">
      <c r="A349" t="s">
        <v>709</v>
      </c>
      <c r="B349" s="2">
        <v>45966</v>
      </c>
      <c r="C349" s="2">
        <v>46088</v>
      </c>
      <c r="D349" t="s">
        <v>710</v>
      </c>
      <c r="E349" t="s">
        <v>21</v>
      </c>
      <c r="F349" t="s">
        <v>22</v>
      </c>
      <c r="G349" t="s">
        <v>23</v>
      </c>
      <c r="H349" t="s">
        <v>56</v>
      </c>
      <c r="I349" t="s">
        <v>25</v>
      </c>
      <c r="J349" t="s">
        <v>85</v>
      </c>
      <c r="K349" t="s">
        <v>58</v>
      </c>
      <c r="L349" t="s">
        <v>28</v>
      </c>
      <c r="M349" s="3">
        <v>53100</v>
      </c>
      <c r="N349" s="4">
        <v>2.8000000000000001E-2</v>
      </c>
      <c r="O349" s="4">
        <v>0.8</v>
      </c>
      <c r="P349" t="s">
        <v>59</v>
      </c>
      <c r="R349">
        <v>122</v>
      </c>
      <c r="S349" s="3">
        <v>4302.92</v>
      </c>
    </row>
    <row r="350" spans="1:19" x14ac:dyDescent="0.2">
      <c r="A350" t="s">
        <v>711</v>
      </c>
      <c r="B350" s="2">
        <v>46100</v>
      </c>
      <c r="C350" s="2">
        <v>46189</v>
      </c>
      <c r="D350" t="s">
        <v>356</v>
      </c>
      <c r="E350" t="s">
        <v>21</v>
      </c>
      <c r="F350" t="s">
        <v>48</v>
      </c>
      <c r="G350" t="s">
        <v>55</v>
      </c>
      <c r="H350" t="s">
        <v>24</v>
      </c>
      <c r="I350" t="s">
        <v>25</v>
      </c>
      <c r="J350" t="s">
        <v>85</v>
      </c>
      <c r="K350" t="s">
        <v>37</v>
      </c>
      <c r="L350" t="s">
        <v>51</v>
      </c>
      <c r="M350" s="3">
        <v>14800</v>
      </c>
      <c r="N350" s="4">
        <v>6.3E-2</v>
      </c>
      <c r="O350" s="4">
        <v>0.05</v>
      </c>
      <c r="P350" t="s">
        <v>38</v>
      </c>
      <c r="R350">
        <v>89</v>
      </c>
      <c r="S350" s="3">
        <v>1155.3499999999999</v>
      </c>
    </row>
    <row r="351" spans="1:19" x14ac:dyDescent="0.2">
      <c r="A351" t="s">
        <v>712</v>
      </c>
      <c r="B351" s="2">
        <v>46222</v>
      </c>
      <c r="C351" s="2">
        <v>46277</v>
      </c>
      <c r="D351" t="s">
        <v>713</v>
      </c>
      <c r="E351" t="s">
        <v>62</v>
      </c>
      <c r="F351" t="s">
        <v>22</v>
      </c>
      <c r="G351" t="s">
        <v>92</v>
      </c>
      <c r="H351" t="s">
        <v>95</v>
      </c>
      <c r="I351" t="s">
        <v>25</v>
      </c>
      <c r="J351" t="s">
        <v>85</v>
      </c>
      <c r="K351" t="s">
        <v>50</v>
      </c>
      <c r="L351" t="s">
        <v>28</v>
      </c>
      <c r="M351" s="3">
        <v>35700</v>
      </c>
      <c r="N351" s="4">
        <v>9.4E-2</v>
      </c>
      <c r="O351" s="4">
        <v>1</v>
      </c>
      <c r="P351" t="s">
        <v>29</v>
      </c>
      <c r="R351">
        <v>55</v>
      </c>
      <c r="S351" s="3">
        <v>2696.64</v>
      </c>
    </row>
    <row r="352" spans="1:19" x14ac:dyDescent="0.2">
      <c r="A352" t="s">
        <v>714</v>
      </c>
      <c r="B352" s="2">
        <v>46147</v>
      </c>
      <c r="C352" s="2">
        <v>46163</v>
      </c>
      <c r="D352" t="s">
        <v>715</v>
      </c>
      <c r="E352" t="s">
        <v>21</v>
      </c>
      <c r="F352" t="s">
        <v>22</v>
      </c>
      <c r="G352" t="s">
        <v>23</v>
      </c>
      <c r="H352" t="s">
        <v>41</v>
      </c>
      <c r="I352" t="s">
        <v>25</v>
      </c>
      <c r="J352" t="s">
        <v>57</v>
      </c>
      <c r="K352" t="s">
        <v>27</v>
      </c>
      <c r="L352" t="s">
        <v>28</v>
      </c>
      <c r="M352" s="3">
        <v>50200</v>
      </c>
      <c r="N352" s="4">
        <v>9.0999999999999998E-2</v>
      </c>
      <c r="O352" s="4">
        <v>0</v>
      </c>
      <c r="P352" t="s">
        <v>29</v>
      </c>
      <c r="Q352" t="s">
        <v>126</v>
      </c>
      <c r="R352">
        <v>16</v>
      </c>
      <c r="S352" s="3">
        <v>3802.77</v>
      </c>
    </row>
    <row r="353" spans="1:19" x14ac:dyDescent="0.2">
      <c r="A353" t="s">
        <v>716</v>
      </c>
      <c r="B353" s="2">
        <v>46218</v>
      </c>
      <c r="C353" s="2">
        <v>46306</v>
      </c>
      <c r="D353" t="s">
        <v>717</v>
      </c>
      <c r="E353" t="s">
        <v>33</v>
      </c>
      <c r="F353" t="s">
        <v>48</v>
      </c>
      <c r="G353" t="s">
        <v>23</v>
      </c>
      <c r="H353" t="s">
        <v>49</v>
      </c>
      <c r="I353" t="s">
        <v>35</v>
      </c>
      <c r="J353" t="s">
        <v>43</v>
      </c>
      <c r="K353" t="s">
        <v>58</v>
      </c>
      <c r="L353" t="s">
        <v>51</v>
      </c>
      <c r="M353" s="3">
        <v>11100</v>
      </c>
      <c r="N353" s="4">
        <v>7.4999999999999997E-2</v>
      </c>
      <c r="O353" s="4">
        <v>0.75</v>
      </c>
      <c r="P353" t="s">
        <v>59</v>
      </c>
      <c r="R353">
        <v>88</v>
      </c>
      <c r="S353" s="3">
        <v>855.33</v>
      </c>
    </row>
    <row r="354" spans="1:19" x14ac:dyDescent="0.2">
      <c r="A354" t="s">
        <v>718</v>
      </c>
      <c r="B354" s="2">
        <v>46229</v>
      </c>
      <c r="C354" s="2">
        <v>46298</v>
      </c>
      <c r="D354" t="s">
        <v>143</v>
      </c>
      <c r="E354" t="s">
        <v>54</v>
      </c>
      <c r="F354" t="s">
        <v>22</v>
      </c>
      <c r="G354" t="s">
        <v>23</v>
      </c>
      <c r="H354" t="s">
        <v>77</v>
      </c>
      <c r="I354" t="s">
        <v>35</v>
      </c>
      <c r="J354" t="s">
        <v>85</v>
      </c>
      <c r="K354" t="s">
        <v>78</v>
      </c>
      <c r="L354" t="s">
        <v>51</v>
      </c>
      <c r="M354" s="3">
        <v>78300</v>
      </c>
      <c r="N354" s="4">
        <v>0.17199999999999999</v>
      </c>
      <c r="O354" s="4">
        <v>0.5</v>
      </c>
      <c r="P354" t="s">
        <v>79</v>
      </c>
      <c r="R354">
        <v>69</v>
      </c>
      <c r="S354" s="3">
        <v>5403.46</v>
      </c>
    </row>
    <row r="355" spans="1:19" x14ac:dyDescent="0.2">
      <c r="A355" t="s">
        <v>719</v>
      </c>
      <c r="B355" s="2">
        <v>46190</v>
      </c>
      <c r="C355" s="2">
        <v>46277</v>
      </c>
      <c r="D355" t="s">
        <v>614</v>
      </c>
      <c r="E355" t="s">
        <v>111</v>
      </c>
      <c r="F355" t="s">
        <v>48</v>
      </c>
      <c r="G355" t="s">
        <v>23</v>
      </c>
      <c r="H355" t="s">
        <v>137</v>
      </c>
      <c r="I355" t="s">
        <v>84</v>
      </c>
      <c r="J355" t="s">
        <v>26</v>
      </c>
      <c r="K355" t="s">
        <v>27</v>
      </c>
      <c r="L355" t="s">
        <v>51</v>
      </c>
      <c r="M355" s="3">
        <v>16400</v>
      </c>
      <c r="N355" s="4">
        <v>6.8000000000000005E-2</v>
      </c>
      <c r="O355" s="4">
        <v>0</v>
      </c>
      <c r="P355" t="s">
        <v>29</v>
      </c>
      <c r="Q355" t="s">
        <v>188</v>
      </c>
      <c r="R355">
        <v>87</v>
      </c>
      <c r="S355" s="3">
        <v>1273.55</v>
      </c>
    </row>
    <row r="356" spans="1:19" x14ac:dyDescent="0.2">
      <c r="A356" t="s">
        <v>720</v>
      </c>
      <c r="B356" s="2">
        <v>45943</v>
      </c>
      <c r="C356" s="2">
        <v>45974</v>
      </c>
      <c r="D356" t="s">
        <v>721</v>
      </c>
      <c r="E356" t="s">
        <v>82</v>
      </c>
      <c r="F356" t="s">
        <v>74</v>
      </c>
      <c r="G356" t="s">
        <v>92</v>
      </c>
      <c r="H356" t="s">
        <v>69</v>
      </c>
      <c r="I356" t="s">
        <v>65</v>
      </c>
      <c r="J356" t="s">
        <v>36</v>
      </c>
      <c r="K356" t="s">
        <v>37</v>
      </c>
      <c r="L356" t="s">
        <v>51</v>
      </c>
      <c r="M356" s="3">
        <v>201200</v>
      </c>
      <c r="N356" s="4">
        <v>0.114</v>
      </c>
      <c r="O356" s="4">
        <v>0.15</v>
      </c>
      <c r="P356" t="s">
        <v>38</v>
      </c>
      <c r="R356">
        <v>31</v>
      </c>
      <c r="S356" s="3">
        <v>14858.55</v>
      </c>
    </row>
    <row r="357" spans="1:19" x14ac:dyDescent="0.2">
      <c r="A357" t="s">
        <v>722</v>
      </c>
      <c r="B357" s="2">
        <v>45987</v>
      </c>
      <c r="C357" s="2">
        <v>46089</v>
      </c>
      <c r="D357" t="s">
        <v>723</v>
      </c>
      <c r="E357" t="s">
        <v>33</v>
      </c>
      <c r="F357" t="s">
        <v>48</v>
      </c>
      <c r="G357" t="s">
        <v>23</v>
      </c>
      <c r="H357" t="s">
        <v>49</v>
      </c>
      <c r="I357" t="s">
        <v>42</v>
      </c>
      <c r="J357" t="s">
        <v>57</v>
      </c>
      <c r="K357" t="s">
        <v>58</v>
      </c>
      <c r="L357" t="s">
        <v>44</v>
      </c>
      <c r="M357" s="3">
        <v>22100</v>
      </c>
      <c r="N357" s="4">
        <v>0.248</v>
      </c>
      <c r="O357" s="4">
        <v>0.75</v>
      </c>
      <c r="P357" t="s">
        <v>59</v>
      </c>
      <c r="R357">
        <v>102</v>
      </c>
      <c r="S357" s="3">
        <v>1384.07</v>
      </c>
    </row>
    <row r="358" spans="1:19" x14ac:dyDescent="0.2">
      <c r="A358" t="s">
        <v>724</v>
      </c>
      <c r="B358" s="2">
        <v>46009</v>
      </c>
      <c r="C358" s="2">
        <v>46084</v>
      </c>
      <c r="D358" t="s">
        <v>725</v>
      </c>
      <c r="E358" t="s">
        <v>33</v>
      </c>
      <c r="F358" t="s">
        <v>22</v>
      </c>
      <c r="G358" t="s">
        <v>92</v>
      </c>
      <c r="H358" t="s">
        <v>69</v>
      </c>
      <c r="I358" t="s">
        <v>35</v>
      </c>
      <c r="J358" t="s">
        <v>43</v>
      </c>
      <c r="K358" t="s">
        <v>106</v>
      </c>
      <c r="L358" t="s">
        <v>44</v>
      </c>
      <c r="M358" s="3">
        <v>59500</v>
      </c>
      <c r="N358" s="4">
        <v>3.2000000000000001E-2</v>
      </c>
      <c r="O358" s="4">
        <v>0.2</v>
      </c>
      <c r="P358" t="s">
        <v>38</v>
      </c>
      <c r="R358">
        <v>75</v>
      </c>
      <c r="S358" s="3">
        <v>4799.8100000000004</v>
      </c>
    </row>
    <row r="359" spans="1:19" x14ac:dyDescent="0.2">
      <c r="A359" t="s">
        <v>726</v>
      </c>
      <c r="B359" s="2">
        <v>45995</v>
      </c>
      <c r="C359" s="2">
        <v>46080</v>
      </c>
      <c r="D359" t="s">
        <v>727</v>
      </c>
      <c r="E359" t="s">
        <v>33</v>
      </c>
      <c r="F359" t="s">
        <v>22</v>
      </c>
      <c r="G359" t="s">
        <v>34</v>
      </c>
      <c r="H359" t="s">
        <v>24</v>
      </c>
      <c r="I359" t="s">
        <v>84</v>
      </c>
      <c r="J359" t="s">
        <v>36</v>
      </c>
      <c r="K359" t="s">
        <v>50</v>
      </c>
      <c r="L359" t="s">
        <v>28</v>
      </c>
      <c r="M359" s="3">
        <v>80000</v>
      </c>
      <c r="N359" s="4">
        <v>0.184</v>
      </c>
      <c r="O359" s="4">
        <v>1</v>
      </c>
      <c r="P359" t="s">
        <v>29</v>
      </c>
      <c r="R359">
        <v>85</v>
      </c>
      <c r="S359" s="3">
        <v>5442.83</v>
      </c>
    </row>
    <row r="360" spans="1:19" x14ac:dyDescent="0.2">
      <c r="A360" t="s">
        <v>728</v>
      </c>
      <c r="B360" s="2">
        <v>46153</v>
      </c>
      <c r="C360" s="2">
        <v>46271</v>
      </c>
      <c r="D360" t="s">
        <v>729</v>
      </c>
      <c r="E360" t="s">
        <v>91</v>
      </c>
      <c r="F360" t="s">
        <v>22</v>
      </c>
      <c r="G360" t="s">
        <v>34</v>
      </c>
      <c r="H360" t="s">
        <v>98</v>
      </c>
      <c r="I360" t="s">
        <v>84</v>
      </c>
      <c r="J360" t="s">
        <v>43</v>
      </c>
      <c r="K360" t="s">
        <v>50</v>
      </c>
      <c r="L360" t="s">
        <v>28</v>
      </c>
      <c r="M360" s="3">
        <v>29400</v>
      </c>
      <c r="N360" s="4">
        <v>0.13500000000000001</v>
      </c>
      <c r="O360" s="4">
        <v>0.95</v>
      </c>
      <c r="P360" t="s">
        <v>29</v>
      </c>
      <c r="R360">
        <v>118</v>
      </c>
      <c r="S360" s="3">
        <v>2118.7800000000002</v>
      </c>
    </row>
    <row r="361" spans="1:19" x14ac:dyDescent="0.2">
      <c r="A361" t="s">
        <v>730</v>
      </c>
      <c r="B361" s="2">
        <v>46261</v>
      </c>
      <c r="C361" s="2">
        <v>46320</v>
      </c>
      <c r="D361" t="s">
        <v>731</v>
      </c>
      <c r="E361" t="s">
        <v>62</v>
      </c>
      <c r="F361" t="s">
        <v>48</v>
      </c>
      <c r="G361" t="s">
        <v>55</v>
      </c>
      <c r="H361" t="s">
        <v>64</v>
      </c>
      <c r="I361" t="s">
        <v>84</v>
      </c>
      <c r="J361" t="s">
        <v>26</v>
      </c>
      <c r="K361" t="s">
        <v>58</v>
      </c>
      <c r="L361" t="s">
        <v>51</v>
      </c>
      <c r="M361" s="3">
        <v>6100</v>
      </c>
      <c r="N361" s="4">
        <v>0.16800000000000001</v>
      </c>
      <c r="O361" s="4">
        <v>0.75</v>
      </c>
      <c r="P361" t="s">
        <v>59</v>
      </c>
      <c r="R361">
        <v>59</v>
      </c>
      <c r="S361" s="3">
        <v>422.72</v>
      </c>
    </row>
    <row r="362" spans="1:19" x14ac:dyDescent="0.2">
      <c r="A362" t="s">
        <v>732</v>
      </c>
      <c r="B362" s="2">
        <v>46260</v>
      </c>
      <c r="C362" s="2">
        <v>46286</v>
      </c>
      <c r="D362" t="s">
        <v>733</v>
      </c>
      <c r="E362" t="s">
        <v>54</v>
      </c>
      <c r="F362" t="s">
        <v>48</v>
      </c>
      <c r="G362" t="s">
        <v>92</v>
      </c>
      <c r="H362" t="s">
        <v>64</v>
      </c>
      <c r="I362" t="s">
        <v>35</v>
      </c>
      <c r="J362" t="s">
        <v>36</v>
      </c>
      <c r="K362" t="s">
        <v>88</v>
      </c>
      <c r="L362" t="s">
        <v>51</v>
      </c>
      <c r="M362" s="3">
        <v>16900</v>
      </c>
      <c r="N362" s="4">
        <v>6.9000000000000006E-2</v>
      </c>
      <c r="O362" s="4">
        <v>0.4</v>
      </c>
      <c r="P362" t="s">
        <v>38</v>
      </c>
      <c r="R362">
        <v>26</v>
      </c>
      <c r="S362" s="3">
        <v>1310.82</v>
      </c>
    </row>
    <row r="363" spans="1:19" x14ac:dyDescent="0.2">
      <c r="A363" t="s">
        <v>734</v>
      </c>
      <c r="B363" s="2">
        <v>46189</v>
      </c>
      <c r="C363" s="2">
        <v>46268</v>
      </c>
      <c r="D363" t="s">
        <v>273</v>
      </c>
      <c r="E363" t="s">
        <v>91</v>
      </c>
      <c r="F363" t="s">
        <v>74</v>
      </c>
      <c r="G363" t="s">
        <v>23</v>
      </c>
      <c r="H363" t="s">
        <v>137</v>
      </c>
      <c r="I363" t="s">
        <v>25</v>
      </c>
      <c r="J363" t="s">
        <v>85</v>
      </c>
      <c r="K363" t="s">
        <v>88</v>
      </c>
      <c r="L363" t="s">
        <v>28</v>
      </c>
      <c r="M363" s="3">
        <v>237600</v>
      </c>
      <c r="N363" s="4">
        <v>0.17199999999999999</v>
      </c>
      <c r="O363" s="4">
        <v>0.35</v>
      </c>
      <c r="P363" t="s">
        <v>38</v>
      </c>
      <c r="R363">
        <v>79</v>
      </c>
      <c r="S363" s="3">
        <v>16398.62</v>
      </c>
    </row>
    <row r="364" spans="1:19" x14ac:dyDescent="0.2">
      <c r="A364" t="s">
        <v>735</v>
      </c>
      <c r="B364" s="2">
        <v>46186</v>
      </c>
      <c r="C364" s="2">
        <v>46219</v>
      </c>
      <c r="D364" t="s">
        <v>736</v>
      </c>
      <c r="E364" t="s">
        <v>91</v>
      </c>
      <c r="F364" t="s">
        <v>48</v>
      </c>
      <c r="G364" t="s">
        <v>23</v>
      </c>
      <c r="H364" t="s">
        <v>56</v>
      </c>
      <c r="I364" t="s">
        <v>42</v>
      </c>
      <c r="J364" t="s">
        <v>57</v>
      </c>
      <c r="K364" t="s">
        <v>27</v>
      </c>
      <c r="L364" t="s">
        <v>51</v>
      </c>
      <c r="M364" s="3">
        <v>11200</v>
      </c>
      <c r="N364" s="4">
        <v>0.26</v>
      </c>
      <c r="O364" s="4">
        <v>0</v>
      </c>
      <c r="P364" t="s">
        <v>29</v>
      </c>
      <c r="Q364" t="s">
        <v>188</v>
      </c>
      <c r="R364">
        <v>33</v>
      </c>
      <c r="S364" s="3">
        <v>691.05</v>
      </c>
    </row>
    <row r="365" spans="1:19" x14ac:dyDescent="0.2">
      <c r="A365" t="s">
        <v>737</v>
      </c>
      <c r="B365" s="2">
        <v>46129</v>
      </c>
      <c r="C365" s="2">
        <v>46277</v>
      </c>
      <c r="D365" t="s">
        <v>738</v>
      </c>
      <c r="E365" t="s">
        <v>33</v>
      </c>
      <c r="F365" t="s">
        <v>22</v>
      </c>
      <c r="G365" t="s">
        <v>92</v>
      </c>
      <c r="H365" t="s">
        <v>64</v>
      </c>
      <c r="I365" t="s">
        <v>65</v>
      </c>
      <c r="J365" t="s">
        <v>43</v>
      </c>
      <c r="K365" t="s">
        <v>50</v>
      </c>
      <c r="L365" t="s">
        <v>44</v>
      </c>
      <c r="M365" s="3">
        <v>31600</v>
      </c>
      <c r="N365" s="4">
        <v>8.7999999999999995E-2</v>
      </c>
      <c r="O365" s="4">
        <v>1</v>
      </c>
      <c r="P365" t="s">
        <v>29</v>
      </c>
      <c r="R365">
        <v>148</v>
      </c>
      <c r="S365" s="3">
        <v>2401.59</v>
      </c>
    </row>
    <row r="366" spans="1:19" x14ac:dyDescent="0.2">
      <c r="A366" t="s">
        <v>739</v>
      </c>
      <c r="B366" s="2">
        <v>46172</v>
      </c>
      <c r="C366" s="2">
        <v>46229</v>
      </c>
      <c r="D366" t="s">
        <v>740</v>
      </c>
      <c r="E366" t="s">
        <v>82</v>
      </c>
      <c r="F366" t="s">
        <v>74</v>
      </c>
      <c r="G366" t="s">
        <v>55</v>
      </c>
      <c r="H366" t="s">
        <v>24</v>
      </c>
      <c r="I366" t="s">
        <v>42</v>
      </c>
      <c r="J366" t="s">
        <v>26</v>
      </c>
      <c r="K366" t="s">
        <v>106</v>
      </c>
      <c r="L366" t="s">
        <v>44</v>
      </c>
      <c r="M366" s="3">
        <v>94900</v>
      </c>
      <c r="N366" s="4">
        <v>0.17599999999999999</v>
      </c>
      <c r="O366" s="4">
        <v>0.15</v>
      </c>
      <c r="P366" t="s">
        <v>38</v>
      </c>
      <c r="R366">
        <v>57</v>
      </c>
      <c r="S366" s="3">
        <v>6517.82</v>
      </c>
    </row>
    <row r="367" spans="1:19" x14ac:dyDescent="0.2">
      <c r="A367" t="s">
        <v>741</v>
      </c>
      <c r="B367" s="2">
        <v>46024</v>
      </c>
      <c r="C367" s="2">
        <v>46101</v>
      </c>
      <c r="D367" t="s">
        <v>245</v>
      </c>
      <c r="E367" t="s">
        <v>21</v>
      </c>
      <c r="F367" t="s">
        <v>48</v>
      </c>
      <c r="G367" t="s">
        <v>92</v>
      </c>
      <c r="H367" t="s">
        <v>120</v>
      </c>
      <c r="I367" t="s">
        <v>99</v>
      </c>
      <c r="J367" t="s">
        <v>43</v>
      </c>
      <c r="K367" t="s">
        <v>58</v>
      </c>
      <c r="L367" t="s">
        <v>51</v>
      </c>
      <c r="M367" s="3">
        <v>24700</v>
      </c>
      <c r="N367" s="4">
        <v>6.4000000000000001E-2</v>
      </c>
      <c r="O367" s="4">
        <v>0.8</v>
      </c>
      <c r="P367" t="s">
        <v>59</v>
      </c>
      <c r="R367">
        <v>77</v>
      </c>
      <c r="S367" s="3">
        <v>1927.4</v>
      </c>
    </row>
    <row r="368" spans="1:19" x14ac:dyDescent="0.2">
      <c r="A368" t="s">
        <v>742</v>
      </c>
      <c r="B368" s="2">
        <v>46275</v>
      </c>
      <c r="C368" s="2">
        <v>46277</v>
      </c>
      <c r="D368" t="s">
        <v>470</v>
      </c>
      <c r="E368" t="s">
        <v>54</v>
      </c>
      <c r="F368" t="s">
        <v>74</v>
      </c>
      <c r="G368" t="s">
        <v>55</v>
      </c>
      <c r="H368" t="s">
        <v>137</v>
      </c>
      <c r="I368" t="s">
        <v>42</v>
      </c>
      <c r="J368" t="s">
        <v>85</v>
      </c>
      <c r="K368" t="s">
        <v>27</v>
      </c>
      <c r="L368" t="s">
        <v>28</v>
      </c>
      <c r="M368" s="3">
        <v>212100</v>
      </c>
      <c r="N368" s="4">
        <v>0.14099999999999999</v>
      </c>
      <c r="O368" s="4">
        <v>0</v>
      </c>
      <c r="P368" t="s">
        <v>29</v>
      </c>
      <c r="Q368" t="s">
        <v>188</v>
      </c>
      <c r="R368">
        <v>2</v>
      </c>
      <c r="S368" s="3">
        <v>15191.56</v>
      </c>
    </row>
    <row r="369" spans="1:19" x14ac:dyDescent="0.2">
      <c r="A369" t="s">
        <v>743</v>
      </c>
      <c r="B369" s="2">
        <v>46277</v>
      </c>
      <c r="C369" s="2">
        <v>46281</v>
      </c>
      <c r="D369" t="s">
        <v>744</v>
      </c>
      <c r="E369" t="s">
        <v>21</v>
      </c>
      <c r="F369" t="s">
        <v>22</v>
      </c>
      <c r="G369" t="s">
        <v>92</v>
      </c>
      <c r="H369" t="s">
        <v>49</v>
      </c>
      <c r="I369" t="s">
        <v>35</v>
      </c>
      <c r="J369" t="s">
        <v>85</v>
      </c>
      <c r="K369" t="s">
        <v>37</v>
      </c>
      <c r="L369" t="s">
        <v>51</v>
      </c>
      <c r="M369" s="3">
        <v>65800</v>
      </c>
      <c r="N369" s="4">
        <v>2.8000000000000001E-2</v>
      </c>
      <c r="O369" s="4">
        <v>0.1</v>
      </c>
      <c r="P369" t="s">
        <v>38</v>
      </c>
      <c r="R369">
        <v>4</v>
      </c>
      <c r="S369" s="3">
        <v>5330.72</v>
      </c>
    </row>
    <row r="370" spans="1:19" x14ac:dyDescent="0.2">
      <c r="A370" t="s">
        <v>745</v>
      </c>
      <c r="B370" s="2">
        <v>45975</v>
      </c>
      <c r="C370" s="2">
        <v>46015</v>
      </c>
      <c r="D370" t="s">
        <v>746</v>
      </c>
      <c r="E370" t="s">
        <v>82</v>
      </c>
      <c r="F370" t="s">
        <v>74</v>
      </c>
      <c r="G370" t="s">
        <v>55</v>
      </c>
      <c r="H370" t="s">
        <v>56</v>
      </c>
      <c r="I370" t="s">
        <v>99</v>
      </c>
      <c r="J370" t="s">
        <v>57</v>
      </c>
      <c r="K370" t="s">
        <v>27</v>
      </c>
      <c r="L370" t="s">
        <v>51</v>
      </c>
      <c r="M370" s="3">
        <v>149500</v>
      </c>
      <c r="N370" s="4">
        <v>5.3999999999999999E-2</v>
      </c>
      <c r="O370" s="4">
        <v>0</v>
      </c>
      <c r="P370" t="s">
        <v>29</v>
      </c>
      <c r="Q370" t="s">
        <v>188</v>
      </c>
      <c r="R370">
        <v>40</v>
      </c>
      <c r="S370" s="3">
        <v>11779.53</v>
      </c>
    </row>
    <row r="371" spans="1:19" x14ac:dyDescent="0.2">
      <c r="A371" t="s">
        <v>747</v>
      </c>
      <c r="B371" s="2">
        <v>46228</v>
      </c>
      <c r="C371" s="2">
        <v>46281</v>
      </c>
      <c r="D371" t="s">
        <v>748</v>
      </c>
      <c r="E371" t="s">
        <v>91</v>
      </c>
      <c r="F371" t="s">
        <v>22</v>
      </c>
      <c r="G371" t="s">
        <v>55</v>
      </c>
      <c r="H371" t="s">
        <v>83</v>
      </c>
      <c r="I371" t="s">
        <v>35</v>
      </c>
      <c r="J371" t="s">
        <v>43</v>
      </c>
      <c r="K371" t="s">
        <v>37</v>
      </c>
      <c r="L371" t="s">
        <v>28</v>
      </c>
      <c r="M371" s="3">
        <v>84800</v>
      </c>
      <c r="N371" s="4">
        <v>0.17699999999999999</v>
      </c>
      <c r="O371" s="4">
        <v>0.15</v>
      </c>
      <c r="P371" t="s">
        <v>38</v>
      </c>
      <c r="R371">
        <v>53</v>
      </c>
      <c r="S371" s="3">
        <v>5816.02</v>
      </c>
    </row>
    <row r="372" spans="1:19" x14ac:dyDescent="0.2">
      <c r="A372" t="s">
        <v>749</v>
      </c>
      <c r="B372" s="2">
        <v>46256</v>
      </c>
      <c r="C372" s="2">
        <v>46277</v>
      </c>
      <c r="D372" t="s">
        <v>750</v>
      </c>
      <c r="E372" t="s">
        <v>91</v>
      </c>
      <c r="F372" t="s">
        <v>48</v>
      </c>
      <c r="G372" t="s">
        <v>55</v>
      </c>
      <c r="H372" t="s">
        <v>64</v>
      </c>
      <c r="I372" t="s">
        <v>99</v>
      </c>
      <c r="J372" t="s">
        <v>85</v>
      </c>
      <c r="K372" t="s">
        <v>50</v>
      </c>
      <c r="L372" t="s">
        <v>51</v>
      </c>
      <c r="M372" s="3">
        <v>26100</v>
      </c>
      <c r="N372" s="4">
        <v>0</v>
      </c>
      <c r="O372" s="4">
        <v>0.95</v>
      </c>
      <c r="P372" t="s">
        <v>29</v>
      </c>
      <c r="R372">
        <v>21</v>
      </c>
      <c r="S372" s="3">
        <v>2175</v>
      </c>
    </row>
    <row r="373" spans="1:19" x14ac:dyDescent="0.2">
      <c r="A373" t="s">
        <v>751</v>
      </c>
      <c r="B373" s="2">
        <v>45955</v>
      </c>
      <c r="C373" s="2">
        <v>46021</v>
      </c>
      <c r="D373" t="s">
        <v>752</v>
      </c>
      <c r="E373" t="s">
        <v>21</v>
      </c>
      <c r="F373" t="s">
        <v>48</v>
      </c>
      <c r="G373" t="s">
        <v>34</v>
      </c>
      <c r="H373" t="s">
        <v>24</v>
      </c>
      <c r="I373" t="s">
        <v>99</v>
      </c>
      <c r="J373" t="s">
        <v>85</v>
      </c>
      <c r="K373" t="s">
        <v>37</v>
      </c>
      <c r="L373" t="s">
        <v>44</v>
      </c>
      <c r="M373" s="3">
        <v>15400</v>
      </c>
      <c r="N373" s="4">
        <v>0.161</v>
      </c>
      <c r="O373" s="4">
        <v>0.05</v>
      </c>
      <c r="P373" t="s">
        <v>38</v>
      </c>
      <c r="R373">
        <v>66</v>
      </c>
      <c r="S373" s="3">
        <v>1076.6300000000001</v>
      </c>
    </row>
    <row r="374" spans="1:19" x14ac:dyDescent="0.2">
      <c r="A374" t="s">
        <v>753</v>
      </c>
      <c r="B374" s="2">
        <v>46069</v>
      </c>
      <c r="C374" s="2">
        <v>46155</v>
      </c>
      <c r="D374" t="s">
        <v>754</v>
      </c>
      <c r="E374" t="s">
        <v>33</v>
      </c>
      <c r="F374" t="s">
        <v>48</v>
      </c>
      <c r="G374" t="s">
        <v>55</v>
      </c>
      <c r="H374" t="s">
        <v>137</v>
      </c>
      <c r="I374" t="s">
        <v>25</v>
      </c>
      <c r="J374" t="s">
        <v>36</v>
      </c>
      <c r="K374" t="s">
        <v>50</v>
      </c>
      <c r="L374" t="s">
        <v>28</v>
      </c>
      <c r="M374" s="3">
        <v>23600</v>
      </c>
      <c r="N374" s="4">
        <v>0.161</v>
      </c>
      <c r="O374" s="4">
        <v>1</v>
      </c>
      <c r="P374" t="s">
        <v>29</v>
      </c>
      <c r="R374">
        <v>86</v>
      </c>
      <c r="S374" s="3">
        <v>1650.89</v>
      </c>
    </row>
    <row r="375" spans="1:19" x14ac:dyDescent="0.2">
      <c r="A375" t="s">
        <v>755</v>
      </c>
      <c r="B375" s="2">
        <v>46037</v>
      </c>
      <c r="C375" s="2">
        <v>46100</v>
      </c>
      <c r="D375" t="s">
        <v>165</v>
      </c>
      <c r="E375" t="s">
        <v>68</v>
      </c>
      <c r="F375" t="s">
        <v>74</v>
      </c>
      <c r="G375" t="s">
        <v>63</v>
      </c>
      <c r="H375" t="s">
        <v>64</v>
      </c>
      <c r="I375" t="s">
        <v>35</v>
      </c>
      <c r="J375" t="s">
        <v>57</v>
      </c>
      <c r="K375" t="s">
        <v>88</v>
      </c>
      <c r="L375" t="s">
        <v>28</v>
      </c>
      <c r="M375" s="3">
        <v>170600</v>
      </c>
      <c r="N375" s="4">
        <v>0.107</v>
      </c>
      <c r="O375" s="4">
        <v>0.4</v>
      </c>
      <c r="P375" t="s">
        <v>38</v>
      </c>
      <c r="R375">
        <v>63</v>
      </c>
      <c r="S375" s="3">
        <v>12695.25</v>
      </c>
    </row>
    <row r="376" spans="1:19" x14ac:dyDescent="0.2">
      <c r="A376" t="s">
        <v>756</v>
      </c>
      <c r="B376" s="2">
        <v>46139</v>
      </c>
      <c r="C376" s="2">
        <v>46230</v>
      </c>
      <c r="D376" t="s">
        <v>757</v>
      </c>
      <c r="E376" t="s">
        <v>82</v>
      </c>
      <c r="F376" t="s">
        <v>48</v>
      </c>
      <c r="G376" t="s">
        <v>55</v>
      </c>
      <c r="H376" t="s">
        <v>98</v>
      </c>
      <c r="I376" t="s">
        <v>65</v>
      </c>
      <c r="J376" t="s">
        <v>43</v>
      </c>
      <c r="K376" t="s">
        <v>50</v>
      </c>
      <c r="L376" t="s">
        <v>44</v>
      </c>
      <c r="M376" s="3">
        <v>29600</v>
      </c>
      <c r="N376" s="4">
        <v>5.8999999999999997E-2</v>
      </c>
      <c r="O376" s="4">
        <v>1</v>
      </c>
      <c r="P376" t="s">
        <v>29</v>
      </c>
      <c r="R376">
        <v>91</v>
      </c>
      <c r="S376" s="3">
        <v>2320.34</v>
      </c>
    </row>
    <row r="377" spans="1:19" x14ac:dyDescent="0.2">
      <c r="A377" t="s">
        <v>758</v>
      </c>
      <c r="B377" s="2">
        <v>46258</v>
      </c>
      <c r="C377" s="2">
        <v>46307</v>
      </c>
      <c r="D377" t="s">
        <v>366</v>
      </c>
      <c r="E377" t="s">
        <v>54</v>
      </c>
      <c r="F377" t="s">
        <v>22</v>
      </c>
      <c r="G377" t="s">
        <v>55</v>
      </c>
      <c r="H377" t="s">
        <v>83</v>
      </c>
      <c r="I377" t="s">
        <v>65</v>
      </c>
      <c r="J377" t="s">
        <v>36</v>
      </c>
      <c r="K377" t="s">
        <v>78</v>
      </c>
      <c r="L377" t="s">
        <v>28</v>
      </c>
      <c r="M377" s="3">
        <v>72600</v>
      </c>
      <c r="N377" s="4">
        <v>3.3000000000000002E-2</v>
      </c>
      <c r="O377" s="4">
        <v>0.55000000000000004</v>
      </c>
      <c r="P377" t="s">
        <v>79</v>
      </c>
      <c r="R377">
        <v>49</v>
      </c>
      <c r="S377" s="3">
        <v>5848.17</v>
      </c>
    </row>
    <row r="378" spans="1:19" x14ac:dyDescent="0.2">
      <c r="A378" t="s">
        <v>759</v>
      </c>
      <c r="B378" s="2">
        <v>46135</v>
      </c>
      <c r="C378" s="2">
        <v>46169</v>
      </c>
      <c r="D378" t="s">
        <v>760</v>
      </c>
      <c r="E378" t="s">
        <v>111</v>
      </c>
      <c r="F378" t="s">
        <v>48</v>
      </c>
      <c r="G378" t="s">
        <v>55</v>
      </c>
      <c r="H378" t="s">
        <v>98</v>
      </c>
      <c r="I378" t="s">
        <v>25</v>
      </c>
      <c r="J378" t="s">
        <v>26</v>
      </c>
      <c r="K378" t="s">
        <v>37</v>
      </c>
      <c r="L378" t="s">
        <v>44</v>
      </c>
      <c r="M378" s="3">
        <v>26600</v>
      </c>
      <c r="N378" s="4">
        <v>3.2000000000000001E-2</v>
      </c>
      <c r="O378" s="4">
        <v>0.1</v>
      </c>
      <c r="P378" t="s">
        <v>38</v>
      </c>
      <c r="R378">
        <v>34</v>
      </c>
      <c r="S378" s="3">
        <v>2145.71</v>
      </c>
    </row>
    <row r="379" spans="1:19" x14ac:dyDescent="0.2">
      <c r="A379" t="s">
        <v>761</v>
      </c>
      <c r="B379" s="2">
        <v>45999</v>
      </c>
      <c r="C379" s="2">
        <v>46090</v>
      </c>
      <c r="D379" t="s">
        <v>762</v>
      </c>
      <c r="E379" t="s">
        <v>54</v>
      </c>
      <c r="F379" t="s">
        <v>48</v>
      </c>
      <c r="G379" t="s">
        <v>34</v>
      </c>
      <c r="H379" t="s">
        <v>56</v>
      </c>
      <c r="I379" t="s">
        <v>25</v>
      </c>
      <c r="J379" t="s">
        <v>26</v>
      </c>
      <c r="K379" t="s">
        <v>88</v>
      </c>
      <c r="L379" t="s">
        <v>51</v>
      </c>
      <c r="M379" s="3">
        <v>7300</v>
      </c>
      <c r="N379" s="4">
        <v>0.19</v>
      </c>
      <c r="O379" s="4">
        <v>0.35</v>
      </c>
      <c r="P379" t="s">
        <v>38</v>
      </c>
      <c r="R379">
        <v>91</v>
      </c>
      <c r="S379" s="3">
        <v>492.88</v>
      </c>
    </row>
    <row r="380" spans="1:19" x14ac:dyDescent="0.2">
      <c r="A380" t="s">
        <v>763</v>
      </c>
      <c r="B380" s="2">
        <v>46131</v>
      </c>
      <c r="C380" s="2">
        <v>46240</v>
      </c>
      <c r="D380" t="s">
        <v>764</v>
      </c>
      <c r="E380" t="s">
        <v>33</v>
      </c>
      <c r="F380" t="s">
        <v>22</v>
      </c>
      <c r="G380" t="s">
        <v>34</v>
      </c>
      <c r="H380" t="s">
        <v>137</v>
      </c>
      <c r="I380" t="s">
        <v>99</v>
      </c>
      <c r="J380" t="s">
        <v>57</v>
      </c>
      <c r="K380" t="s">
        <v>37</v>
      </c>
      <c r="L380" t="s">
        <v>44</v>
      </c>
      <c r="M380" s="3">
        <v>98100</v>
      </c>
      <c r="N380" s="4">
        <v>0.16700000000000001</v>
      </c>
      <c r="O380" s="4">
        <v>0.1</v>
      </c>
      <c r="P380" t="s">
        <v>38</v>
      </c>
      <c r="R380">
        <v>109</v>
      </c>
      <c r="S380" s="3">
        <v>6807.61</v>
      </c>
    </row>
    <row r="381" spans="1:19" x14ac:dyDescent="0.2">
      <c r="A381" t="s">
        <v>765</v>
      </c>
      <c r="B381" s="2">
        <v>46251</v>
      </c>
      <c r="C381" s="2">
        <v>46277</v>
      </c>
      <c r="D381" t="s">
        <v>766</v>
      </c>
      <c r="E381" t="s">
        <v>54</v>
      </c>
      <c r="F381" t="s">
        <v>48</v>
      </c>
      <c r="G381" t="s">
        <v>63</v>
      </c>
      <c r="H381" t="s">
        <v>120</v>
      </c>
      <c r="I381" t="s">
        <v>99</v>
      </c>
      <c r="J381" t="s">
        <v>85</v>
      </c>
      <c r="K381" t="s">
        <v>50</v>
      </c>
      <c r="L381" t="s">
        <v>44</v>
      </c>
      <c r="M381" s="3">
        <v>9400</v>
      </c>
      <c r="N381" s="4">
        <v>0.159</v>
      </c>
      <c r="O381" s="4">
        <v>1</v>
      </c>
      <c r="P381" t="s">
        <v>29</v>
      </c>
      <c r="R381">
        <v>26</v>
      </c>
      <c r="S381" s="3">
        <v>658.65</v>
      </c>
    </row>
    <row r="382" spans="1:19" x14ac:dyDescent="0.2">
      <c r="A382" t="s">
        <v>767</v>
      </c>
      <c r="B382" s="2">
        <v>46005</v>
      </c>
      <c r="C382" s="2">
        <v>46116</v>
      </c>
      <c r="D382" t="s">
        <v>706</v>
      </c>
      <c r="E382" t="s">
        <v>91</v>
      </c>
      <c r="F382" t="s">
        <v>74</v>
      </c>
      <c r="G382" t="s">
        <v>63</v>
      </c>
      <c r="H382" t="s">
        <v>69</v>
      </c>
      <c r="I382" t="s">
        <v>99</v>
      </c>
      <c r="J382" t="s">
        <v>57</v>
      </c>
      <c r="K382" t="s">
        <v>106</v>
      </c>
      <c r="L382" t="s">
        <v>44</v>
      </c>
      <c r="M382" s="3">
        <v>279300</v>
      </c>
      <c r="N382" s="4">
        <v>1.4E-2</v>
      </c>
      <c r="O382" s="4">
        <v>0.2</v>
      </c>
      <c r="P382" t="s">
        <v>38</v>
      </c>
      <c r="R382">
        <v>111</v>
      </c>
      <c r="S382" s="3">
        <v>22945.97</v>
      </c>
    </row>
    <row r="383" spans="1:19" x14ac:dyDescent="0.2">
      <c r="A383" t="s">
        <v>768</v>
      </c>
      <c r="B383" s="2">
        <v>46098</v>
      </c>
      <c r="C383" s="2">
        <v>46143</v>
      </c>
      <c r="D383" t="s">
        <v>769</v>
      </c>
      <c r="E383" t="s">
        <v>33</v>
      </c>
      <c r="F383" t="s">
        <v>48</v>
      </c>
      <c r="G383" t="s">
        <v>92</v>
      </c>
      <c r="H383" t="s">
        <v>120</v>
      </c>
      <c r="I383" t="s">
        <v>25</v>
      </c>
      <c r="J383" t="s">
        <v>36</v>
      </c>
      <c r="K383" t="s">
        <v>50</v>
      </c>
      <c r="L383" t="s">
        <v>51</v>
      </c>
      <c r="M383" s="3">
        <v>16000</v>
      </c>
      <c r="N383" s="4">
        <v>8.8999999999999996E-2</v>
      </c>
      <c r="O383" s="4">
        <v>1</v>
      </c>
      <c r="P383" t="s">
        <v>29</v>
      </c>
      <c r="R383">
        <v>45</v>
      </c>
      <c r="S383" s="3">
        <v>1214.1600000000001</v>
      </c>
    </row>
    <row r="384" spans="1:19" x14ac:dyDescent="0.2">
      <c r="A384" t="s">
        <v>770</v>
      </c>
      <c r="B384" s="2">
        <v>46059</v>
      </c>
      <c r="C384" s="2">
        <v>46155</v>
      </c>
      <c r="D384" t="s">
        <v>771</v>
      </c>
      <c r="E384" t="s">
        <v>111</v>
      </c>
      <c r="F384" t="s">
        <v>48</v>
      </c>
      <c r="G384" t="s">
        <v>63</v>
      </c>
      <c r="H384" t="s">
        <v>64</v>
      </c>
      <c r="I384" t="s">
        <v>84</v>
      </c>
      <c r="J384" t="s">
        <v>57</v>
      </c>
      <c r="K384" t="s">
        <v>37</v>
      </c>
      <c r="L384" t="s">
        <v>44</v>
      </c>
      <c r="M384" s="3">
        <v>18400</v>
      </c>
      <c r="N384" s="4">
        <v>0.19700000000000001</v>
      </c>
      <c r="O384" s="4">
        <v>0.05</v>
      </c>
      <c r="P384" t="s">
        <v>38</v>
      </c>
      <c r="R384">
        <v>96</v>
      </c>
      <c r="S384" s="3">
        <v>1231.19</v>
      </c>
    </row>
    <row r="385" spans="1:19" x14ac:dyDescent="0.2">
      <c r="A385" t="s">
        <v>772</v>
      </c>
      <c r="B385" s="2">
        <v>45954</v>
      </c>
      <c r="C385" s="2">
        <v>46001</v>
      </c>
      <c r="D385" t="s">
        <v>773</v>
      </c>
      <c r="E385" t="s">
        <v>91</v>
      </c>
      <c r="F385" t="s">
        <v>22</v>
      </c>
      <c r="G385" t="s">
        <v>63</v>
      </c>
      <c r="H385" t="s">
        <v>41</v>
      </c>
      <c r="I385" t="s">
        <v>84</v>
      </c>
      <c r="J385" t="s">
        <v>43</v>
      </c>
      <c r="K385" t="s">
        <v>88</v>
      </c>
      <c r="L385" t="s">
        <v>28</v>
      </c>
      <c r="M385" s="3">
        <v>34700</v>
      </c>
      <c r="N385" s="4">
        <v>2E-3</v>
      </c>
      <c r="O385" s="4">
        <v>0.35</v>
      </c>
      <c r="P385" t="s">
        <v>38</v>
      </c>
      <c r="R385">
        <v>47</v>
      </c>
      <c r="S385" s="3">
        <v>2886.26</v>
      </c>
    </row>
    <row r="386" spans="1:19" x14ac:dyDescent="0.2">
      <c r="A386" t="s">
        <v>774</v>
      </c>
      <c r="B386" s="2">
        <v>45993</v>
      </c>
      <c r="C386" s="2">
        <v>46052</v>
      </c>
      <c r="D386" t="s">
        <v>775</v>
      </c>
      <c r="E386" t="s">
        <v>62</v>
      </c>
      <c r="F386" t="s">
        <v>48</v>
      </c>
      <c r="G386" t="s">
        <v>63</v>
      </c>
      <c r="H386" t="s">
        <v>24</v>
      </c>
      <c r="I386" t="s">
        <v>84</v>
      </c>
      <c r="J386" t="s">
        <v>43</v>
      </c>
      <c r="K386" t="s">
        <v>50</v>
      </c>
      <c r="L386" t="s">
        <v>28</v>
      </c>
      <c r="M386" s="3">
        <v>20300</v>
      </c>
      <c r="N386" s="4">
        <v>0.121</v>
      </c>
      <c r="O386" s="4">
        <v>1</v>
      </c>
      <c r="P386" t="s">
        <v>29</v>
      </c>
      <c r="R386">
        <v>59</v>
      </c>
      <c r="S386" s="3">
        <v>1486.81</v>
      </c>
    </row>
    <row r="387" spans="1:19" x14ac:dyDescent="0.2">
      <c r="A387" t="s">
        <v>776</v>
      </c>
      <c r="B387" s="2">
        <v>46001</v>
      </c>
      <c r="C387" s="2">
        <v>46038</v>
      </c>
      <c r="D387" t="s">
        <v>777</v>
      </c>
      <c r="E387" t="s">
        <v>91</v>
      </c>
      <c r="F387" t="s">
        <v>22</v>
      </c>
      <c r="G387" t="s">
        <v>63</v>
      </c>
      <c r="H387" t="s">
        <v>137</v>
      </c>
      <c r="I387" t="s">
        <v>42</v>
      </c>
      <c r="J387" t="s">
        <v>57</v>
      </c>
      <c r="K387" t="s">
        <v>88</v>
      </c>
      <c r="L387" t="s">
        <v>44</v>
      </c>
      <c r="M387" s="3">
        <v>38900</v>
      </c>
      <c r="N387" s="4">
        <v>0.13</v>
      </c>
      <c r="O387" s="4">
        <v>0.35</v>
      </c>
      <c r="P387" t="s">
        <v>38</v>
      </c>
      <c r="R387">
        <v>37</v>
      </c>
      <c r="S387" s="3">
        <v>2820.57</v>
      </c>
    </row>
    <row r="388" spans="1:19" x14ac:dyDescent="0.2">
      <c r="A388" t="s">
        <v>778</v>
      </c>
      <c r="B388" s="2">
        <v>46095</v>
      </c>
      <c r="C388" s="2">
        <v>46126</v>
      </c>
      <c r="D388" t="s">
        <v>650</v>
      </c>
      <c r="E388" t="s">
        <v>68</v>
      </c>
      <c r="F388" t="s">
        <v>22</v>
      </c>
      <c r="G388" t="s">
        <v>34</v>
      </c>
      <c r="H388" t="s">
        <v>120</v>
      </c>
      <c r="I388" t="s">
        <v>42</v>
      </c>
      <c r="J388" t="s">
        <v>85</v>
      </c>
      <c r="K388" t="s">
        <v>50</v>
      </c>
      <c r="L388" t="s">
        <v>51</v>
      </c>
      <c r="M388" s="3">
        <v>50900</v>
      </c>
      <c r="N388" s="4">
        <v>0.16900000000000001</v>
      </c>
      <c r="O388" s="4">
        <v>1</v>
      </c>
      <c r="P388" t="s">
        <v>29</v>
      </c>
      <c r="R388">
        <v>31</v>
      </c>
      <c r="S388" s="3">
        <v>3526.17</v>
      </c>
    </row>
    <row r="389" spans="1:19" x14ac:dyDescent="0.2">
      <c r="A389" t="s">
        <v>779</v>
      </c>
      <c r="B389" s="2">
        <v>45996</v>
      </c>
      <c r="C389" s="2">
        <v>46044</v>
      </c>
      <c r="D389" t="s">
        <v>780</v>
      </c>
      <c r="E389" t="s">
        <v>68</v>
      </c>
      <c r="F389" t="s">
        <v>48</v>
      </c>
      <c r="G389" t="s">
        <v>34</v>
      </c>
      <c r="H389" t="s">
        <v>64</v>
      </c>
      <c r="I389" t="s">
        <v>99</v>
      </c>
      <c r="J389" t="s">
        <v>43</v>
      </c>
      <c r="K389" t="s">
        <v>27</v>
      </c>
      <c r="L389" t="s">
        <v>51</v>
      </c>
      <c r="M389" s="3">
        <v>7400</v>
      </c>
      <c r="N389" s="4">
        <v>9.9000000000000005E-2</v>
      </c>
      <c r="O389" s="4">
        <v>0.05</v>
      </c>
      <c r="P389" t="s">
        <v>29</v>
      </c>
      <c r="Q389" t="s">
        <v>30</v>
      </c>
      <c r="R389">
        <v>48</v>
      </c>
      <c r="S389" s="3">
        <v>555.5</v>
      </c>
    </row>
    <row r="390" spans="1:19" x14ac:dyDescent="0.2">
      <c r="A390" t="s">
        <v>781</v>
      </c>
      <c r="B390" s="2">
        <v>45985</v>
      </c>
      <c r="C390" s="2">
        <v>46028</v>
      </c>
      <c r="D390" t="s">
        <v>136</v>
      </c>
      <c r="E390" t="s">
        <v>111</v>
      </c>
      <c r="F390" t="s">
        <v>48</v>
      </c>
      <c r="G390" t="s">
        <v>55</v>
      </c>
      <c r="H390" t="s">
        <v>64</v>
      </c>
      <c r="I390" t="s">
        <v>42</v>
      </c>
      <c r="J390" t="s">
        <v>36</v>
      </c>
      <c r="K390" t="s">
        <v>88</v>
      </c>
      <c r="L390" t="s">
        <v>51</v>
      </c>
      <c r="M390" s="3">
        <v>18500</v>
      </c>
      <c r="N390" s="4">
        <v>0.1</v>
      </c>
      <c r="O390" s="4">
        <v>0.3</v>
      </c>
      <c r="P390" t="s">
        <v>38</v>
      </c>
      <c r="R390">
        <v>43</v>
      </c>
      <c r="S390" s="3">
        <v>1387.57</v>
      </c>
    </row>
    <row r="391" spans="1:19" x14ac:dyDescent="0.2">
      <c r="A391" t="s">
        <v>782</v>
      </c>
      <c r="B391" s="2">
        <v>46102</v>
      </c>
      <c r="C391" s="2">
        <v>46219</v>
      </c>
      <c r="D391" t="s">
        <v>783</v>
      </c>
      <c r="E391" t="s">
        <v>62</v>
      </c>
      <c r="F391" t="s">
        <v>74</v>
      </c>
      <c r="G391" t="s">
        <v>55</v>
      </c>
      <c r="H391" t="s">
        <v>56</v>
      </c>
      <c r="I391" t="s">
        <v>42</v>
      </c>
      <c r="J391" t="s">
        <v>26</v>
      </c>
      <c r="K391" t="s">
        <v>106</v>
      </c>
      <c r="L391" t="s">
        <v>44</v>
      </c>
      <c r="M391" s="3">
        <v>282900</v>
      </c>
      <c r="N391" s="4">
        <v>0.129</v>
      </c>
      <c r="O391" s="4">
        <v>0.25</v>
      </c>
      <c r="P391" t="s">
        <v>38</v>
      </c>
      <c r="R391">
        <v>117</v>
      </c>
      <c r="S391" s="3">
        <v>20535.46</v>
      </c>
    </row>
    <row r="392" spans="1:19" x14ac:dyDescent="0.2">
      <c r="A392" t="s">
        <v>784</v>
      </c>
      <c r="B392" s="2">
        <v>45946</v>
      </c>
      <c r="C392" s="2">
        <v>45977</v>
      </c>
      <c r="D392" t="s">
        <v>644</v>
      </c>
      <c r="E392" t="s">
        <v>82</v>
      </c>
      <c r="F392" t="s">
        <v>22</v>
      </c>
      <c r="G392" t="s">
        <v>55</v>
      </c>
      <c r="H392" t="s">
        <v>98</v>
      </c>
      <c r="I392" t="s">
        <v>42</v>
      </c>
      <c r="J392" t="s">
        <v>85</v>
      </c>
      <c r="K392" t="s">
        <v>58</v>
      </c>
      <c r="L392" t="s">
        <v>28</v>
      </c>
      <c r="M392" s="3">
        <v>99400</v>
      </c>
      <c r="N392" s="4">
        <v>0.121</v>
      </c>
      <c r="O392" s="4">
        <v>0.7</v>
      </c>
      <c r="P392" t="s">
        <v>59</v>
      </c>
      <c r="R392">
        <v>31</v>
      </c>
      <c r="S392" s="3">
        <v>7283.9</v>
      </c>
    </row>
    <row r="393" spans="1:19" x14ac:dyDescent="0.2">
      <c r="A393" t="s">
        <v>785</v>
      </c>
      <c r="B393" s="2">
        <v>46039</v>
      </c>
      <c r="C393" s="2">
        <v>46117</v>
      </c>
      <c r="D393" t="s">
        <v>61</v>
      </c>
      <c r="E393" t="s">
        <v>33</v>
      </c>
      <c r="F393" t="s">
        <v>48</v>
      </c>
      <c r="G393" t="s">
        <v>34</v>
      </c>
      <c r="H393" t="s">
        <v>56</v>
      </c>
      <c r="I393" t="s">
        <v>99</v>
      </c>
      <c r="J393" t="s">
        <v>57</v>
      </c>
      <c r="K393" t="s">
        <v>50</v>
      </c>
      <c r="L393" t="s">
        <v>28</v>
      </c>
      <c r="M393" s="3">
        <v>12600</v>
      </c>
      <c r="N393" s="4">
        <v>0.19400000000000001</v>
      </c>
      <c r="O393" s="4">
        <v>1</v>
      </c>
      <c r="P393" t="s">
        <v>29</v>
      </c>
      <c r="R393">
        <v>78</v>
      </c>
      <c r="S393" s="3">
        <v>846.28</v>
      </c>
    </row>
    <row r="394" spans="1:19" x14ac:dyDescent="0.2">
      <c r="A394" t="s">
        <v>786</v>
      </c>
      <c r="B394" s="2">
        <v>46132</v>
      </c>
      <c r="C394" s="2">
        <v>46176</v>
      </c>
      <c r="D394" t="s">
        <v>598</v>
      </c>
      <c r="E394" t="s">
        <v>111</v>
      </c>
      <c r="F394" t="s">
        <v>74</v>
      </c>
      <c r="G394" t="s">
        <v>23</v>
      </c>
      <c r="H394" t="s">
        <v>120</v>
      </c>
      <c r="I394" t="s">
        <v>42</v>
      </c>
      <c r="J394" t="s">
        <v>43</v>
      </c>
      <c r="K394" t="s">
        <v>58</v>
      </c>
      <c r="L394" t="s">
        <v>28</v>
      </c>
      <c r="M394" s="3">
        <v>349100</v>
      </c>
      <c r="N394" s="4">
        <v>2.5999999999999999E-2</v>
      </c>
      <c r="O394" s="4">
        <v>0.8</v>
      </c>
      <c r="P394" t="s">
        <v>59</v>
      </c>
      <c r="R394">
        <v>44</v>
      </c>
      <c r="S394" s="3">
        <v>28347.87</v>
      </c>
    </row>
    <row r="395" spans="1:19" x14ac:dyDescent="0.2">
      <c r="A395" t="s">
        <v>787</v>
      </c>
      <c r="B395" s="2">
        <v>46223</v>
      </c>
      <c r="C395" s="2">
        <v>46258</v>
      </c>
      <c r="D395" t="s">
        <v>788</v>
      </c>
      <c r="E395" t="s">
        <v>54</v>
      </c>
      <c r="F395" t="s">
        <v>48</v>
      </c>
      <c r="G395" t="s">
        <v>55</v>
      </c>
      <c r="H395" t="s">
        <v>24</v>
      </c>
      <c r="I395" t="s">
        <v>84</v>
      </c>
      <c r="J395" t="s">
        <v>85</v>
      </c>
      <c r="K395" t="s">
        <v>78</v>
      </c>
      <c r="L395" t="s">
        <v>51</v>
      </c>
      <c r="M395" s="3">
        <v>10800</v>
      </c>
      <c r="N395" s="4">
        <v>0.14899999999999999</v>
      </c>
      <c r="O395" s="4">
        <v>0.5</v>
      </c>
      <c r="P395" t="s">
        <v>79</v>
      </c>
      <c r="R395">
        <v>35</v>
      </c>
      <c r="S395" s="3">
        <v>765.5</v>
      </c>
    </row>
    <row r="396" spans="1:19" x14ac:dyDescent="0.2">
      <c r="A396" t="s">
        <v>789</v>
      </c>
      <c r="B396" s="2">
        <v>46225</v>
      </c>
      <c r="C396" s="2">
        <v>46246</v>
      </c>
      <c r="D396" t="s">
        <v>790</v>
      </c>
      <c r="E396" t="s">
        <v>33</v>
      </c>
      <c r="F396" t="s">
        <v>48</v>
      </c>
      <c r="G396" t="s">
        <v>34</v>
      </c>
      <c r="H396" t="s">
        <v>83</v>
      </c>
      <c r="I396" t="s">
        <v>99</v>
      </c>
      <c r="J396" t="s">
        <v>85</v>
      </c>
      <c r="K396" t="s">
        <v>50</v>
      </c>
      <c r="L396" t="s">
        <v>51</v>
      </c>
      <c r="M396" s="3">
        <v>27400</v>
      </c>
      <c r="N396" s="4">
        <v>0.158</v>
      </c>
      <c r="O396" s="4">
        <v>1</v>
      </c>
      <c r="P396" t="s">
        <v>29</v>
      </c>
      <c r="R396">
        <v>21</v>
      </c>
      <c r="S396" s="3">
        <v>1921.91</v>
      </c>
    </row>
    <row r="397" spans="1:19" x14ac:dyDescent="0.2">
      <c r="A397" t="s">
        <v>791</v>
      </c>
      <c r="B397" s="2">
        <v>46252</v>
      </c>
      <c r="C397" s="2">
        <v>46277</v>
      </c>
      <c r="D397" t="s">
        <v>163</v>
      </c>
      <c r="E397" t="s">
        <v>111</v>
      </c>
      <c r="F397" t="s">
        <v>48</v>
      </c>
      <c r="G397" t="s">
        <v>34</v>
      </c>
      <c r="H397" t="s">
        <v>56</v>
      </c>
      <c r="I397" t="s">
        <v>42</v>
      </c>
      <c r="J397" t="s">
        <v>43</v>
      </c>
      <c r="K397" t="s">
        <v>50</v>
      </c>
      <c r="L397" t="s">
        <v>51</v>
      </c>
      <c r="M397" s="3">
        <v>6900</v>
      </c>
      <c r="N397" s="4">
        <v>5.8999999999999997E-2</v>
      </c>
      <c r="O397" s="4">
        <v>0.95</v>
      </c>
      <c r="P397" t="s">
        <v>29</v>
      </c>
      <c r="R397">
        <v>25</v>
      </c>
      <c r="S397" s="3">
        <v>541.25</v>
      </c>
    </row>
    <row r="398" spans="1:19" x14ac:dyDescent="0.2">
      <c r="A398" t="s">
        <v>792</v>
      </c>
      <c r="B398" s="2">
        <v>46001</v>
      </c>
      <c r="C398" s="2">
        <v>46092</v>
      </c>
      <c r="D398" t="s">
        <v>793</v>
      </c>
      <c r="E398" t="s">
        <v>54</v>
      </c>
      <c r="F398" t="s">
        <v>22</v>
      </c>
      <c r="G398" t="s">
        <v>55</v>
      </c>
      <c r="H398" t="s">
        <v>95</v>
      </c>
      <c r="I398" t="s">
        <v>42</v>
      </c>
      <c r="J398" t="s">
        <v>85</v>
      </c>
      <c r="K398" t="s">
        <v>58</v>
      </c>
      <c r="L398" t="s">
        <v>28</v>
      </c>
      <c r="M398" s="3">
        <v>87200</v>
      </c>
      <c r="N398" s="4">
        <v>0.14699999999999999</v>
      </c>
      <c r="O398" s="4">
        <v>0.8</v>
      </c>
      <c r="P398" t="s">
        <v>59</v>
      </c>
      <c r="R398">
        <v>91</v>
      </c>
      <c r="S398" s="3">
        <v>6199.96</v>
      </c>
    </row>
    <row r="399" spans="1:19" x14ac:dyDescent="0.2">
      <c r="A399" t="s">
        <v>794</v>
      </c>
      <c r="B399" s="2">
        <v>46102</v>
      </c>
      <c r="C399" s="2">
        <v>46145</v>
      </c>
      <c r="D399" t="s">
        <v>566</v>
      </c>
      <c r="E399" t="s">
        <v>82</v>
      </c>
      <c r="F399" t="s">
        <v>48</v>
      </c>
      <c r="G399" t="s">
        <v>23</v>
      </c>
      <c r="H399" t="s">
        <v>24</v>
      </c>
      <c r="I399" t="s">
        <v>25</v>
      </c>
      <c r="J399" t="s">
        <v>43</v>
      </c>
      <c r="K399" t="s">
        <v>37</v>
      </c>
      <c r="L399" t="s">
        <v>44</v>
      </c>
      <c r="M399" s="3">
        <v>17500</v>
      </c>
      <c r="N399" s="4">
        <v>0.13200000000000001</v>
      </c>
      <c r="O399" s="4">
        <v>0.1</v>
      </c>
      <c r="P399" t="s">
        <v>38</v>
      </c>
      <c r="R399">
        <v>43</v>
      </c>
      <c r="S399" s="3">
        <v>1266.43</v>
      </c>
    </row>
    <row r="400" spans="1:19" x14ac:dyDescent="0.2">
      <c r="A400" t="s">
        <v>795</v>
      </c>
      <c r="B400" s="2">
        <v>46189</v>
      </c>
      <c r="C400" s="2">
        <v>46243</v>
      </c>
      <c r="D400" t="s">
        <v>796</v>
      </c>
      <c r="E400" t="s">
        <v>62</v>
      </c>
      <c r="F400" t="s">
        <v>74</v>
      </c>
      <c r="G400" t="s">
        <v>92</v>
      </c>
      <c r="H400" t="s">
        <v>98</v>
      </c>
      <c r="I400" t="s">
        <v>25</v>
      </c>
      <c r="J400" t="s">
        <v>26</v>
      </c>
      <c r="K400" t="s">
        <v>78</v>
      </c>
      <c r="L400" t="s">
        <v>44</v>
      </c>
      <c r="M400" s="3">
        <v>270600</v>
      </c>
      <c r="N400" s="4">
        <v>7.2999999999999995E-2</v>
      </c>
      <c r="O400" s="4">
        <v>0.55000000000000004</v>
      </c>
      <c r="P400" t="s">
        <v>79</v>
      </c>
      <c r="R400">
        <v>54</v>
      </c>
      <c r="S400" s="3">
        <v>20900</v>
      </c>
    </row>
    <row r="401" spans="1:19" x14ac:dyDescent="0.2">
      <c r="A401" t="s">
        <v>797</v>
      </c>
      <c r="B401" s="2">
        <v>46178</v>
      </c>
      <c r="C401" s="2">
        <v>46205</v>
      </c>
      <c r="D401" t="s">
        <v>798</v>
      </c>
      <c r="E401" t="s">
        <v>111</v>
      </c>
      <c r="F401" t="s">
        <v>48</v>
      </c>
      <c r="G401" t="s">
        <v>55</v>
      </c>
      <c r="H401" t="s">
        <v>95</v>
      </c>
      <c r="I401" t="s">
        <v>65</v>
      </c>
      <c r="J401" t="s">
        <v>26</v>
      </c>
      <c r="K401" t="s">
        <v>37</v>
      </c>
      <c r="L401" t="s">
        <v>44</v>
      </c>
      <c r="M401" s="3">
        <v>17700</v>
      </c>
      <c r="N401" s="4">
        <v>0.14799999999999999</v>
      </c>
      <c r="O401" s="4">
        <v>0.1</v>
      </c>
      <c r="P401" t="s">
        <v>38</v>
      </c>
      <c r="R401">
        <v>27</v>
      </c>
      <c r="S401" s="3">
        <v>1257.1300000000001</v>
      </c>
    </row>
    <row r="402" spans="1:19" x14ac:dyDescent="0.2">
      <c r="A402" t="s">
        <v>799</v>
      </c>
      <c r="B402" s="2">
        <v>46132</v>
      </c>
      <c r="C402" s="2">
        <v>46211</v>
      </c>
      <c r="D402" t="s">
        <v>800</v>
      </c>
      <c r="E402" t="s">
        <v>54</v>
      </c>
      <c r="F402" t="s">
        <v>48</v>
      </c>
      <c r="G402" t="s">
        <v>34</v>
      </c>
      <c r="H402" t="s">
        <v>49</v>
      </c>
      <c r="I402" t="s">
        <v>42</v>
      </c>
      <c r="J402" t="s">
        <v>57</v>
      </c>
      <c r="K402" t="s">
        <v>88</v>
      </c>
      <c r="L402" t="s">
        <v>28</v>
      </c>
      <c r="M402" s="3">
        <v>9600</v>
      </c>
      <c r="N402" s="4">
        <v>9.8000000000000004E-2</v>
      </c>
      <c r="O402" s="4">
        <v>0.3</v>
      </c>
      <c r="P402" t="s">
        <v>38</v>
      </c>
      <c r="R402">
        <v>79</v>
      </c>
      <c r="S402" s="3">
        <v>721.62</v>
      </c>
    </row>
    <row r="403" spans="1:19" x14ac:dyDescent="0.2">
      <c r="A403" t="s">
        <v>801</v>
      </c>
      <c r="B403" s="2">
        <v>46063</v>
      </c>
      <c r="C403" s="2">
        <v>46092</v>
      </c>
      <c r="D403" t="s">
        <v>736</v>
      </c>
      <c r="E403" t="s">
        <v>68</v>
      </c>
      <c r="F403" t="s">
        <v>22</v>
      </c>
      <c r="G403" t="s">
        <v>63</v>
      </c>
      <c r="H403" t="s">
        <v>69</v>
      </c>
      <c r="I403" t="s">
        <v>35</v>
      </c>
      <c r="J403" t="s">
        <v>36</v>
      </c>
      <c r="K403" t="s">
        <v>58</v>
      </c>
      <c r="L403" t="s">
        <v>28</v>
      </c>
      <c r="M403" s="3">
        <v>60500</v>
      </c>
      <c r="N403" s="4">
        <v>5.2999999999999999E-2</v>
      </c>
      <c r="O403" s="4">
        <v>0.75</v>
      </c>
      <c r="P403" t="s">
        <v>59</v>
      </c>
      <c r="R403">
        <v>29</v>
      </c>
      <c r="S403" s="3">
        <v>4773.97</v>
      </c>
    </row>
    <row r="404" spans="1:19" x14ac:dyDescent="0.2">
      <c r="A404" t="s">
        <v>802</v>
      </c>
      <c r="B404" s="2">
        <v>46130</v>
      </c>
      <c r="C404" s="2">
        <v>46193</v>
      </c>
      <c r="D404" t="s">
        <v>803</v>
      </c>
      <c r="E404" t="s">
        <v>111</v>
      </c>
      <c r="F404" t="s">
        <v>48</v>
      </c>
      <c r="G404" t="s">
        <v>34</v>
      </c>
      <c r="H404" t="s">
        <v>64</v>
      </c>
      <c r="I404" t="s">
        <v>35</v>
      </c>
      <c r="J404" t="s">
        <v>85</v>
      </c>
      <c r="K404" t="s">
        <v>78</v>
      </c>
      <c r="L404" t="s">
        <v>44</v>
      </c>
      <c r="M404" s="3">
        <v>29400</v>
      </c>
      <c r="N404" s="4">
        <v>0.14699999999999999</v>
      </c>
      <c r="O404" s="4">
        <v>0.55000000000000004</v>
      </c>
      <c r="P404" t="s">
        <v>79</v>
      </c>
      <c r="R404">
        <v>63</v>
      </c>
      <c r="S404" s="3">
        <v>2090.6799999999998</v>
      </c>
    </row>
    <row r="405" spans="1:19" x14ac:dyDescent="0.2">
      <c r="A405" t="s">
        <v>804</v>
      </c>
      <c r="B405" s="2">
        <v>46137</v>
      </c>
      <c r="C405" s="2">
        <v>46317</v>
      </c>
      <c r="D405" t="s">
        <v>805</v>
      </c>
      <c r="E405" t="s">
        <v>33</v>
      </c>
      <c r="F405" t="s">
        <v>48</v>
      </c>
      <c r="G405" t="s">
        <v>92</v>
      </c>
      <c r="H405" t="s">
        <v>56</v>
      </c>
      <c r="I405" t="s">
        <v>84</v>
      </c>
      <c r="J405" t="s">
        <v>26</v>
      </c>
      <c r="K405" t="s">
        <v>58</v>
      </c>
      <c r="L405" t="s">
        <v>44</v>
      </c>
      <c r="M405" s="3">
        <v>13300</v>
      </c>
      <c r="N405" s="4">
        <v>9.4E-2</v>
      </c>
      <c r="O405" s="4">
        <v>0.8</v>
      </c>
      <c r="P405" t="s">
        <v>59</v>
      </c>
      <c r="R405">
        <v>180</v>
      </c>
      <c r="S405" s="3">
        <v>1003.66</v>
      </c>
    </row>
    <row r="406" spans="1:19" x14ac:dyDescent="0.2">
      <c r="A406" t="s">
        <v>806</v>
      </c>
      <c r="B406" s="2">
        <v>46039</v>
      </c>
      <c r="C406" s="2">
        <v>46130</v>
      </c>
      <c r="D406" t="s">
        <v>500</v>
      </c>
      <c r="E406" t="s">
        <v>68</v>
      </c>
      <c r="F406" t="s">
        <v>22</v>
      </c>
      <c r="G406" t="s">
        <v>34</v>
      </c>
      <c r="H406" t="s">
        <v>77</v>
      </c>
      <c r="I406" t="s">
        <v>42</v>
      </c>
      <c r="J406" t="s">
        <v>57</v>
      </c>
      <c r="K406" t="s">
        <v>58</v>
      </c>
      <c r="L406" t="s">
        <v>51</v>
      </c>
      <c r="M406" s="3">
        <v>42400</v>
      </c>
      <c r="N406" s="4">
        <v>1.4999999999999999E-2</v>
      </c>
      <c r="O406" s="4">
        <v>0.7</v>
      </c>
      <c r="P406" t="s">
        <v>59</v>
      </c>
      <c r="R406">
        <v>91</v>
      </c>
      <c r="S406" s="3">
        <v>3479.03</v>
      </c>
    </row>
    <row r="407" spans="1:19" x14ac:dyDescent="0.2">
      <c r="A407" t="s">
        <v>807</v>
      </c>
      <c r="B407" s="2">
        <v>45938</v>
      </c>
      <c r="C407" s="2">
        <v>46012</v>
      </c>
      <c r="D407" t="s">
        <v>625</v>
      </c>
      <c r="E407" t="s">
        <v>82</v>
      </c>
      <c r="F407" t="s">
        <v>22</v>
      </c>
      <c r="G407" t="s">
        <v>34</v>
      </c>
      <c r="H407" t="s">
        <v>137</v>
      </c>
      <c r="I407" t="s">
        <v>25</v>
      </c>
      <c r="J407" t="s">
        <v>26</v>
      </c>
      <c r="K407" t="s">
        <v>106</v>
      </c>
      <c r="L407" t="s">
        <v>44</v>
      </c>
      <c r="M407" s="3">
        <v>57500</v>
      </c>
      <c r="N407" s="4">
        <v>5.7000000000000002E-2</v>
      </c>
      <c r="O407" s="4">
        <v>0.25</v>
      </c>
      <c r="P407" t="s">
        <v>38</v>
      </c>
      <c r="R407">
        <v>74</v>
      </c>
      <c r="S407" s="3">
        <v>4516.8500000000004</v>
      </c>
    </row>
    <row r="408" spans="1:19" x14ac:dyDescent="0.2">
      <c r="A408" t="s">
        <v>808</v>
      </c>
      <c r="B408" s="2">
        <v>45944</v>
      </c>
      <c r="C408" s="2">
        <v>46078</v>
      </c>
      <c r="D408" t="s">
        <v>809</v>
      </c>
      <c r="E408" t="s">
        <v>54</v>
      </c>
      <c r="F408" t="s">
        <v>48</v>
      </c>
      <c r="G408" t="s">
        <v>23</v>
      </c>
      <c r="H408" t="s">
        <v>137</v>
      </c>
      <c r="I408" t="s">
        <v>25</v>
      </c>
      <c r="J408" t="s">
        <v>36</v>
      </c>
      <c r="K408" t="s">
        <v>88</v>
      </c>
      <c r="L408" t="s">
        <v>28</v>
      </c>
      <c r="M408" s="3">
        <v>15600</v>
      </c>
      <c r="N408" s="4">
        <v>0.14199999999999999</v>
      </c>
      <c r="O408" s="4">
        <v>0.35</v>
      </c>
      <c r="P408" t="s">
        <v>38</v>
      </c>
      <c r="R408">
        <v>134</v>
      </c>
      <c r="S408" s="3">
        <v>1115.27</v>
      </c>
    </row>
    <row r="409" spans="1:19" x14ac:dyDescent="0.2">
      <c r="A409" t="s">
        <v>810</v>
      </c>
      <c r="B409" s="2">
        <v>45966</v>
      </c>
      <c r="C409" s="2">
        <v>46132</v>
      </c>
      <c r="D409" t="s">
        <v>811</v>
      </c>
      <c r="E409" t="s">
        <v>111</v>
      </c>
      <c r="F409" t="s">
        <v>48</v>
      </c>
      <c r="G409" t="s">
        <v>34</v>
      </c>
      <c r="H409" t="s">
        <v>49</v>
      </c>
      <c r="I409" t="s">
        <v>84</v>
      </c>
      <c r="J409" t="s">
        <v>57</v>
      </c>
      <c r="K409" t="s">
        <v>50</v>
      </c>
      <c r="L409" t="s">
        <v>44</v>
      </c>
      <c r="M409" s="3">
        <v>11200</v>
      </c>
      <c r="N409" s="4">
        <v>0</v>
      </c>
      <c r="O409" s="4">
        <v>1</v>
      </c>
      <c r="P409" t="s">
        <v>29</v>
      </c>
      <c r="R409">
        <v>166</v>
      </c>
      <c r="S409" s="3">
        <v>933.33</v>
      </c>
    </row>
    <row r="410" spans="1:19" x14ac:dyDescent="0.2">
      <c r="A410" t="s">
        <v>812</v>
      </c>
      <c r="B410" s="2">
        <v>45979</v>
      </c>
      <c r="C410" s="2">
        <v>46030</v>
      </c>
      <c r="D410" t="s">
        <v>549</v>
      </c>
      <c r="E410" t="s">
        <v>33</v>
      </c>
      <c r="F410" t="s">
        <v>48</v>
      </c>
      <c r="G410" t="s">
        <v>63</v>
      </c>
      <c r="H410" t="s">
        <v>64</v>
      </c>
      <c r="I410" t="s">
        <v>42</v>
      </c>
      <c r="J410" t="s">
        <v>26</v>
      </c>
      <c r="K410" t="s">
        <v>106</v>
      </c>
      <c r="L410" t="s">
        <v>51</v>
      </c>
      <c r="M410" s="3">
        <v>21500</v>
      </c>
      <c r="N410" s="4">
        <v>0.14799999999999999</v>
      </c>
      <c r="O410" s="4">
        <v>0.2</v>
      </c>
      <c r="P410" t="s">
        <v>38</v>
      </c>
      <c r="R410">
        <v>51</v>
      </c>
      <c r="S410" s="3">
        <v>1526.88</v>
      </c>
    </row>
    <row r="411" spans="1:19" x14ac:dyDescent="0.2">
      <c r="A411" t="s">
        <v>813</v>
      </c>
      <c r="B411" s="2">
        <v>46081</v>
      </c>
      <c r="C411" s="2">
        <v>46124</v>
      </c>
      <c r="D411" t="s">
        <v>269</v>
      </c>
      <c r="E411" t="s">
        <v>54</v>
      </c>
      <c r="F411" t="s">
        <v>48</v>
      </c>
      <c r="G411" t="s">
        <v>34</v>
      </c>
      <c r="H411" t="s">
        <v>49</v>
      </c>
      <c r="I411" t="s">
        <v>25</v>
      </c>
      <c r="J411" t="s">
        <v>26</v>
      </c>
      <c r="K411" t="s">
        <v>27</v>
      </c>
      <c r="L411" t="s">
        <v>51</v>
      </c>
      <c r="M411" s="3">
        <v>6200</v>
      </c>
      <c r="N411" s="4">
        <v>4.1000000000000002E-2</v>
      </c>
      <c r="O411" s="4">
        <v>0</v>
      </c>
      <c r="P411" t="s">
        <v>29</v>
      </c>
      <c r="Q411" t="s">
        <v>45</v>
      </c>
      <c r="R411">
        <v>43</v>
      </c>
      <c r="S411" s="3">
        <v>495.59</v>
      </c>
    </row>
    <row r="412" spans="1:19" x14ac:dyDescent="0.2">
      <c r="A412" t="s">
        <v>814</v>
      </c>
      <c r="B412" s="2">
        <v>46184</v>
      </c>
      <c r="C412" s="2">
        <v>46246</v>
      </c>
      <c r="D412" t="s">
        <v>90</v>
      </c>
      <c r="E412" t="s">
        <v>91</v>
      </c>
      <c r="F412" t="s">
        <v>22</v>
      </c>
      <c r="G412" t="s">
        <v>23</v>
      </c>
      <c r="H412" t="s">
        <v>64</v>
      </c>
      <c r="I412" t="s">
        <v>25</v>
      </c>
      <c r="J412" t="s">
        <v>36</v>
      </c>
      <c r="K412" t="s">
        <v>88</v>
      </c>
      <c r="L412" t="s">
        <v>51</v>
      </c>
      <c r="M412" s="3">
        <v>69700</v>
      </c>
      <c r="N412" s="4">
        <v>6.3E-2</v>
      </c>
      <c r="O412" s="4">
        <v>0.35</v>
      </c>
      <c r="P412" t="s">
        <v>38</v>
      </c>
      <c r="R412">
        <v>62</v>
      </c>
      <c r="S412" s="3">
        <v>5444.46</v>
      </c>
    </row>
    <row r="413" spans="1:19" x14ac:dyDescent="0.2">
      <c r="A413" t="s">
        <v>815</v>
      </c>
      <c r="B413" s="2">
        <v>46257</v>
      </c>
      <c r="C413" s="2">
        <v>46292</v>
      </c>
      <c r="D413" t="s">
        <v>816</v>
      </c>
      <c r="E413" t="s">
        <v>111</v>
      </c>
      <c r="F413" t="s">
        <v>22</v>
      </c>
      <c r="G413" t="s">
        <v>92</v>
      </c>
      <c r="H413" t="s">
        <v>83</v>
      </c>
      <c r="I413" t="s">
        <v>35</v>
      </c>
      <c r="J413" t="s">
        <v>85</v>
      </c>
      <c r="K413" t="s">
        <v>106</v>
      </c>
      <c r="L413" t="s">
        <v>28</v>
      </c>
      <c r="M413" s="3">
        <v>53100</v>
      </c>
      <c r="N413" s="4">
        <v>0.27100000000000002</v>
      </c>
      <c r="O413" s="4">
        <v>0.2</v>
      </c>
      <c r="P413" t="s">
        <v>38</v>
      </c>
      <c r="R413">
        <v>35</v>
      </c>
      <c r="S413" s="3">
        <v>3226.93</v>
      </c>
    </row>
    <row r="414" spans="1:19" x14ac:dyDescent="0.2">
      <c r="A414" t="s">
        <v>817</v>
      </c>
      <c r="B414" s="2">
        <v>46015</v>
      </c>
      <c r="C414" s="2">
        <v>46068</v>
      </c>
      <c r="D414" t="s">
        <v>818</v>
      </c>
      <c r="E414" t="s">
        <v>33</v>
      </c>
      <c r="F414" t="s">
        <v>48</v>
      </c>
      <c r="G414" t="s">
        <v>92</v>
      </c>
      <c r="H414" t="s">
        <v>137</v>
      </c>
      <c r="I414" t="s">
        <v>99</v>
      </c>
      <c r="J414" t="s">
        <v>26</v>
      </c>
      <c r="K414" t="s">
        <v>50</v>
      </c>
      <c r="L414" t="s">
        <v>44</v>
      </c>
      <c r="M414" s="3">
        <v>6200</v>
      </c>
      <c r="N414" s="4">
        <v>0.14199999999999999</v>
      </c>
      <c r="O414" s="4">
        <v>1</v>
      </c>
      <c r="P414" t="s">
        <v>29</v>
      </c>
      <c r="R414">
        <v>53</v>
      </c>
      <c r="S414" s="3">
        <v>443.42</v>
      </c>
    </row>
    <row r="415" spans="1:19" x14ac:dyDescent="0.2">
      <c r="A415" t="s">
        <v>819</v>
      </c>
      <c r="B415" s="2">
        <v>46249</v>
      </c>
      <c r="C415" s="2">
        <v>46277</v>
      </c>
      <c r="D415" t="s">
        <v>370</v>
      </c>
      <c r="E415" t="s">
        <v>62</v>
      </c>
      <c r="F415" t="s">
        <v>48</v>
      </c>
      <c r="G415" t="s">
        <v>92</v>
      </c>
      <c r="H415" t="s">
        <v>120</v>
      </c>
      <c r="I415" t="s">
        <v>84</v>
      </c>
      <c r="J415" t="s">
        <v>26</v>
      </c>
      <c r="K415" t="s">
        <v>27</v>
      </c>
      <c r="L415" t="s">
        <v>51</v>
      </c>
      <c r="M415" s="3">
        <v>28500</v>
      </c>
      <c r="N415" s="4">
        <v>6.6000000000000003E-2</v>
      </c>
      <c r="O415" s="4">
        <v>0</v>
      </c>
      <c r="P415" t="s">
        <v>29</v>
      </c>
      <c r="Q415" t="s">
        <v>30</v>
      </c>
      <c r="R415">
        <v>28</v>
      </c>
      <c r="S415" s="3">
        <v>2217.63</v>
      </c>
    </row>
    <row r="416" spans="1:19" x14ac:dyDescent="0.2">
      <c r="A416" t="s">
        <v>820</v>
      </c>
      <c r="B416" s="2">
        <v>46104</v>
      </c>
      <c r="C416" s="2">
        <v>46234</v>
      </c>
      <c r="D416" t="s">
        <v>821</v>
      </c>
      <c r="E416" t="s">
        <v>62</v>
      </c>
      <c r="F416" t="s">
        <v>22</v>
      </c>
      <c r="G416" t="s">
        <v>55</v>
      </c>
      <c r="H416" t="s">
        <v>77</v>
      </c>
      <c r="I416" t="s">
        <v>65</v>
      </c>
      <c r="J416" t="s">
        <v>57</v>
      </c>
      <c r="K416" t="s">
        <v>78</v>
      </c>
      <c r="L416" t="s">
        <v>44</v>
      </c>
      <c r="M416" s="3">
        <v>95700</v>
      </c>
      <c r="N416" s="4">
        <v>0.16300000000000001</v>
      </c>
      <c r="O416" s="4">
        <v>0.55000000000000004</v>
      </c>
      <c r="P416" t="s">
        <v>79</v>
      </c>
      <c r="R416">
        <v>130</v>
      </c>
      <c r="S416" s="3">
        <v>6678.05</v>
      </c>
    </row>
    <row r="417" spans="1:19" x14ac:dyDescent="0.2">
      <c r="A417" t="s">
        <v>822</v>
      </c>
      <c r="B417" s="2">
        <v>46139</v>
      </c>
      <c r="C417" s="2">
        <v>46233</v>
      </c>
      <c r="D417" t="s">
        <v>823</v>
      </c>
      <c r="E417" t="s">
        <v>82</v>
      </c>
      <c r="F417" t="s">
        <v>74</v>
      </c>
      <c r="G417" t="s">
        <v>92</v>
      </c>
      <c r="H417" t="s">
        <v>69</v>
      </c>
      <c r="I417" t="s">
        <v>42</v>
      </c>
      <c r="J417" t="s">
        <v>26</v>
      </c>
      <c r="K417" t="s">
        <v>50</v>
      </c>
      <c r="L417" t="s">
        <v>51</v>
      </c>
      <c r="M417" s="3">
        <v>227900</v>
      </c>
      <c r="N417" s="4">
        <v>6.0999999999999999E-2</v>
      </c>
      <c r="O417" s="4">
        <v>1</v>
      </c>
      <c r="P417" t="s">
        <v>29</v>
      </c>
      <c r="R417">
        <v>94</v>
      </c>
      <c r="S417" s="3">
        <v>17835.87</v>
      </c>
    </row>
    <row r="418" spans="1:19" x14ac:dyDescent="0.2">
      <c r="A418" t="s">
        <v>824</v>
      </c>
      <c r="B418" s="2">
        <v>46076</v>
      </c>
      <c r="C418" s="2">
        <v>46123</v>
      </c>
      <c r="D418" t="s">
        <v>825</v>
      </c>
      <c r="E418" t="s">
        <v>111</v>
      </c>
      <c r="F418" t="s">
        <v>22</v>
      </c>
      <c r="G418" t="s">
        <v>55</v>
      </c>
      <c r="H418" t="s">
        <v>77</v>
      </c>
      <c r="I418" t="s">
        <v>99</v>
      </c>
      <c r="J418" t="s">
        <v>36</v>
      </c>
      <c r="K418" t="s">
        <v>50</v>
      </c>
      <c r="L418" t="s">
        <v>51</v>
      </c>
      <c r="M418" s="3">
        <v>62300</v>
      </c>
      <c r="N418" s="4">
        <v>8.7999999999999995E-2</v>
      </c>
      <c r="O418" s="4">
        <v>1</v>
      </c>
      <c r="P418" t="s">
        <v>29</v>
      </c>
      <c r="R418">
        <v>47</v>
      </c>
      <c r="S418" s="3">
        <v>4735.2700000000004</v>
      </c>
    </row>
    <row r="419" spans="1:19" x14ac:dyDescent="0.2">
      <c r="A419" t="s">
        <v>826</v>
      </c>
      <c r="B419" s="2">
        <v>46225</v>
      </c>
      <c r="C419" s="2">
        <v>46334</v>
      </c>
      <c r="D419" t="s">
        <v>769</v>
      </c>
      <c r="E419" t="s">
        <v>68</v>
      </c>
      <c r="F419" t="s">
        <v>22</v>
      </c>
      <c r="G419" t="s">
        <v>92</v>
      </c>
      <c r="H419" t="s">
        <v>49</v>
      </c>
      <c r="I419" t="s">
        <v>25</v>
      </c>
      <c r="J419" t="s">
        <v>36</v>
      </c>
      <c r="K419" t="s">
        <v>58</v>
      </c>
      <c r="L419" t="s">
        <v>28</v>
      </c>
      <c r="M419" s="3">
        <v>34100</v>
      </c>
      <c r="N419" s="4">
        <v>0.14699999999999999</v>
      </c>
      <c r="O419" s="4">
        <v>0.7</v>
      </c>
      <c r="P419" t="s">
        <v>59</v>
      </c>
      <c r="R419">
        <v>109</v>
      </c>
      <c r="S419" s="3">
        <v>2424.5</v>
      </c>
    </row>
    <row r="420" spans="1:19" x14ac:dyDescent="0.2">
      <c r="A420" t="s">
        <v>827</v>
      </c>
      <c r="B420" s="2">
        <v>46119</v>
      </c>
      <c r="C420" s="2">
        <v>46248</v>
      </c>
      <c r="D420" t="s">
        <v>408</v>
      </c>
      <c r="E420" t="s">
        <v>54</v>
      </c>
      <c r="F420" t="s">
        <v>48</v>
      </c>
      <c r="G420" t="s">
        <v>34</v>
      </c>
      <c r="H420" t="s">
        <v>64</v>
      </c>
      <c r="I420" t="s">
        <v>35</v>
      </c>
      <c r="J420" t="s">
        <v>36</v>
      </c>
      <c r="K420" t="s">
        <v>37</v>
      </c>
      <c r="L420" t="s">
        <v>51</v>
      </c>
      <c r="M420" s="3">
        <v>28000</v>
      </c>
      <c r="N420" s="4">
        <v>7.5999999999999998E-2</v>
      </c>
      <c r="O420" s="4">
        <v>0.1</v>
      </c>
      <c r="P420" t="s">
        <v>38</v>
      </c>
      <c r="R420">
        <v>129</v>
      </c>
      <c r="S420" s="3">
        <v>2156.4699999999998</v>
      </c>
    </row>
    <row r="421" spans="1:19" x14ac:dyDescent="0.2">
      <c r="A421" t="s">
        <v>828</v>
      </c>
      <c r="B421" s="2">
        <v>46054</v>
      </c>
      <c r="C421" s="2">
        <v>46093</v>
      </c>
      <c r="D421" t="s">
        <v>829</v>
      </c>
      <c r="E421" t="s">
        <v>91</v>
      </c>
      <c r="F421" t="s">
        <v>22</v>
      </c>
      <c r="G421" t="s">
        <v>34</v>
      </c>
      <c r="H421" t="s">
        <v>83</v>
      </c>
      <c r="I421" t="s">
        <v>84</v>
      </c>
      <c r="J421" t="s">
        <v>36</v>
      </c>
      <c r="K421" t="s">
        <v>37</v>
      </c>
      <c r="L421" t="s">
        <v>28</v>
      </c>
      <c r="M421" s="3">
        <v>45000</v>
      </c>
      <c r="N421" s="4">
        <v>0.17799999999999999</v>
      </c>
      <c r="O421" s="4">
        <v>0.1</v>
      </c>
      <c r="P421" t="s">
        <v>38</v>
      </c>
      <c r="R421">
        <v>39</v>
      </c>
      <c r="S421" s="3">
        <v>3082.95</v>
      </c>
    </row>
    <row r="422" spans="1:19" x14ac:dyDescent="0.2">
      <c r="A422" t="s">
        <v>830</v>
      </c>
      <c r="B422" s="2">
        <v>45963</v>
      </c>
      <c r="C422" s="2">
        <v>46092</v>
      </c>
      <c r="D422" t="s">
        <v>831</v>
      </c>
      <c r="E422" t="s">
        <v>111</v>
      </c>
      <c r="F422" t="s">
        <v>74</v>
      </c>
      <c r="G422" t="s">
        <v>63</v>
      </c>
      <c r="H422" t="s">
        <v>95</v>
      </c>
      <c r="I422" t="s">
        <v>65</v>
      </c>
      <c r="J422" t="s">
        <v>26</v>
      </c>
      <c r="K422" t="s">
        <v>37</v>
      </c>
      <c r="L422" t="s">
        <v>44</v>
      </c>
      <c r="M422" s="3">
        <v>151000</v>
      </c>
      <c r="N422" s="4">
        <v>8.4000000000000005E-2</v>
      </c>
      <c r="O422" s="4">
        <v>0.1</v>
      </c>
      <c r="P422" t="s">
        <v>38</v>
      </c>
      <c r="R422">
        <v>129</v>
      </c>
      <c r="S422" s="3">
        <v>11520.64</v>
      </c>
    </row>
    <row r="423" spans="1:19" x14ac:dyDescent="0.2">
      <c r="A423" t="s">
        <v>832</v>
      </c>
      <c r="B423" s="2">
        <v>46015</v>
      </c>
      <c r="C423" s="2">
        <v>46165</v>
      </c>
      <c r="D423" t="s">
        <v>665</v>
      </c>
      <c r="E423" t="s">
        <v>62</v>
      </c>
      <c r="F423" t="s">
        <v>22</v>
      </c>
      <c r="G423" t="s">
        <v>23</v>
      </c>
      <c r="H423" t="s">
        <v>95</v>
      </c>
      <c r="I423" t="s">
        <v>25</v>
      </c>
      <c r="J423" t="s">
        <v>26</v>
      </c>
      <c r="K423" t="s">
        <v>58</v>
      </c>
      <c r="L423" t="s">
        <v>44</v>
      </c>
      <c r="M423" s="3">
        <v>87900</v>
      </c>
      <c r="N423" s="4">
        <v>0.15</v>
      </c>
      <c r="O423" s="4">
        <v>0.8</v>
      </c>
      <c r="P423" t="s">
        <v>59</v>
      </c>
      <c r="R423">
        <v>150</v>
      </c>
      <c r="S423" s="3">
        <v>6227.38</v>
      </c>
    </row>
    <row r="424" spans="1:19" x14ac:dyDescent="0.2">
      <c r="A424" t="s">
        <v>833</v>
      </c>
      <c r="B424" s="2">
        <v>45953</v>
      </c>
      <c r="C424" s="2">
        <v>46044</v>
      </c>
      <c r="D424" t="s">
        <v>834</v>
      </c>
      <c r="E424" t="s">
        <v>33</v>
      </c>
      <c r="F424" t="s">
        <v>48</v>
      </c>
      <c r="G424" t="s">
        <v>55</v>
      </c>
      <c r="H424" t="s">
        <v>98</v>
      </c>
      <c r="I424" t="s">
        <v>42</v>
      </c>
      <c r="J424" t="s">
        <v>36</v>
      </c>
      <c r="K424" t="s">
        <v>88</v>
      </c>
      <c r="L424" t="s">
        <v>28</v>
      </c>
      <c r="M424" s="3">
        <v>17000</v>
      </c>
      <c r="N424" s="4">
        <v>0.18099999999999999</v>
      </c>
      <c r="O424" s="4">
        <v>0.3</v>
      </c>
      <c r="P424" t="s">
        <v>38</v>
      </c>
      <c r="R424">
        <v>91</v>
      </c>
      <c r="S424" s="3">
        <v>1160.18</v>
      </c>
    </row>
    <row r="425" spans="1:19" x14ac:dyDescent="0.2">
      <c r="A425" t="s">
        <v>835</v>
      </c>
      <c r="B425" s="2">
        <v>46139</v>
      </c>
      <c r="C425" s="2">
        <v>46316</v>
      </c>
      <c r="D425" t="s">
        <v>836</v>
      </c>
      <c r="E425" t="s">
        <v>68</v>
      </c>
      <c r="F425" t="s">
        <v>48</v>
      </c>
      <c r="G425" t="s">
        <v>55</v>
      </c>
      <c r="H425" t="s">
        <v>24</v>
      </c>
      <c r="I425" t="s">
        <v>35</v>
      </c>
      <c r="J425" t="s">
        <v>36</v>
      </c>
      <c r="K425" t="s">
        <v>58</v>
      </c>
      <c r="L425" t="s">
        <v>28</v>
      </c>
      <c r="M425" s="3">
        <v>16700</v>
      </c>
      <c r="N425" s="4">
        <v>6.2E-2</v>
      </c>
      <c r="O425" s="4">
        <v>0.7</v>
      </c>
      <c r="P425" t="s">
        <v>59</v>
      </c>
      <c r="R425">
        <v>177</v>
      </c>
      <c r="S425" s="3">
        <v>1305.27</v>
      </c>
    </row>
    <row r="426" spans="1:19" x14ac:dyDescent="0.2">
      <c r="A426" t="s">
        <v>837</v>
      </c>
      <c r="B426" s="2">
        <v>46079</v>
      </c>
      <c r="C426" s="2">
        <v>46228</v>
      </c>
      <c r="D426" t="s">
        <v>213</v>
      </c>
      <c r="E426" t="s">
        <v>54</v>
      </c>
      <c r="F426" t="s">
        <v>22</v>
      </c>
      <c r="G426" t="s">
        <v>55</v>
      </c>
      <c r="H426" t="s">
        <v>24</v>
      </c>
      <c r="I426" t="s">
        <v>35</v>
      </c>
      <c r="J426" t="s">
        <v>26</v>
      </c>
      <c r="K426" t="s">
        <v>78</v>
      </c>
      <c r="L426" t="s">
        <v>51</v>
      </c>
      <c r="M426" s="3">
        <v>82000</v>
      </c>
      <c r="N426" s="4">
        <v>7.9000000000000001E-2</v>
      </c>
      <c r="O426" s="4">
        <v>0.55000000000000004</v>
      </c>
      <c r="P426" t="s">
        <v>79</v>
      </c>
      <c r="R426">
        <v>149</v>
      </c>
      <c r="S426" s="3">
        <v>6295.11</v>
      </c>
    </row>
    <row r="427" spans="1:19" x14ac:dyDescent="0.2">
      <c r="A427" t="s">
        <v>838</v>
      </c>
      <c r="B427" s="2">
        <v>46031</v>
      </c>
      <c r="C427" s="2">
        <v>46065</v>
      </c>
      <c r="D427" t="s">
        <v>839</v>
      </c>
      <c r="E427" t="s">
        <v>91</v>
      </c>
      <c r="F427" t="s">
        <v>22</v>
      </c>
      <c r="G427" t="s">
        <v>23</v>
      </c>
      <c r="H427" t="s">
        <v>120</v>
      </c>
      <c r="I427" t="s">
        <v>65</v>
      </c>
      <c r="J427" t="s">
        <v>36</v>
      </c>
      <c r="K427" t="s">
        <v>37</v>
      </c>
      <c r="L427" t="s">
        <v>44</v>
      </c>
      <c r="M427" s="3">
        <v>27100</v>
      </c>
      <c r="N427" s="4">
        <v>0.17299999999999999</v>
      </c>
      <c r="O427" s="4">
        <v>0.05</v>
      </c>
      <c r="P427" t="s">
        <v>38</v>
      </c>
      <c r="R427">
        <v>34</v>
      </c>
      <c r="S427" s="3">
        <v>1867.87</v>
      </c>
    </row>
    <row r="428" spans="1:19" x14ac:dyDescent="0.2">
      <c r="A428" t="s">
        <v>840</v>
      </c>
      <c r="B428" s="2">
        <v>45985</v>
      </c>
      <c r="C428" s="2">
        <v>46111</v>
      </c>
      <c r="D428" t="s">
        <v>841</v>
      </c>
      <c r="E428" t="s">
        <v>33</v>
      </c>
      <c r="F428" t="s">
        <v>48</v>
      </c>
      <c r="G428" t="s">
        <v>23</v>
      </c>
      <c r="H428" t="s">
        <v>95</v>
      </c>
      <c r="I428" t="s">
        <v>35</v>
      </c>
      <c r="J428" t="s">
        <v>26</v>
      </c>
      <c r="K428" t="s">
        <v>106</v>
      </c>
      <c r="L428" t="s">
        <v>28</v>
      </c>
      <c r="M428" s="3">
        <v>11300</v>
      </c>
      <c r="N428" s="4">
        <v>7.9000000000000001E-2</v>
      </c>
      <c r="O428" s="4">
        <v>0.15</v>
      </c>
      <c r="P428" t="s">
        <v>38</v>
      </c>
      <c r="R428">
        <v>126</v>
      </c>
      <c r="S428" s="3">
        <v>866.91</v>
      </c>
    </row>
    <row r="429" spans="1:19" x14ac:dyDescent="0.2">
      <c r="A429" t="s">
        <v>842</v>
      </c>
      <c r="B429" s="2">
        <v>46221</v>
      </c>
      <c r="C429" s="2">
        <v>46307</v>
      </c>
      <c r="D429" t="s">
        <v>773</v>
      </c>
      <c r="E429" t="s">
        <v>82</v>
      </c>
      <c r="F429" t="s">
        <v>48</v>
      </c>
      <c r="G429" t="s">
        <v>55</v>
      </c>
      <c r="H429" t="s">
        <v>120</v>
      </c>
      <c r="I429" t="s">
        <v>35</v>
      </c>
      <c r="J429" t="s">
        <v>43</v>
      </c>
      <c r="K429" t="s">
        <v>37</v>
      </c>
      <c r="L429" t="s">
        <v>51</v>
      </c>
      <c r="M429" s="3">
        <v>29800</v>
      </c>
      <c r="N429" s="4">
        <v>0.18099999999999999</v>
      </c>
      <c r="O429" s="4">
        <v>0.15</v>
      </c>
      <c r="P429" t="s">
        <v>38</v>
      </c>
      <c r="R429">
        <v>86</v>
      </c>
      <c r="S429" s="3">
        <v>2033.02</v>
      </c>
    </row>
    <row r="430" spans="1:19" x14ac:dyDescent="0.2">
      <c r="A430" t="s">
        <v>843</v>
      </c>
      <c r="B430" s="2">
        <v>45985</v>
      </c>
      <c r="C430" s="2">
        <v>46015</v>
      </c>
      <c r="D430" t="s">
        <v>427</v>
      </c>
      <c r="E430" t="s">
        <v>21</v>
      </c>
      <c r="F430" t="s">
        <v>48</v>
      </c>
      <c r="G430" t="s">
        <v>23</v>
      </c>
      <c r="H430" t="s">
        <v>69</v>
      </c>
      <c r="I430" t="s">
        <v>84</v>
      </c>
      <c r="J430" t="s">
        <v>43</v>
      </c>
      <c r="K430" t="s">
        <v>27</v>
      </c>
      <c r="L430" t="s">
        <v>51</v>
      </c>
      <c r="M430" s="3">
        <v>23000</v>
      </c>
      <c r="N430" s="4">
        <v>9.2999999999999999E-2</v>
      </c>
      <c r="O430" s="4">
        <v>0</v>
      </c>
      <c r="P430" t="s">
        <v>29</v>
      </c>
      <c r="Q430" t="s">
        <v>222</v>
      </c>
      <c r="R430">
        <v>30</v>
      </c>
      <c r="S430" s="3">
        <v>1738.13</v>
      </c>
    </row>
    <row r="431" spans="1:19" x14ac:dyDescent="0.2">
      <c r="A431" t="s">
        <v>844</v>
      </c>
      <c r="B431" s="2">
        <v>46033</v>
      </c>
      <c r="C431" s="2">
        <v>46156</v>
      </c>
      <c r="D431" t="s">
        <v>515</v>
      </c>
      <c r="E431" t="s">
        <v>111</v>
      </c>
      <c r="F431" t="s">
        <v>22</v>
      </c>
      <c r="G431" t="s">
        <v>34</v>
      </c>
      <c r="H431" t="s">
        <v>64</v>
      </c>
      <c r="I431" t="s">
        <v>99</v>
      </c>
      <c r="J431" t="s">
        <v>26</v>
      </c>
      <c r="K431" t="s">
        <v>27</v>
      </c>
      <c r="L431" t="s">
        <v>44</v>
      </c>
      <c r="M431" s="3">
        <v>95400</v>
      </c>
      <c r="N431" s="4">
        <v>0.184</v>
      </c>
      <c r="O431" s="4">
        <v>0</v>
      </c>
      <c r="P431" t="s">
        <v>29</v>
      </c>
      <c r="Q431" t="s">
        <v>152</v>
      </c>
      <c r="R431">
        <v>123</v>
      </c>
      <c r="S431" s="3">
        <v>6486.85</v>
      </c>
    </row>
    <row r="432" spans="1:19" x14ac:dyDescent="0.2">
      <c r="A432" t="s">
        <v>845</v>
      </c>
      <c r="B432" s="2">
        <v>46007</v>
      </c>
      <c r="C432" s="2">
        <v>46077</v>
      </c>
      <c r="D432" t="s">
        <v>846</v>
      </c>
      <c r="E432" t="s">
        <v>54</v>
      </c>
      <c r="F432" t="s">
        <v>48</v>
      </c>
      <c r="G432" t="s">
        <v>63</v>
      </c>
      <c r="H432" t="s">
        <v>49</v>
      </c>
      <c r="I432" t="s">
        <v>99</v>
      </c>
      <c r="J432" t="s">
        <v>57</v>
      </c>
      <c r="K432" t="s">
        <v>78</v>
      </c>
      <c r="L432" t="s">
        <v>28</v>
      </c>
      <c r="M432" s="3">
        <v>10200</v>
      </c>
      <c r="N432" s="4">
        <v>0.11799999999999999</v>
      </c>
      <c r="O432" s="4">
        <v>0.5</v>
      </c>
      <c r="P432" t="s">
        <v>79</v>
      </c>
      <c r="R432">
        <v>70</v>
      </c>
      <c r="S432" s="3">
        <v>749.63</v>
      </c>
    </row>
    <row r="433" spans="1:19" x14ac:dyDescent="0.2">
      <c r="A433" t="s">
        <v>847</v>
      </c>
      <c r="B433" s="2">
        <v>46178</v>
      </c>
      <c r="C433" s="2">
        <v>46226</v>
      </c>
      <c r="D433" t="s">
        <v>848</v>
      </c>
      <c r="E433" t="s">
        <v>62</v>
      </c>
      <c r="F433" t="s">
        <v>74</v>
      </c>
      <c r="G433" t="s">
        <v>63</v>
      </c>
      <c r="H433" t="s">
        <v>49</v>
      </c>
      <c r="I433" t="s">
        <v>42</v>
      </c>
      <c r="J433" t="s">
        <v>43</v>
      </c>
      <c r="K433" t="s">
        <v>78</v>
      </c>
      <c r="L433" t="s">
        <v>44</v>
      </c>
      <c r="M433" s="3">
        <v>145100</v>
      </c>
      <c r="N433" s="4">
        <v>0.112</v>
      </c>
      <c r="O433" s="4">
        <v>0.55000000000000004</v>
      </c>
      <c r="P433" t="s">
        <v>79</v>
      </c>
      <c r="R433">
        <v>48</v>
      </c>
      <c r="S433" s="3">
        <v>10743.23</v>
      </c>
    </row>
    <row r="434" spans="1:19" x14ac:dyDescent="0.2">
      <c r="A434" t="s">
        <v>849</v>
      </c>
      <c r="B434" s="2">
        <v>46057</v>
      </c>
      <c r="C434" s="2">
        <v>46114</v>
      </c>
      <c r="D434" t="s">
        <v>850</v>
      </c>
      <c r="E434" t="s">
        <v>33</v>
      </c>
      <c r="F434" t="s">
        <v>74</v>
      </c>
      <c r="G434" t="s">
        <v>55</v>
      </c>
      <c r="H434" t="s">
        <v>24</v>
      </c>
      <c r="I434" t="s">
        <v>25</v>
      </c>
      <c r="J434" t="s">
        <v>43</v>
      </c>
      <c r="K434" t="s">
        <v>78</v>
      </c>
      <c r="L434" t="s">
        <v>44</v>
      </c>
      <c r="M434" s="3">
        <v>99900</v>
      </c>
      <c r="N434" s="4">
        <v>9.4E-2</v>
      </c>
      <c r="O434" s="4">
        <v>0.55000000000000004</v>
      </c>
      <c r="P434" t="s">
        <v>79</v>
      </c>
      <c r="R434">
        <v>57</v>
      </c>
      <c r="S434" s="3">
        <v>7545.27</v>
      </c>
    </row>
    <row r="435" spans="1:19" x14ac:dyDescent="0.2">
      <c r="A435" t="s">
        <v>851</v>
      </c>
      <c r="B435" s="2">
        <v>46256</v>
      </c>
      <c r="C435" s="2">
        <v>46277</v>
      </c>
      <c r="D435" t="s">
        <v>852</v>
      </c>
      <c r="E435" t="s">
        <v>111</v>
      </c>
      <c r="F435" t="s">
        <v>48</v>
      </c>
      <c r="G435" t="s">
        <v>55</v>
      </c>
      <c r="H435" t="s">
        <v>83</v>
      </c>
      <c r="I435" t="s">
        <v>35</v>
      </c>
      <c r="J435" t="s">
        <v>43</v>
      </c>
      <c r="K435" t="s">
        <v>27</v>
      </c>
      <c r="L435" t="s">
        <v>44</v>
      </c>
      <c r="M435" s="3">
        <v>19000</v>
      </c>
      <c r="N435" s="4">
        <v>0.14199999999999999</v>
      </c>
      <c r="O435" s="4">
        <v>0</v>
      </c>
      <c r="P435" t="s">
        <v>29</v>
      </c>
      <c r="Q435" t="s">
        <v>126</v>
      </c>
      <c r="R435">
        <v>21</v>
      </c>
      <c r="S435" s="3">
        <v>1358.57</v>
      </c>
    </row>
    <row r="436" spans="1:19" x14ac:dyDescent="0.2">
      <c r="A436" t="s">
        <v>853</v>
      </c>
      <c r="B436" s="2">
        <v>46029</v>
      </c>
      <c r="C436" s="2">
        <v>46162</v>
      </c>
      <c r="D436" t="s">
        <v>854</v>
      </c>
      <c r="E436" t="s">
        <v>62</v>
      </c>
      <c r="F436" t="s">
        <v>74</v>
      </c>
      <c r="G436" t="s">
        <v>55</v>
      </c>
      <c r="H436" t="s">
        <v>98</v>
      </c>
      <c r="I436" t="s">
        <v>84</v>
      </c>
      <c r="J436" t="s">
        <v>57</v>
      </c>
      <c r="K436" t="s">
        <v>37</v>
      </c>
      <c r="L436" t="s">
        <v>28</v>
      </c>
      <c r="M436" s="3">
        <v>249000</v>
      </c>
      <c r="N436" s="4">
        <v>0.17499999999999999</v>
      </c>
      <c r="O436" s="4">
        <v>0.1</v>
      </c>
      <c r="P436" t="s">
        <v>38</v>
      </c>
      <c r="R436">
        <v>133</v>
      </c>
      <c r="S436" s="3">
        <v>17118.11</v>
      </c>
    </row>
    <row r="437" spans="1:19" x14ac:dyDescent="0.2">
      <c r="A437" t="s">
        <v>855</v>
      </c>
      <c r="B437" s="2">
        <v>46023</v>
      </c>
      <c r="C437" s="2">
        <v>46135</v>
      </c>
      <c r="D437" t="s">
        <v>283</v>
      </c>
      <c r="E437" t="s">
        <v>68</v>
      </c>
      <c r="F437" t="s">
        <v>74</v>
      </c>
      <c r="G437" t="s">
        <v>23</v>
      </c>
      <c r="H437" t="s">
        <v>49</v>
      </c>
      <c r="I437" t="s">
        <v>35</v>
      </c>
      <c r="J437" t="s">
        <v>26</v>
      </c>
      <c r="K437" t="s">
        <v>58</v>
      </c>
      <c r="L437" t="s">
        <v>51</v>
      </c>
      <c r="M437" s="3">
        <v>168800</v>
      </c>
      <c r="N437" s="4">
        <v>0.17799999999999999</v>
      </c>
      <c r="O437" s="4">
        <v>0.75</v>
      </c>
      <c r="P437" t="s">
        <v>59</v>
      </c>
      <c r="R437">
        <v>112</v>
      </c>
      <c r="S437" s="3">
        <v>11565.57</v>
      </c>
    </row>
    <row r="438" spans="1:19" x14ac:dyDescent="0.2">
      <c r="A438" t="s">
        <v>856</v>
      </c>
      <c r="B438" s="2">
        <v>45968</v>
      </c>
      <c r="C438" s="2">
        <v>46115</v>
      </c>
      <c r="D438" t="s">
        <v>857</v>
      </c>
      <c r="E438" t="s">
        <v>33</v>
      </c>
      <c r="F438" t="s">
        <v>48</v>
      </c>
      <c r="G438" t="s">
        <v>34</v>
      </c>
      <c r="H438" t="s">
        <v>24</v>
      </c>
      <c r="I438" t="s">
        <v>25</v>
      </c>
      <c r="J438" t="s">
        <v>26</v>
      </c>
      <c r="K438" t="s">
        <v>58</v>
      </c>
      <c r="L438" t="s">
        <v>28</v>
      </c>
      <c r="M438" s="3">
        <v>16800</v>
      </c>
      <c r="N438" s="4">
        <v>8.1000000000000003E-2</v>
      </c>
      <c r="O438" s="4">
        <v>0.75</v>
      </c>
      <c r="P438" t="s">
        <v>59</v>
      </c>
      <c r="R438">
        <v>147</v>
      </c>
      <c r="S438" s="3">
        <v>1286.77</v>
      </c>
    </row>
    <row r="439" spans="1:19" x14ac:dyDescent="0.2">
      <c r="A439" t="s">
        <v>858</v>
      </c>
      <c r="B439" s="2">
        <v>46165</v>
      </c>
      <c r="C439" s="2">
        <v>46231</v>
      </c>
      <c r="D439" t="s">
        <v>443</v>
      </c>
      <c r="E439" t="s">
        <v>82</v>
      </c>
      <c r="F439" t="s">
        <v>48</v>
      </c>
      <c r="G439" t="s">
        <v>23</v>
      </c>
      <c r="H439" t="s">
        <v>49</v>
      </c>
      <c r="I439" t="s">
        <v>25</v>
      </c>
      <c r="J439" t="s">
        <v>85</v>
      </c>
      <c r="K439" t="s">
        <v>27</v>
      </c>
      <c r="L439" t="s">
        <v>28</v>
      </c>
      <c r="M439" s="3">
        <v>22000</v>
      </c>
      <c r="N439" s="4">
        <v>0.16</v>
      </c>
      <c r="O439" s="4">
        <v>0</v>
      </c>
      <c r="P439" t="s">
        <v>29</v>
      </c>
      <c r="Q439" t="s">
        <v>30</v>
      </c>
      <c r="R439">
        <v>66</v>
      </c>
      <c r="S439" s="3">
        <v>1539.67</v>
      </c>
    </row>
    <row r="440" spans="1:19" x14ac:dyDescent="0.2">
      <c r="A440" t="s">
        <v>859</v>
      </c>
      <c r="B440" s="2">
        <v>45932</v>
      </c>
      <c r="C440" s="2">
        <v>46060</v>
      </c>
      <c r="D440" t="s">
        <v>860</v>
      </c>
      <c r="E440" t="s">
        <v>54</v>
      </c>
      <c r="F440" t="s">
        <v>48</v>
      </c>
      <c r="G440" t="s">
        <v>34</v>
      </c>
      <c r="H440" t="s">
        <v>69</v>
      </c>
      <c r="I440" t="s">
        <v>35</v>
      </c>
      <c r="J440" t="s">
        <v>57</v>
      </c>
      <c r="K440" t="s">
        <v>78</v>
      </c>
      <c r="L440" t="s">
        <v>28</v>
      </c>
      <c r="M440" s="3">
        <v>26200</v>
      </c>
      <c r="N440" s="4">
        <v>6.0999999999999999E-2</v>
      </c>
      <c r="O440" s="4">
        <v>0.55000000000000004</v>
      </c>
      <c r="P440" t="s">
        <v>79</v>
      </c>
      <c r="R440">
        <v>128</v>
      </c>
      <c r="S440" s="3">
        <v>2050.38</v>
      </c>
    </row>
    <row r="441" spans="1:19" x14ac:dyDescent="0.2">
      <c r="A441" t="s">
        <v>861</v>
      </c>
      <c r="B441" s="2">
        <v>46099</v>
      </c>
      <c r="C441" s="2">
        <v>46160</v>
      </c>
      <c r="D441" t="s">
        <v>862</v>
      </c>
      <c r="E441" t="s">
        <v>54</v>
      </c>
      <c r="F441" t="s">
        <v>48</v>
      </c>
      <c r="G441" t="s">
        <v>63</v>
      </c>
      <c r="H441" t="s">
        <v>137</v>
      </c>
      <c r="I441" t="s">
        <v>65</v>
      </c>
      <c r="J441" t="s">
        <v>57</v>
      </c>
      <c r="K441" t="s">
        <v>27</v>
      </c>
      <c r="L441" t="s">
        <v>51</v>
      </c>
      <c r="M441" s="3">
        <v>24400</v>
      </c>
      <c r="N441" s="4">
        <v>0.127</v>
      </c>
      <c r="O441" s="4">
        <v>0</v>
      </c>
      <c r="P441" t="s">
        <v>29</v>
      </c>
      <c r="Q441" t="s">
        <v>152</v>
      </c>
      <c r="R441">
        <v>61</v>
      </c>
      <c r="S441" s="3">
        <v>1774.18</v>
      </c>
    </row>
    <row r="442" spans="1:19" x14ac:dyDescent="0.2">
      <c r="A442" t="s">
        <v>863</v>
      </c>
      <c r="B442" s="2">
        <v>46178</v>
      </c>
      <c r="C442" s="2">
        <v>46232</v>
      </c>
      <c r="D442" t="s">
        <v>864</v>
      </c>
      <c r="E442" t="s">
        <v>62</v>
      </c>
      <c r="F442" t="s">
        <v>74</v>
      </c>
      <c r="G442" t="s">
        <v>92</v>
      </c>
      <c r="H442" t="s">
        <v>49</v>
      </c>
      <c r="I442" t="s">
        <v>84</v>
      </c>
      <c r="J442" t="s">
        <v>43</v>
      </c>
      <c r="K442" t="s">
        <v>37</v>
      </c>
      <c r="L442" t="s">
        <v>28</v>
      </c>
      <c r="M442" s="3">
        <v>175500</v>
      </c>
      <c r="N442" s="4">
        <v>0.123</v>
      </c>
      <c r="O442" s="4">
        <v>0.1</v>
      </c>
      <c r="P442" t="s">
        <v>38</v>
      </c>
      <c r="R442">
        <v>54</v>
      </c>
      <c r="S442" s="3">
        <v>12827.91</v>
      </c>
    </row>
    <row r="443" spans="1:19" x14ac:dyDescent="0.2">
      <c r="A443" t="s">
        <v>865</v>
      </c>
      <c r="B443" s="2">
        <v>46239</v>
      </c>
      <c r="C443" s="2">
        <v>46281</v>
      </c>
      <c r="D443" t="s">
        <v>866</v>
      </c>
      <c r="E443" t="s">
        <v>111</v>
      </c>
      <c r="F443" t="s">
        <v>48</v>
      </c>
      <c r="G443" t="s">
        <v>34</v>
      </c>
      <c r="H443" t="s">
        <v>137</v>
      </c>
      <c r="I443" t="s">
        <v>35</v>
      </c>
      <c r="J443" t="s">
        <v>36</v>
      </c>
      <c r="K443" t="s">
        <v>106</v>
      </c>
      <c r="L443" t="s">
        <v>44</v>
      </c>
      <c r="M443" s="3">
        <v>22200</v>
      </c>
      <c r="N443" s="4">
        <v>9.9000000000000005E-2</v>
      </c>
      <c r="O443" s="4">
        <v>0.15</v>
      </c>
      <c r="P443" t="s">
        <v>38</v>
      </c>
      <c r="R443">
        <v>42</v>
      </c>
      <c r="S443" s="3">
        <v>1666.45</v>
      </c>
    </row>
    <row r="444" spans="1:19" x14ac:dyDescent="0.2">
      <c r="A444" t="s">
        <v>867</v>
      </c>
      <c r="B444" s="2">
        <v>45993</v>
      </c>
      <c r="C444" s="2">
        <v>46135</v>
      </c>
      <c r="D444" t="s">
        <v>868</v>
      </c>
      <c r="E444" t="s">
        <v>82</v>
      </c>
      <c r="F444" t="s">
        <v>74</v>
      </c>
      <c r="G444" t="s">
        <v>63</v>
      </c>
      <c r="H444" t="s">
        <v>77</v>
      </c>
      <c r="I444" t="s">
        <v>25</v>
      </c>
      <c r="J444" t="s">
        <v>43</v>
      </c>
      <c r="K444" t="s">
        <v>37</v>
      </c>
      <c r="L444" t="s">
        <v>51</v>
      </c>
      <c r="M444" s="3">
        <v>244500</v>
      </c>
      <c r="N444" s="4">
        <v>8.5999999999999993E-2</v>
      </c>
      <c r="O444" s="4">
        <v>0.1</v>
      </c>
      <c r="P444" t="s">
        <v>38</v>
      </c>
      <c r="R444">
        <v>142</v>
      </c>
      <c r="S444" s="3">
        <v>18616.78</v>
      </c>
    </row>
    <row r="445" spans="1:19" x14ac:dyDescent="0.2">
      <c r="A445" t="s">
        <v>869</v>
      </c>
      <c r="B445" s="2">
        <v>46170</v>
      </c>
      <c r="C445" s="2">
        <v>46253</v>
      </c>
      <c r="D445" t="s">
        <v>870</v>
      </c>
      <c r="E445" t="s">
        <v>111</v>
      </c>
      <c r="F445" t="s">
        <v>74</v>
      </c>
      <c r="G445" t="s">
        <v>23</v>
      </c>
      <c r="H445" t="s">
        <v>64</v>
      </c>
      <c r="I445" t="s">
        <v>99</v>
      </c>
      <c r="J445" t="s">
        <v>57</v>
      </c>
      <c r="K445" t="s">
        <v>78</v>
      </c>
      <c r="L445" t="s">
        <v>51</v>
      </c>
      <c r="M445" s="3">
        <v>227800</v>
      </c>
      <c r="N445" s="4">
        <v>0.109</v>
      </c>
      <c r="O445" s="4">
        <v>0.5</v>
      </c>
      <c r="P445" t="s">
        <v>79</v>
      </c>
      <c r="R445">
        <v>83</v>
      </c>
      <c r="S445" s="3">
        <v>16907.32</v>
      </c>
    </row>
    <row r="446" spans="1:19" x14ac:dyDescent="0.2">
      <c r="A446" t="s">
        <v>871</v>
      </c>
      <c r="B446" s="2">
        <v>45960</v>
      </c>
      <c r="C446" s="2">
        <v>46089</v>
      </c>
      <c r="D446" t="s">
        <v>470</v>
      </c>
      <c r="E446" t="s">
        <v>82</v>
      </c>
      <c r="F446" t="s">
        <v>48</v>
      </c>
      <c r="G446" t="s">
        <v>63</v>
      </c>
      <c r="H446" t="s">
        <v>83</v>
      </c>
      <c r="I446" t="s">
        <v>42</v>
      </c>
      <c r="J446" t="s">
        <v>26</v>
      </c>
      <c r="K446" t="s">
        <v>50</v>
      </c>
      <c r="L446" t="s">
        <v>51</v>
      </c>
      <c r="M446" s="3">
        <v>19700</v>
      </c>
      <c r="N446" s="4">
        <v>0.10100000000000001</v>
      </c>
      <c r="O446" s="4">
        <v>1</v>
      </c>
      <c r="P446" t="s">
        <v>29</v>
      </c>
      <c r="R446">
        <v>129</v>
      </c>
      <c r="S446" s="3">
        <v>1475.12</v>
      </c>
    </row>
    <row r="447" spans="1:19" x14ac:dyDescent="0.2">
      <c r="A447" t="s">
        <v>872</v>
      </c>
      <c r="B447" s="2">
        <v>46164</v>
      </c>
      <c r="C447" s="2">
        <v>46212</v>
      </c>
      <c r="D447" t="s">
        <v>177</v>
      </c>
      <c r="E447" t="s">
        <v>91</v>
      </c>
      <c r="F447" t="s">
        <v>48</v>
      </c>
      <c r="G447" t="s">
        <v>23</v>
      </c>
      <c r="H447" t="s">
        <v>49</v>
      </c>
      <c r="I447" t="s">
        <v>84</v>
      </c>
      <c r="J447" t="s">
        <v>85</v>
      </c>
      <c r="K447" t="s">
        <v>88</v>
      </c>
      <c r="L447" t="s">
        <v>51</v>
      </c>
      <c r="M447" s="3">
        <v>18700</v>
      </c>
      <c r="N447" s="4">
        <v>0.14000000000000001</v>
      </c>
      <c r="O447" s="4">
        <v>0.3</v>
      </c>
      <c r="P447" t="s">
        <v>38</v>
      </c>
      <c r="R447">
        <v>48</v>
      </c>
      <c r="S447" s="3">
        <v>1340.85</v>
      </c>
    </row>
    <row r="448" spans="1:19" x14ac:dyDescent="0.2">
      <c r="A448" t="s">
        <v>873</v>
      </c>
      <c r="B448" s="2">
        <v>45964</v>
      </c>
      <c r="C448" s="2">
        <v>46028</v>
      </c>
      <c r="D448" t="s">
        <v>874</v>
      </c>
      <c r="E448" t="s">
        <v>68</v>
      </c>
      <c r="F448" t="s">
        <v>74</v>
      </c>
      <c r="G448" t="s">
        <v>23</v>
      </c>
      <c r="H448" t="s">
        <v>77</v>
      </c>
      <c r="I448" t="s">
        <v>25</v>
      </c>
      <c r="J448" t="s">
        <v>85</v>
      </c>
      <c r="K448" t="s">
        <v>37</v>
      </c>
      <c r="L448" t="s">
        <v>44</v>
      </c>
      <c r="M448" s="3">
        <v>189300</v>
      </c>
      <c r="N448" s="4">
        <v>0.125</v>
      </c>
      <c r="O448" s="4">
        <v>0.05</v>
      </c>
      <c r="P448" t="s">
        <v>38</v>
      </c>
      <c r="R448">
        <v>64</v>
      </c>
      <c r="S448" s="3">
        <v>13802.86</v>
      </c>
    </row>
    <row r="449" spans="1:19" x14ac:dyDescent="0.2">
      <c r="A449" t="s">
        <v>875</v>
      </c>
      <c r="B449" s="2">
        <v>46250</v>
      </c>
      <c r="C449" s="2">
        <v>46283</v>
      </c>
      <c r="D449" t="s">
        <v>876</v>
      </c>
      <c r="E449" t="s">
        <v>91</v>
      </c>
      <c r="F449" t="s">
        <v>22</v>
      </c>
      <c r="G449" t="s">
        <v>55</v>
      </c>
      <c r="H449" t="s">
        <v>77</v>
      </c>
      <c r="I449" t="s">
        <v>25</v>
      </c>
      <c r="J449" t="s">
        <v>85</v>
      </c>
      <c r="K449" t="s">
        <v>88</v>
      </c>
      <c r="L449" t="s">
        <v>44</v>
      </c>
      <c r="M449" s="3">
        <v>72700</v>
      </c>
      <c r="N449" s="4">
        <v>4.9000000000000002E-2</v>
      </c>
      <c r="O449" s="4">
        <v>0.35</v>
      </c>
      <c r="P449" t="s">
        <v>38</v>
      </c>
      <c r="R449">
        <v>33</v>
      </c>
      <c r="S449" s="3">
        <v>5762.54</v>
      </c>
    </row>
    <row r="450" spans="1:19" x14ac:dyDescent="0.2">
      <c r="A450" t="s">
        <v>877</v>
      </c>
      <c r="B450" s="2">
        <v>46062</v>
      </c>
      <c r="C450" s="2">
        <v>46097</v>
      </c>
      <c r="D450" t="s">
        <v>449</v>
      </c>
      <c r="E450" t="s">
        <v>21</v>
      </c>
      <c r="F450" t="s">
        <v>48</v>
      </c>
      <c r="G450" t="s">
        <v>34</v>
      </c>
      <c r="H450" t="s">
        <v>56</v>
      </c>
      <c r="I450" t="s">
        <v>35</v>
      </c>
      <c r="J450" t="s">
        <v>57</v>
      </c>
      <c r="K450" t="s">
        <v>50</v>
      </c>
      <c r="L450" t="s">
        <v>44</v>
      </c>
      <c r="M450" s="3">
        <v>8000</v>
      </c>
      <c r="N450" s="4">
        <v>0.109</v>
      </c>
      <c r="O450" s="4">
        <v>1</v>
      </c>
      <c r="P450" t="s">
        <v>29</v>
      </c>
      <c r="R450">
        <v>35</v>
      </c>
      <c r="S450" s="3">
        <v>594</v>
      </c>
    </row>
    <row r="451" spans="1:19" x14ac:dyDescent="0.2">
      <c r="A451" t="s">
        <v>878</v>
      </c>
      <c r="B451" s="2">
        <v>46052</v>
      </c>
      <c r="C451" s="2">
        <v>46178</v>
      </c>
      <c r="D451" t="s">
        <v>879</v>
      </c>
      <c r="E451" t="s">
        <v>54</v>
      </c>
      <c r="F451" t="s">
        <v>74</v>
      </c>
      <c r="G451" t="s">
        <v>23</v>
      </c>
      <c r="H451" t="s">
        <v>83</v>
      </c>
      <c r="I451" t="s">
        <v>99</v>
      </c>
      <c r="J451" t="s">
        <v>43</v>
      </c>
      <c r="K451" t="s">
        <v>37</v>
      </c>
      <c r="L451" t="s">
        <v>44</v>
      </c>
      <c r="M451" s="3">
        <v>203500</v>
      </c>
      <c r="N451" s="4">
        <v>0.214</v>
      </c>
      <c r="O451" s="4">
        <v>0.05</v>
      </c>
      <c r="P451" t="s">
        <v>38</v>
      </c>
      <c r="R451">
        <v>126</v>
      </c>
      <c r="S451" s="3">
        <v>13330.4</v>
      </c>
    </row>
    <row r="452" spans="1:19" x14ac:dyDescent="0.2">
      <c r="A452" t="s">
        <v>880</v>
      </c>
      <c r="B452" s="2">
        <v>46074</v>
      </c>
      <c r="C452" s="2">
        <v>46235</v>
      </c>
      <c r="D452" t="s">
        <v>740</v>
      </c>
      <c r="E452" t="s">
        <v>111</v>
      </c>
      <c r="F452" t="s">
        <v>74</v>
      </c>
      <c r="G452" t="s">
        <v>92</v>
      </c>
      <c r="H452" t="s">
        <v>56</v>
      </c>
      <c r="I452" t="s">
        <v>84</v>
      </c>
      <c r="J452" t="s">
        <v>36</v>
      </c>
      <c r="K452" t="s">
        <v>50</v>
      </c>
      <c r="L452" t="s">
        <v>44</v>
      </c>
      <c r="M452" s="3">
        <v>117100</v>
      </c>
      <c r="N452" s="4">
        <v>0.17100000000000001</v>
      </c>
      <c r="O452" s="4">
        <v>1</v>
      </c>
      <c r="P452" t="s">
        <v>29</v>
      </c>
      <c r="R452">
        <v>161</v>
      </c>
      <c r="S452" s="3">
        <v>8089.54</v>
      </c>
    </row>
    <row r="453" spans="1:19" x14ac:dyDescent="0.2">
      <c r="A453" t="s">
        <v>881</v>
      </c>
      <c r="B453" s="2">
        <v>46119</v>
      </c>
      <c r="C453" s="2">
        <v>46162</v>
      </c>
      <c r="D453" t="s">
        <v>882</v>
      </c>
      <c r="E453" t="s">
        <v>82</v>
      </c>
      <c r="F453" t="s">
        <v>48</v>
      </c>
      <c r="G453" t="s">
        <v>55</v>
      </c>
      <c r="H453" t="s">
        <v>137</v>
      </c>
      <c r="I453" t="s">
        <v>35</v>
      </c>
      <c r="J453" t="s">
        <v>43</v>
      </c>
      <c r="K453" t="s">
        <v>58</v>
      </c>
      <c r="L453" t="s">
        <v>28</v>
      </c>
      <c r="M453" s="3">
        <v>15200</v>
      </c>
      <c r="N453" s="4">
        <v>5.7000000000000002E-2</v>
      </c>
      <c r="O453" s="4">
        <v>0.75</v>
      </c>
      <c r="P453" t="s">
        <v>59</v>
      </c>
      <c r="R453">
        <v>43</v>
      </c>
      <c r="S453" s="3">
        <v>1194.3900000000001</v>
      </c>
    </row>
    <row r="454" spans="1:19" x14ac:dyDescent="0.2">
      <c r="A454" t="s">
        <v>883</v>
      </c>
      <c r="B454" s="2">
        <v>46104</v>
      </c>
      <c r="C454" s="2">
        <v>46138</v>
      </c>
      <c r="D454" t="s">
        <v>217</v>
      </c>
      <c r="E454" t="s">
        <v>21</v>
      </c>
      <c r="F454" t="s">
        <v>74</v>
      </c>
      <c r="G454" t="s">
        <v>63</v>
      </c>
      <c r="H454" t="s">
        <v>69</v>
      </c>
      <c r="I454" t="s">
        <v>84</v>
      </c>
      <c r="J454" t="s">
        <v>43</v>
      </c>
      <c r="K454" t="s">
        <v>106</v>
      </c>
      <c r="L454" t="s">
        <v>51</v>
      </c>
      <c r="M454" s="3">
        <v>289900</v>
      </c>
      <c r="N454" s="4">
        <v>7.1999999999999995E-2</v>
      </c>
      <c r="O454" s="4">
        <v>0.2</v>
      </c>
      <c r="P454" t="s">
        <v>38</v>
      </c>
      <c r="R454">
        <v>34</v>
      </c>
      <c r="S454" s="3">
        <v>22422.43</v>
      </c>
    </row>
    <row r="455" spans="1:19" x14ac:dyDescent="0.2">
      <c r="A455" t="s">
        <v>884</v>
      </c>
      <c r="B455" s="2">
        <v>46170</v>
      </c>
      <c r="C455" s="2">
        <v>46224</v>
      </c>
      <c r="D455" t="s">
        <v>318</v>
      </c>
      <c r="E455" t="s">
        <v>54</v>
      </c>
      <c r="F455" t="s">
        <v>48</v>
      </c>
      <c r="G455" t="s">
        <v>55</v>
      </c>
      <c r="H455" t="s">
        <v>41</v>
      </c>
      <c r="I455" t="s">
        <v>25</v>
      </c>
      <c r="J455" t="s">
        <v>85</v>
      </c>
      <c r="K455" t="s">
        <v>27</v>
      </c>
      <c r="L455" t="s">
        <v>44</v>
      </c>
      <c r="M455" s="3">
        <v>29000</v>
      </c>
      <c r="N455" s="4">
        <v>0.30099999999999999</v>
      </c>
      <c r="O455" s="4">
        <v>0</v>
      </c>
      <c r="P455" t="s">
        <v>29</v>
      </c>
      <c r="Q455" t="s">
        <v>45</v>
      </c>
      <c r="R455">
        <v>54</v>
      </c>
      <c r="S455" s="3">
        <v>1690.36</v>
      </c>
    </row>
    <row r="456" spans="1:19" x14ac:dyDescent="0.2">
      <c r="A456" t="s">
        <v>885</v>
      </c>
      <c r="B456" s="2">
        <v>46186</v>
      </c>
      <c r="C456" s="2">
        <v>46213</v>
      </c>
      <c r="D456" t="s">
        <v>886</v>
      </c>
      <c r="E456" t="s">
        <v>68</v>
      </c>
      <c r="F456" t="s">
        <v>22</v>
      </c>
      <c r="G456" t="s">
        <v>92</v>
      </c>
      <c r="H456" t="s">
        <v>120</v>
      </c>
      <c r="I456" t="s">
        <v>35</v>
      </c>
      <c r="J456" t="s">
        <v>26</v>
      </c>
      <c r="K456" t="s">
        <v>78</v>
      </c>
      <c r="L456" t="s">
        <v>28</v>
      </c>
      <c r="M456" s="3">
        <v>58400</v>
      </c>
      <c r="N456" s="4">
        <v>0.13400000000000001</v>
      </c>
      <c r="O456" s="4">
        <v>0.55000000000000004</v>
      </c>
      <c r="P456" t="s">
        <v>79</v>
      </c>
      <c r="R456">
        <v>27</v>
      </c>
      <c r="S456" s="3">
        <v>4213.51</v>
      </c>
    </row>
    <row r="457" spans="1:19" x14ac:dyDescent="0.2">
      <c r="A457" t="s">
        <v>887</v>
      </c>
      <c r="B457" s="2">
        <v>46017</v>
      </c>
      <c r="C457" s="2">
        <v>46101</v>
      </c>
      <c r="D457" t="s">
        <v>888</v>
      </c>
      <c r="E457" t="s">
        <v>111</v>
      </c>
      <c r="F457" t="s">
        <v>22</v>
      </c>
      <c r="G457" t="s">
        <v>92</v>
      </c>
      <c r="H457" t="s">
        <v>64</v>
      </c>
      <c r="I457" t="s">
        <v>65</v>
      </c>
      <c r="J457" t="s">
        <v>85</v>
      </c>
      <c r="K457" t="s">
        <v>37</v>
      </c>
      <c r="L457" t="s">
        <v>44</v>
      </c>
      <c r="M457" s="3">
        <v>72600</v>
      </c>
      <c r="N457" s="4">
        <v>8.8999999999999996E-2</v>
      </c>
      <c r="O457" s="4">
        <v>0.1</v>
      </c>
      <c r="P457" t="s">
        <v>38</v>
      </c>
      <c r="R457">
        <v>84</v>
      </c>
      <c r="S457" s="3">
        <v>5513.06</v>
      </c>
    </row>
    <row r="458" spans="1:19" x14ac:dyDescent="0.2">
      <c r="A458" t="s">
        <v>889</v>
      </c>
      <c r="B458" s="2">
        <v>46010</v>
      </c>
      <c r="C458" s="2">
        <v>46078</v>
      </c>
      <c r="D458" t="s">
        <v>890</v>
      </c>
      <c r="E458" t="s">
        <v>111</v>
      </c>
      <c r="F458" t="s">
        <v>22</v>
      </c>
      <c r="G458" t="s">
        <v>23</v>
      </c>
      <c r="H458" t="s">
        <v>120</v>
      </c>
      <c r="I458" t="s">
        <v>35</v>
      </c>
      <c r="J458" t="s">
        <v>85</v>
      </c>
      <c r="K458" t="s">
        <v>106</v>
      </c>
      <c r="L458" t="s">
        <v>51</v>
      </c>
      <c r="M458" s="3">
        <v>48800</v>
      </c>
      <c r="N458" s="4">
        <v>1.7000000000000001E-2</v>
      </c>
      <c r="O458" s="4">
        <v>0.2</v>
      </c>
      <c r="P458" t="s">
        <v>38</v>
      </c>
      <c r="R458">
        <v>68</v>
      </c>
      <c r="S458" s="3">
        <v>3997.37</v>
      </c>
    </row>
    <row r="459" spans="1:19" x14ac:dyDescent="0.2">
      <c r="A459" t="s">
        <v>891</v>
      </c>
      <c r="B459" s="2">
        <v>46098</v>
      </c>
      <c r="C459" s="2">
        <v>46128</v>
      </c>
      <c r="D459" t="s">
        <v>892</v>
      </c>
      <c r="E459" t="s">
        <v>21</v>
      </c>
      <c r="F459" t="s">
        <v>22</v>
      </c>
      <c r="G459" t="s">
        <v>55</v>
      </c>
      <c r="H459" t="s">
        <v>120</v>
      </c>
      <c r="I459" t="s">
        <v>42</v>
      </c>
      <c r="J459" t="s">
        <v>26</v>
      </c>
      <c r="K459" t="s">
        <v>27</v>
      </c>
      <c r="L459" t="s">
        <v>28</v>
      </c>
      <c r="M459" s="3">
        <v>67000</v>
      </c>
      <c r="N459" s="4">
        <v>0.12</v>
      </c>
      <c r="O459" s="4">
        <v>0.05</v>
      </c>
      <c r="P459" t="s">
        <v>29</v>
      </c>
      <c r="Q459" t="s">
        <v>152</v>
      </c>
      <c r="R459">
        <v>30</v>
      </c>
      <c r="S459" s="3">
        <v>4913.53</v>
      </c>
    </row>
    <row r="460" spans="1:19" x14ac:dyDescent="0.2">
      <c r="A460" t="s">
        <v>893</v>
      </c>
      <c r="B460" s="2">
        <v>46064</v>
      </c>
      <c r="C460" s="2">
        <v>46106</v>
      </c>
      <c r="D460" t="s">
        <v>894</v>
      </c>
      <c r="E460" t="s">
        <v>33</v>
      </c>
      <c r="F460" t="s">
        <v>22</v>
      </c>
      <c r="G460" t="s">
        <v>63</v>
      </c>
      <c r="H460" t="s">
        <v>83</v>
      </c>
      <c r="I460" t="s">
        <v>99</v>
      </c>
      <c r="J460" t="s">
        <v>85</v>
      </c>
      <c r="K460" t="s">
        <v>58</v>
      </c>
      <c r="L460" t="s">
        <v>51</v>
      </c>
      <c r="M460" s="3">
        <v>65900</v>
      </c>
      <c r="N460" s="4">
        <v>5.8999999999999997E-2</v>
      </c>
      <c r="O460" s="4">
        <v>0.75</v>
      </c>
      <c r="P460" t="s">
        <v>59</v>
      </c>
      <c r="R460">
        <v>42</v>
      </c>
      <c r="S460" s="3">
        <v>5168.0600000000004</v>
      </c>
    </row>
    <row r="461" spans="1:19" x14ac:dyDescent="0.2">
      <c r="A461" t="s">
        <v>895</v>
      </c>
      <c r="B461" s="2">
        <v>45983</v>
      </c>
      <c r="C461" s="2">
        <v>46137</v>
      </c>
      <c r="D461" t="s">
        <v>866</v>
      </c>
      <c r="E461" t="s">
        <v>62</v>
      </c>
      <c r="F461" t="s">
        <v>22</v>
      </c>
      <c r="G461" t="s">
        <v>92</v>
      </c>
      <c r="H461" t="s">
        <v>56</v>
      </c>
      <c r="I461" t="s">
        <v>25</v>
      </c>
      <c r="J461" t="s">
        <v>57</v>
      </c>
      <c r="K461" t="s">
        <v>27</v>
      </c>
      <c r="L461" t="s">
        <v>44</v>
      </c>
      <c r="M461" s="3">
        <v>26000</v>
      </c>
      <c r="N461" s="4">
        <v>0.155</v>
      </c>
      <c r="O461" s="4">
        <v>0</v>
      </c>
      <c r="P461" t="s">
        <v>29</v>
      </c>
      <c r="Q461" t="s">
        <v>222</v>
      </c>
      <c r="R461">
        <v>154</v>
      </c>
      <c r="S461" s="3">
        <v>1830.56</v>
      </c>
    </row>
    <row r="462" spans="1:19" x14ac:dyDescent="0.2">
      <c r="A462" t="s">
        <v>896</v>
      </c>
      <c r="B462" s="2">
        <v>46107</v>
      </c>
      <c r="C462" s="2">
        <v>46198</v>
      </c>
      <c r="D462" t="s">
        <v>252</v>
      </c>
      <c r="E462" t="s">
        <v>21</v>
      </c>
      <c r="F462" t="s">
        <v>22</v>
      </c>
      <c r="G462" t="s">
        <v>34</v>
      </c>
      <c r="H462" t="s">
        <v>56</v>
      </c>
      <c r="I462" t="s">
        <v>25</v>
      </c>
      <c r="J462" t="s">
        <v>57</v>
      </c>
      <c r="K462" t="s">
        <v>58</v>
      </c>
      <c r="L462" t="s">
        <v>28</v>
      </c>
      <c r="M462" s="3">
        <v>42000</v>
      </c>
      <c r="N462" s="4">
        <v>0.23400000000000001</v>
      </c>
      <c r="O462" s="4">
        <v>0.7</v>
      </c>
      <c r="P462" t="s">
        <v>59</v>
      </c>
      <c r="R462">
        <v>91</v>
      </c>
      <c r="S462" s="3">
        <v>2680.6</v>
      </c>
    </row>
    <row r="463" spans="1:19" x14ac:dyDescent="0.2">
      <c r="A463" t="s">
        <v>897</v>
      </c>
      <c r="B463" s="2">
        <v>46123</v>
      </c>
      <c r="C463" s="2">
        <v>46166</v>
      </c>
      <c r="D463" t="s">
        <v>898</v>
      </c>
      <c r="E463" t="s">
        <v>68</v>
      </c>
      <c r="F463" t="s">
        <v>48</v>
      </c>
      <c r="G463" t="s">
        <v>23</v>
      </c>
      <c r="H463" t="s">
        <v>41</v>
      </c>
      <c r="I463" t="s">
        <v>84</v>
      </c>
      <c r="J463" t="s">
        <v>26</v>
      </c>
      <c r="K463" t="s">
        <v>37</v>
      </c>
      <c r="L463" t="s">
        <v>44</v>
      </c>
      <c r="M463" s="3">
        <v>19600</v>
      </c>
      <c r="N463" s="4">
        <v>8.2000000000000003E-2</v>
      </c>
      <c r="O463" s="4">
        <v>0.1</v>
      </c>
      <c r="P463" t="s">
        <v>38</v>
      </c>
      <c r="R463">
        <v>43</v>
      </c>
      <c r="S463" s="3">
        <v>1499.65</v>
      </c>
    </row>
    <row r="464" spans="1:19" x14ac:dyDescent="0.2">
      <c r="A464" t="s">
        <v>899</v>
      </c>
      <c r="B464" s="2">
        <v>45968</v>
      </c>
      <c r="C464" s="2">
        <v>46062</v>
      </c>
      <c r="D464" t="s">
        <v>900</v>
      </c>
      <c r="E464" t="s">
        <v>68</v>
      </c>
      <c r="F464" t="s">
        <v>74</v>
      </c>
      <c r="G464" t="s">
        <v>55</v>
      </c>
      <c r="H464" t="s">
        <v>95</v>
      </c>
      <c r="I464" t="s">
        <v>25</v>
      </c>
      <c r="J464" t="s">
        <v>85</v>
      </c>
      <c r="K464" t="s">
        <v>50</v>
      </c>
      <c r="L464" t="s">
        <v>28</v>
      </c>
      <c r="M464" s="3">
        <v>336700</v>
      </c>
      <c r="N464" s="4">
        <v>0.15</v>
      </c>
      <c r="O464" s="4">
        <v>0.95</v>
      </c>
      <c r="P464" t="s">
        <v>29</v>
      </c>
      <c r="R464">
        <v>94</v>
      </c>
      <c r="S464" s="3">
        <v>23861.279999999999</v>
      </c>
    </row>
    <row r="465" spans="1:19" x14ac:dyDescent="0.2">
      <c r="A465" t="s">
        <v>901</v>
      </c>
      <c r="B465" s="2">
        <v>46172</v>
      </c>
      <c r="C465" s="2">
        <v>46319</v>
      </c>
      <c r="D465" t="s">
        <v>902</v>
      </c>
      <c r="E465" t="s">
        <v>33</v>
      </c>
      <c r="F465" t="s">
        <v>48</v>
      </c>
      <c r="G465" t="s">
        <v>92</v>
      </c>
      <c r="H465" t="s">
        <v>120</v>
      </c>
      <c r="I465" t="s">
        <v>35</v>
      </c>
      <c r="J465" t="s">
        <v>26</v>
      </c>
      <c r="K465" t="s">
        <v>106</v>
      </c>
      <c r="L465" t="s">
        <v>51</v>
      </c>
      <c r="M465" s="3">
        <v>7700</v>
      </c>
      <c r="N465" s="4">
        <v>7.2999999999999995E-2</v>
      </c>
      <c r="O465" s="4">
        <v>0.2</v>
      </c>
      <c r="P465" t="s">
        <v>38</v>
      </c>
      <c r="R465">
        <v>147</v>
      </c>
      <c r="S465" s="3">
        <v>594.54999999999995</v>
      </c>
    </row>
    <row r="466" spans="1:19" x14ac:dyDescent="0.2">
      <c r="A466" t="s">
        <v>903</v>
      </c>
      <c r="B466" s="2">
        <v>46262</v>
      </c>
      <c r="C466" s="2">
        <v>46335</v>
      </c>
      <c r="D466" t="s">
        <v>228</v>
      </c>
      <c r="E466" t="s">
        <v>111</v>
      </c>
      <c r="F466" t="s">
        <v>22</v>
      </c>
      <c r="G466" t="s">
        <v>63</v>
      </c>
      <c r="H466" t="s">
        <v>83</v>
      </c>
      <c r="I466" t="s">
        <v>65</v>
      </c>
      <c r="J466" t="s">
        <v>43</v>
      </c>
      <c r="K466" t="s">
        <v>106</v>
      </c>
      <c r="L466" t="s">
        <v>51</v>
      </c>
      <c r="M466" s="3">
        <v>96400</v>
      </c>
      <c r="N466" s="4">
        <v>0.17499999999999999</v>
      </c>
      <c r="O466" s="4">
        <v>0.2</v>
      </c>
      <c r="P466" t="s">
        <v>38</v>
      </c>
      <c r="R466">
        <v>73</v>
      </c>
      <c r="S466" s="3">
        <v>6629.57</v>
      </c>
    </row>
    <row r="467" spans="1:19" x14ac:dyDescent="0.2">
      <c r="A467" t="s">
        <v>904</v>
      </c>
      <c r="B467" s="2">
        <v>46074</v>
      </c>
      <c r="C467" s="2">
        <v>46139</v>
      </c>
      <c r="D467" t="s">
        <v>771</v>
      </c>
      <c r="E467" t="s">
        <v>111</v>
      </c>
      <c r="F467" t="s">
        <v>48</v>
      </c>
      <c r="G467" t="s">
        <v>23</v>
      </c>
      <c r="H467" t="s">
        <v>41</v>
      </c>
      <c r="I467" t="s">
        <v>84</v>
      </c>
      <c r="J467" t="s">
        <v>36</v>
      </c>
      <c r="K467" t="s">
        <v>106</v>
      </c>
      <c r="L467" t="s">
        <v>28</v>
      </c>
      <c r="M467" s="3">
        <v>6100</v>
      </c>
      <c r="N467" s="4">
        <v>5.0000000000000001E-3</v>
      </c>
      <c r="O467" s="4">
        <v>0.25</v>
      </c>
      <c r="P467" t="s">
        <v>38</v>
      </c>
      <c r="R467">
        <v>65</v>
      </c>
      <c r="S467" s="3">
        <v>505.74</v>
      </c>
    </row>
    <row r="468" spans="1:19" x14ac:dyDescent="0.2">
      <c r="A468" t="s">
        <v>905</v>
      </c>
      <c r="B468" s="2">
        <v>46011</v>
      </c>
      <c r="C468" s="2">
        <v>46157</v>
      </c>
      <c r="D468" t="s">
        <v>906</v>
      </c>
      <c r="E468" t="s">
        <v>21</v>
      </c>
      <c r="F468" t="s">
        <v>48</v>
      </c>
      <c r="G468" t="s">
        <v>92</v>
      </c>
      <c r="H468" t="s">
        <v>56</v>
      </c>
      <c r="I468" t="s">
        <v>42</v>
      </c>
      <c r="J468" t="s">
        <v>26</v>
      </c>
      <c r="K468" t="s">
        <v>37</v>
      </c>
      <c r="L468" t="s">
        <v>28</v>
      </c>
      <c r="M468" s="3">
        <v>6400</v>
      </c>
      <c r="N468" s="4">
        <v>3.9E-2</v>
      </c>
      <c r="O468" s="4">
        <v>0.1</v>
      </c>
      <c r="P468" t="s">
        <v>38</v>
      </c>
      <c r="R468">
        <v>146</v>
      </c>
      <c r="S468" s="3">
        <v>512.37</v>
      </c>
    </row>
    <row r="469" spans="1:19" x14ac:dyDescent="0.2">
      <c r="A469" t="s">
        <v>907</v>
      </c>
      <c r="B469" s="2">
        <v>46097</v>
      </c>
      <c r="C469" s="2">
        <v>46234</v>
      </c>
      <c r="D469" t="s">
        <v>908</v>
      </c>
      <c r="E469" t="s">
        <v>82</v>
      </c>
      <c r="F469" t="s">
        <v>48</v>
      </c>
      <c r="G469" t="s">
        <v>34</v>
      </c>
      <c r="H469" t="s">
        <v>120</v>
      </c>
      <c r="I469" t="s">
        <v>99</v>
      </c>
      <c r="J469" t="s">
        <v>43</v>
      </c>
      <c r="K469" t="s">
        <v>37</v>
      </c>
      <c r="L469" t="s">
        <v>44</v>
      </c>
      <c r="M469" s="3">
        <v>16900</v>
      </c>
      <c r="N469" s="4">
        <v>0.151</v>
      </c>
      <c r="O469" s="4">
        <v>0.15</v>
      </c>
      <c r="P469" t="s">
        <v>38</v>
      </c>
      <c r="R469">
        <v>137</v>
      </c>
      <c r="S469" s="3">
        <v>1195.1300000000001</v>
      </c>
    </row>
    <row r="470" spans="1:19" x14ac:dyDescent="0.2">
      <c r="A470" t="s">
        <v>909</v>
      </c>
      <c r="B470" s="2">
        <v>46254</v>
      </c>
      <c r="C470" s="2">
        <v>46277</v>
      </c>
      <c r="D470" t="s">
        <v>821</v>
      </c>
      <c r="E470" t="s">
        <v>68</v>
      </c>
      <c r="F470" t="s">
        <v>48</v>
      </c>
      <c r="G470" t="s">
        <v>23</v>
      </c>
      <c r="H470" t="s">
        <v>56</v>
      </c>
      <c r="I470" t="s">
        <v>99</v>
      </c>
      <c r="J470" t="s">
        <v>57</v>
      </c>
      <c r="K470" t="s">
        <v>27</v>
      </c>
      <c r="L470" t="s">
        <v>44</v>
      </c>
      <c r="M470" s="3">
        <v>11500</v>
      </c>
      <c r="N470" s="4">
        <v>0.127</v>
      </c>
      <c r="O470" s="4">
        <v>0</v>
      </c>
      <c r="P470" t="s">
        <v>29</v>
      </c>
      <c r="Q470" t="s">
        <v>30</v>
      </c>
      <c r="R470">
        <v>23</v>
      </c>
      <c r="S470" s="3">
        <v>836.63</v>
      </c>
    </row>
    <row r="471" spans="1:19" x14ac:dyDescent="0.2">
      <c r="A471" t="s">
        <v>910</v>
      </c>
      <c r="B471" s="2">
        <v>46221</v>
      </c>
      <c r="C471" s="2">
        <v>46303</v>
      </c>
      <c r="D471" t="s">
        <v>911</v>
      </c>
      <c r="E471" t="s">
        <v>91</v>
      </c>
      <c r="F471" t="s">
        <v>48</v>
      </c>
      <c r="G471" t="s">
        <v>92</v>
      </c>
      <c r="H471" t="s">
        <v>24</v>
      </c>
      <c r="I471" t="s">
        <v>35</v>
      </c>
      <c r="J471" t="s">
        <v>26</v>
      </c>
      <c r="K471" t="s">
        <v>37</v>
      </c>
      <c r="L471" t="s">
        <v>51</v>
      </c>
      <c r="M471" s="3">
        <v>29300</v>
      </c>
      <c r="N471" s="4">
        <v>0.14099999999999999</v>
      </c>
      <c r="O471" s="4">
        <v>0.1</v>
      </c>
      <c r="P471" t="s">
        <v>38</v>
      </c>
      <c r="R471">
        <v>82</v>
      </c>
      <c r="S471" s="3">
        <v>2097.27</v>
      </c>
    </row>
    <row r="472" spans="1:19" x14ac:dyDescent="0.2">
      <c r="A472" t="s">
        <v>912</v>
      </c>
      <c r="B472" s="2">
        <v>46010</v>
      </c>
      <c r="C472" s="2">
        <v>46037</v>
      </c>
      <c r="D472" t="s">
        <v>913</v>
      </c>
      <c r="E472" t="s">
        <v>111</v>
      </c>
      <c r="F472" t="s">
        <v>22</v>
      </c>
      <c r="G472" t="s">
        <v>92</v>
      </c>
      <c r="H472" t="s">
        <v>83</v>
      </c>
      <c r="I472" t="s">
        <v>99</v>
      </c>
      <c r="J472" t="s">
        <v>57</v>
      </c>
      <c r="K472" t="s">
        <v>78</v>
      </c>
      <c r="L472" t="s">
        <v>44</v>
      </c>
      <c r="M472" s="3">
        <v>95600</v>
      </c>
      <c r="N472" s="4">
        <v>0.19800000000000001</v>
      </c>
      <c r="O472" s="4">
        <v>0.55000000000000004</v>
      </c>
      <c r="P472" t="s">
        <v>79</v>
      </c>
      <c r="R472">
        <v>27</v>
      </c>
      <c r="S472" s="3">
        <v>6393.23</v>
      </c>
    </row>
    <row r="473" spans="1:19" x14ac:dyDescent="0.2">
      <c r="A473" t="s">
        <v>914</v>
      </c>
      <c r="B473" s="2">
        <v>46197</v>
      </c>
      <c r="C473" s="2">
        <v>46331</v>
      </c>
      <c r="D473" t="s">
        <v>915</v>
      </c>
      <c r="E473" t="s">
        <v>82</v>
      </c>
      <c r="F473" t="s">
        <v>48</v>
      </c>
      <c r="G473" t="s">
        <v>23</v>
      </c>
      <c r="H473" t="s">
        <v>120</v>
      </c>
      <c r="I473" t="s">
        <v>65</v>
      </c>
      <c r="J473" t="s">
        <v>36</v>
      </c>
      <c r="K473" t="s">
        <v>88</v>
      </c>
      <c r="L473" t="s">
        <v>51</v>
      </c>
      <c r="M473" s="3">
        <v>27600</v>
      </c>
      <c r="N473" s="4">
        <v>6.9000000000000006E-2</v>
      </c>
      <c r="O473" s="4">
        <v>0.3</v>
      </c>
      <c r="P473" t="s">
        <v>38</v>
      </c>
      <c r="R473">
        <v>134</v>
      </c>
      <c r="S473" s="3">
        <v>2142.19</v>
      </c>
    </row>
    <row r="474" spans="1:19" x14ac:dyDescent="0.2">
      <c r="A474" t="s">
        <v>916</v>
      </c>
      <c r="B474" s="2">
        <v>45977</v>
      </c>
      <c r="C474" s="2">
        <v>46049</v>
      </c>
      <c r="D474" t="s">
        <v>917</v>
      </c>
      <c r="E474" t="s">
        <v>62</v>
      </c>
      <c r="F474" t="s">
        <v>48</v>
      </c>
      <c r="G474" t="s">
        <v>55</v>
      </c>
      <c r="H474" t="s">
        <v>56</v>
      </c>
      <c r="I474" t="s">
        <v>42</v>
      </c>
      <c r="J474" t="s">
        <v>85</v>
      </c>
      <c r="K474" t="s">
        <v>58</v>
      </c>
      <c r="L474" t="s">
        <v>28</v>
      </c>
      <c r="M474" s="3">
        <v>7600</v>
      </c>
      <c r="N474" s="4">
        <v>0.127</v>
      </c>
      <c r="O474" s="4">
        <v>0.7</v>
      </c>
      <c r="P474" t="s">
        <v>59</v>
      </c>
      <c r="R474">
        <v>72</v>
      </c>
      <c r="S474" s="3">
        <v>553.02</v>
      </c>
    </row>
    <row r="475" spans="1:19" x14ac:dyDescent="0.2">
      <c r="A475" t="s">
        <v>918</v>
      </c>
      <c r="B475" s="2">
        <v>46197</v>
      </c>
      <c r="C475" s="2">
        <v>46277</v>
      </c>
      <c r="D475" t="s">
        <v>108</v>
      </c>
      <c r="E475" t="s">
        <v>91</v>
      </c>
      <c r="F475" t="s">
        <v>74</v>
      </c>
      <c r="G475" t="s">
        <v>34</v>
      </c>
      <c r="H475" t="s">
        <v>41</v>
      </c>
      <c r="I475" t="s">
        <v>25</v>
      </c>
      <c r="J475" t="s">
        <v>85</v>
      </c>
      <c r="K475" t="s">
        <v>27</v>
      </c>
      <c r="L475" t="s">
        <v>51</v>
      </c>
      <c r="M475" s="3">
        <v>296700</v>
      </c>
      <c r="N475" s="4">
        <v>0.124</v>
      </c>
      <c r="O475" s="4">
        <v>0.05</v>
      </c>
      <c r="P475" t="s">
        <v>29</v>
      </c>
      <c r="Q475" t="s">
        <v>188</v>
      </c>
      <c r="R475">
        <v>80</v>
      </c>
      <c r="S475" s="3">
        <v>21650.74</v>
      </c>
    </row>
    <row r="476" spans="1:19" x14ac:dyDescent="0.2">
      <c r="A476" t="s">
        <v>919</v>
      </c>
      <c r="B476" s="2">
        <v>46001</v>
      </c>
      <c r="C476" s="2">
        <v>46117</v>
      </c>
      <c r="D476" t="s">
        <v>198</v>
      </c>
      <c r="E476" t="s">
        <v>68</v>
      </c>
      <c r="F476" t="s">
        <v>48</v>
      </c>
      <c r="G476" t="s">
        <v>92</v>
      </c>
      <c r="H476" t="s">
        <v>120</v>
      </c>
      <c r="I476" t="s">
        <v>99</v>
      </c>
      <c r="J476" t="s">
        <v>57</v>
      </c>
      <c r="K476" t="s">
        <v>37</v>
      </c>
      <c r="L476" t="s">
        <v>44</v>
      </c>
      <c r="M476" s="3">
        <v>29000</v>
      </c>
      <c r="N476" s="4">
        <v>0.154</v>
      </c>
      <c r="O476" s="4">
        <v>0.15</v>
      </c>
      <c r="P476" t="s">
        <v>38</v>
      </c>
      <c r="R476">
        <v>116</v>
      </c>
      <c r="S476" s="3">
        <v>2044.54</v>
      </c>
    </row>
    <row r="477" spans="1:19" x14ac:dyDescent="0.2">
      <c r="A477" t="s">
        <v>920</v>
      </c>
      <c r="B477" s="2">
        <v>46073</v>
      </c>
      <c r="C477" s="2">
        <v>46114</v>
      </c>
      <c r="D477" t="s">
        <v>921</v>
      </c>
      <c r="E477" t="s">
        <v>33</v>
      </c>
      <c r="F477" t="s">
        <v>48</v>
      </c>
      <c r="G477" t="s">
        <v>92</v>
      </c>
      <c r="H477" t="s">
        <v>77</v>
      </c>
      <c r="I477" t="s">
        <v>35</v>
      </c>
      <c r="J477" t="s">
        <v>36</v>
      </c>
      <c r="K477" t="s">
        <v>37</v>
      </c>
      <c r="L477" t="s">
        <v>44</v>
      </c>
      <c r="M477" s="3">
        <v>20100</v>
      </c>
      <c r="N477" s="4">
        <v>6.0000000000000001E-3</v>
      </c>
      <c r="O477" s="4">
        <v>0.1</v>
      </c>
      <c r="P477" t="s">
        <v>38</v>
      </c>
      <c r="R477">
        <v>41</v>
      </c>
      <c r="S477" s="3">
        <v>1665.25</v>
      </c>
    </row>
    <row r="478" spans="1:19" x14ac:dyDescent="0.2">
      <c r="A478" t="s">
        <v>922</v>
      </c>
      <c r="B478" s="2">
        <v>45946</v>
      </c>
      <c r="C478" s="2">
        <v>46068</v>
      </c>
      <c r="D478" t="s">
        <v>923</v>
      </c>
      <c r="E478" t="s">
        <v>68</v>
      </c>
      <c r="F478" t="s">
        <v>22</v>
      </c>
      <c r="G478" t="s">
        <v>34</v>
      </c>
      <c r="H478" t="s">
        <v>24</v>
      </c>
      <c r="I478" t="s">
        <v>99</v>
      </c>
      <c r="J478" t="s">
        <v>36</v>
      </c>
      <c r="K478" t="s">
        <v>88</v>
      </c>
      <c r="L478" t="s">
        <v>51</v>
      </c>
      <c r="M478" s="3">
        <v>66100</v>
      </c>
      <c r="N478" s="4">
        <v>4.1000000000000002E-2</v>
      </c>
      <c r="O478" s="4">
        <v>0.4</v>
      </c>
      <c r="P478" t="s">
        <v>38</v>
      </c>
      <c r="R478">
        <v>122</v>
      </c>
      <c r="S478" s="3">
        <v>5281.03</v>
      </c>
    </row>
    <row r="479" spans="1:19" x14ac:dyDescent="0.2">
      <c r="A479" t="s">
        <v>924</v>
      </c>
      <c r="B479" s="2">
        <v>46202</v>
      </c>
      <c r="C479" s="2">
        <v>46279</v>
      </c>
      <c r="D479" t="s">
        <v>925</v>
      </c>
      <c r="E479" t="s">
        <v>54</v>
      </c>
      <c r="F479" t="s">
        <v>48</v>
      </c>
      <c r="G479" t="s">
        <v>34</v>
      </c>
      <c r="H479" t="s">
        <v>98</v>
      </c>
      <c r="I479" t="s">
        <v>35</v>
      </c>
      <c r="J479" t="s">
        <v>85</v>
      </c>
      <c r="K479" t="s">
        <v>88</v>
      </c>
      <c r="L479" t="s">
        <v>44</v>
      </c>
      <c r="M479" s="3">
        <v>11900</v>
      </c>
      <c r="N479" s="4">
        <v>6.7000000000000004E-2</v>
      </c>
      <c r="O479" s="4">
        <v>0.35</v>
      </c>
      <c r="P479" t="s">
        <v>38</v>
      </c>
      <c r="R479">
        <v>77</v>
      </c>
      <c r="S479" s="3">
        <v>925.64</v>
      </c>
    </row>
    <row r="480" spans="1:19" x14ac:dyDescent="0.2">
      <c r="A480" t="s">
        <v>926</v>
      </c>
      <c r="B480" s="2">
        <v>46076</v>
      </c>
      <c r="C480" s="2">
        <v>46194</v>
      </c>
      <c r="D480" t="s">
        <v>254</v>
      </c>
      <c r="E480" t="s">
        <v>91</v>
      </c>
      <c r="F480" t="s">
        <v>22</v>
      </c>
      <c r="G480" t="s">
        <v>55</v>
      </c>
      <c r="H480" t="s">
        <v>137</v>
      </c>
      <c r="I480" t="s">
        <v>35</v>
      </c>
      <c r="J480" t="s">
        <v>26</v>
      </c>
      <c r="K480" t="s">
        <v>88</v>
      </c>
      <c r="L480" t="s">
        <v>28</v>
      </c>
      <c r="M480" s="3">
        <v>97100</v>
      </c>
      <c r="N480" s="4">
        <v>0.215</v>
      </c>
      <c r="O480" s="4">
        <v>0.35</v>
      </c>
      <c r="P480" t="s">
        <v>38</v>
      </c>
      <c r="R480">
        <v>118</v>
      </c>
      <c r="S480" s="3">
        <v>6350.9</v>
      </c>
    </row>
    <row r="481" spans="1:19" x14ac:dyDescent="0.2">
      <c r="A481" t="s">
        <v>927</v>
      </c>
      <c r="B481" s="2">
        <v>46035</v>
      </c>
      <c r="C481" s="2">
        <v>46102</v>
      </c>
      <c r="D481" t="s">
        <v>410</v>
      </c>
      <c r="E481" t="s">
        <v>62</v>
      </c>
      <c r="F481" t="s">
        <v>48</v>
      </c>
      <c r="G481" t="s">
        <v>63</v>
      </c>
      <c r="H481" t="s">
        <v>137</v>
      </c>
      <c r="I481" t="s">
        <v>65</v>
      </c>
      <c r="J481" t="s">
        <v>43</v>
      </c>
      <c r="K481" t="s">
        <v>106</v>
      </c>
      <c r="L481" t="s">
        <v>44</v>
      </c>
      <c r="M481" s="3">
        <v>17300</v>
      </c>
      <c r="N481" s="4">
        <v>8.0000000000000002E-3</v>
      </c>
      <c r="O481" s="4">
        <v>0.15</v>
      </c>
      <c r="P481" t="s">
        <v>38</v>
      </c>
      <c r="R481">
        <v>67</v>
      </c>
      <c r="S481" s="3">
        <v>1429.41</v>
      </c>
    </row>
    <row r="482" spans="1:19" x14ac:dyDescent="0.2">
      <c r="A482" t="s">
        <v>928</v>
      </c>
      <c r="B482" s="2">
        <v>46207</v>
      </c>
      <c r="C482" s="2">
        <v>46263</v>
      </c>
      <c r="D482" t="s">
        <v>829</v>
      </c>
      <c r="E482" t="s">
        <v>91</v>
      </c>
      <c r="F482" t="s">
        <v>48</v>
      </c>
      <c r="G482" t="s">
        <v>92</v>
      </c>
      <c r="H482" t="s">
        <v>137</v>
      </c>
      <c r="I482" t="s">
        <v>84</v>
      </c>
      <c r="J482" t="s">
        <v>43</v>
      </c>
      <c r="K482" t="s">
        <v>58</v>
      </c>
      <c r="L482" t="s">
        <v>44</v>
      </c>
      <c r="M482" s="3">
        <v>29900</v>
      </c>
      <c r="N482" s="4">
        <v>0.105</v>
      </c>
      <c r="O482" s="4">
        <v>0.7</v>
      </c>
      <c r="P482" t="s">
        <v>59</v>
      </c>
      <c r="R482">
        <v>56</v>
      </c>
      <c r="S482" s="3">
        <v>2230.4899999999998</v>
      </c>
    </row>
    <row r="483" spans="1:19" x14ac:dyDescent="0.2">
      <c r="A483" t="s">
        <v>929</v>
      </c>
      <c r="B483" s="2">
        <v>45961</v>
      </c>
      <c r="C483" s="2">
        <v>46100</v>
      </c>
      <c r="D483" t="s">
        <v>139</v>
      </c>
      <c r="E483" t="s">
        <v>111</v>
      </c>
      <c r="F483" t="s">
        <v>48</v>
      </c>
      <c r="G483" t="s">
        <v>55</v>
      </c>
      <c r="H483" t="s">
        <v>95</v>
      </c>
      <c r="I483" t="s">
        <v>65</v>
      </c>
      <c r="J483" t="s">
        <v>26</v>
      </c>
      <c r="K483" t="s">
        <v>50</v>
      </c>
      <c r="L483" t="s">
        <v>28</v>
      </c>
      <c r="M483" s="3">
        <v>20000</v>
      </c>
      <c r="N483" s="4">
        <v>9.7000000000000003E-2</v>
      </c>
      <c r="O483" s="4">
        <v>1</v>
      </c>
      <c r="P483" t="s">
        <v>29</v>
      </c>
      <c r="R483">
        <v>139</v>
      </c>
      <c r="S483" s="3">
        <v>1504.38</v>
      </c>
    </row>
    <row r="484" spans="1:19" x14ac:dyDescent="0.2">
      <c r="A484" t="s">
        <v>930</v>
      </c>
      <c r="B484" s="2">
        <v>46168</v>
      </c>
      <c r="C484" s="2">
        <v>46324</v>
      </c>
      <c r="D484" t="s">
        <v>931</v>
      </c>
      <c r="E484" t="s">
        <v>68</v>
      </c>
      <c r="F484" t="s">
        <v>74</v>
      </c>
      <c r="G484" t="s">
        <v>55</v>
      </c>
      <c r="H484" t="s">
        <v>69</v>
      </c>
      <c r="I484" t="s">
        <v>25</v>
      </c>
      <c r="J484" t="s">
        <v>43</v>
      </c>
      <c r="K484" t="s">
        <v>78</v>
      </c>
      <c r="L484" t="s">
        <v>28</v>
      </c>
      <c r="M484" s="3">
        <v>266500</v>
      </c>
      <c r="N484" s="4">
        <v>0.18</v>
      </c>
      <c r="O484" s="4">
        <v>0.55000000000000004</v>
      </c>
      <c r="P484" t="s">
        <v>79</v>
      </c>
      <c r="R484">
        <v>156</v>
      </c>
      <c r="S484" s="3">
        <v>18216.419999999998</v>
      </c>
    </row>
    <row r="485" spans="1:19" x14ac:dyDescent="0.2">
      <c r="A485" t="s">
        <v>932</v>
      </c>
      <c r="B485" s="2">
        <v>46115</v>
      </c>
      <c r="C485" s="2">
        <v>46241</v>
      </c>
      <c r="D485" t="s">
        <v>500</v>
      </c>
      <c r="E485" t="s">
        <v>91</v>
      </c>
      <c r="F485" t="s">
        <v>22</v>
      </c>
      <c r="G485" t="s">
        <v>55</v>
      </c>
      <c r="H485" t="s">
        <v>83</v>
      </c>
      <c r="I485" t="s">
        <v>42</v>
      </c>
      <c r="J485" t="s">
        <v>43</v>
      </c>
      <c r="K485" t="s">
        <v>88</v>
      </c>
      <c r="L485" t="s">
        <v>44</v>
      </c>
      <c r="M485" s="3">
        <v>98600</v>
      </c>
      <c r="N485" s="4">
        <v>0.13600000000000001</v>
      </c>
      <c r="O485" s="4">
        <v>0.4</v>
      </c>
      <c r="P485" t="s">
        <v>38</v>
      </c>
      <c r="R485">
        <v>126</v>
      </c>
      <c r="S485" s="3">
        <v>7102.94</v>
      </c>
    </row>
    <row r="486" spans="1:19" x14ac:dyDescent="0.2">
      <c r="A486" t="s">
        <v>933</v>
      </c>
      <c r="B486" s="2">
        <v>46206</v>
      </c>
      <c r="C486" s="2">
        <v>46301</v>
      </c>
      <c r="D486" t="s">
        <v>890</v>
      </c>
      <c r="E486" t="s">
        <v>33</v>
      </c>
      <c r="F486" t="s">
        <v>48</v>
      </c>
      <c r="G486" t="s">
        <v>23</v>
      </c>
      <c r="H486" t="s">
        <v>41</v>
      </c>
      <c r="I486" t="s">
        <v>35</v>
      </c>
      <c r="J486" t="s">
        <v>26</v>
      </c>
      <c r="K486" t="s">
        <v>78</v>
      </c>
      <c r="L486" t="s">
        <v>51</v>
      </c>
      <c r="M486" s="3">
        <v>26200</v>
      </c>
      <c r="N486" s="4">
        <v>0.112</v>
      </c>
      <c r="O486" s="4">
        <v>0.5</v>
      </c>
      <c r="P486" t="s">
        <v>79</v>
      </c>
      <c r="R486">
        <v>95</v>
      </c>
      <c r="S486" s="3">
        <v>1937.82</v>
      </c>
    </row>
    <row r="487" spans="1:19" x14ac:dyDescent="0.2">
      <c r="A487" t="s">
        <v>934</v>
      </c>
      <c r="B487" s="2">
        <v>46168</v>
      </c>
      <c r="C487" s="2">
        <v>46256</v>
      </c>
      <c r="D487" t="s">
        <v>94</v>
      </c>
      <c r="E487" t="s">
        <v>54</v>
      </c>
      <c r="F487" t="s">
        <v>48</v>
      </c>
      <c r="G487" t="s">
        <v>63</v>
      </c>
      <c r="H487" t="s">
        <v>41</v>
      </c>
      <c r="I487" t="s">
        <v>99</v>
      </c>
      <c r="J487" t="s">
        <v>85</v>
      </c>
      <c r="K487" t="s">
        <v>27</v>
      </c>
      <c r="L487" t="s">
        <v>44</v>
      </c>
      <c r="M487" s="3">
        <v>20200</v>
      </c>
      <c r="N487" s="4">
        <v>0.17299999999999999</v>
      </c>
      <c r="O487" s="4">
        <v>0</v>
      </c>
      <c r="P487" t="s">
        <v>29</v>
      </c>
      <c r="Q487" t="s">
        <v>45</v>
      </c>
      <c r="R487">
        <v>88</v>
      </c>
      <c r="S487" s="3">
        <v>1392.32</v>
      </c>
    </row>
    <row r="488" spans="1:19" x14ac:dyDescent="0.2">
      <c r="A488" t="s">
        <v>935</v>
      </c>
      <c r="B488" s="2">
        <v>46144</v>
      </c>
      <c r="C488" s="2">
        <v>46233</v>
      </c>
      <c r="D488" t="s">
        <v>936</v>
      </c>
      <c r="E488" t="s">
        <v>111</v>
      </c>
      <c r="F488" t="s">
        <v>22</v>
      </c>
      <c r="G488" t="s">
        <v>34</v>
      </c>
      <c r="H488" t="s">
        <v>98</v>
      </c>
      <c r="I488" t="s">
        <v>42</v>
      </c>
      <c r="J488" t="s">
        <v>43</v>
      </c>
      <c r="K488" t="s">
        <v>88</v>
      </c>
      <c r="L488" t="s">
        <v>44</v>
      </c>
      <c r="M488" s="3">
        <v>93000</v>
      </c>
      <c r="N488" s="4">
        <v>0.21199999999999999</v>
      </c>
      <c r="O488" s="4">
        <v>0.35</v>
      </c>
      <c r="P488" t="s">
        <v>38</v>
      </c>
      <c r="R488">
        <v>89</v>
      </c>
      <c r="S488" s="3">
        <v>6107.39</v>
      </c>
    </row>
    <row r="489" spans="1:19" x14ac:dyDescent="0.2">
      <c r="A489" t="s">
        <v>937</v>
      </c>
      <c r="B489" s="2">
        <v>46276</v>
      </c>
      <c r="C489" s="2">
        <v>46277</v>
      </c>
      <c r="D489" t="s">
        <v>265</v>
      </c>
      <c r="E489" t="s">
        <v>21</v>
      </c>
      <c r="F489" t="s">
        <v>48</v>
      </c>
      <c r="G489" t="s">
        <v>55</v>
      </c>
      <c r="H489" t="s">
        <v>69</v>
      </c>
      <c r="I489" t="s">
        <v>65</v>
      </c>
      <c r="J489" t="s">
        <v>43</v>
      </c>
      <c r="K489" t="s">
        <v>50</v>
      </c>
      <c r="L489" t="s">
        <v>28</v>
      </c>
      <c r="M489" s="3">
        <v>17600</v>
      </c>
      <c r="N489" s="4">
        <v>0.114</v>
      </c>
      <c r="O489" s="4">
        <v>0.95</v>
      </c>
      <c r="P489" t="s">
        <v>29</v>
      </c>
      <c r="R489">
        <v>1</v>
      </c>
      <c r="S489" s="3">
        <v>1298.97</v>
      </c>
    </row>
    <row r="490" spans="1:19" x14ac:dyDescent="0.2">
      <c r="A490" t="s">
        <v>938</v>
      </c>
      <c r="B490" s="2">
        <v>46092</v>
      </c>
      <c r="C490" s="2">
        <v>46145</v>
      </c>
      <c r="D490" t="s">
        <v>173</v>
      </c>
      <c r="E490" t="s">
        <v>68</v>
      </c>
      <c r="F490" t="s">
        <v>48</v>
      </c>
      <c r="G490" t="s">
        <v>92</v>
      </c>
      <c r="H490" t="s">
        <v>120</v>
      </c>
      <c r="I490" t="s">
        <v>25</v>
      </c>
      <c r="J490" t="s">
        <v>85</v>
      </c>
      <c r="K490" t="s">
        <v>106</v>
      </c>
      <c r="L490" t="s">
        <v>51</v>
      </c>
      <c r="M490" s="3">
        <v>21900</v>
      </c>
      <c r="N490" s="4">
        <v>0.189</v>
      </c>
      <c r="O490" s="4">
        <v>0.25</v>
      </c>
      <c r="P490" t="s">
        <v>38</v>
      </c>
      <c r="R490">
        <v>53</v>
      </c>
      <c r="S490" s="3">
        <v>1480.7</v>
      </c>
    </row>
    <row r="491" spans="1:19" x14ac:dyDescent="0.2">
      <c r="A491" t="s">
        <v>939</v>
      </c>
      <c r="B491" s="2">
        <v>46078</v>
      </c>
      <c r="C491" s="2">
        <v>46114</v>
      </c>
      <c r="D491" t="s">
        <v>940</v>
      </c>
      <c r="E491" t="s">
        <v>91</v>
      </c>
      <c r="F491" t="s">
        <v>48</v>
      </c>
      <c r="G491" t="s">
        <v>63</v>
      </c>
      <c r="H491" t="s">
        <v>24</v>
      </c>
      <c r="I491" t="s">
        <v>35</v>
      </c>
      <c r="J491" t="s">
        <v>36</v>
      </c>
      <c r="K491" t="s">
        <v>78</v>
      </c>
      <c r="L491" t="s">
        <v>44</v>
      </c>
      <c r="M491" s="3">
        <v>19800</v>
      </c>
      <c r="N491" s="4">
        <v>6.8000000000000005E-2</v>
      </c>
      <c r="O491" s="4">
        <v>0.55000000000000004</v>
      </c>
      <c r="P491" t="s">
        <v>79</v>
      </c>
      <c r="R491">
        <v>36</v>
      </c>
      <c r="S491" s="3">
        <v>1537.5</v>
      </c>
    </row>
    <row r="492" spans="1:19" x14ac:dyDescent="0.2">
      <c r="A492" t="s">
        <v>941</v>
      </c>
      <c r="B492" s="2">
        <v>45981</v>
      </c>
      <c r="C492" s="2">
        <v>46045</v>
      </c>
      <c r="D492" t="s">
        <v>942</v>
      </c>
      <c r="E492" t="s">
        <v>54</v>
      </c>
      <c r="F492" t="s">
        <v>48</v>
      </c>
      <c r="G492" t="s">
        <v>55</v>
      </c>
      <c r="H492" t="s">
        <v>69</v>
      </c>
      <c r="I492" t="s">
        <v>25</v>
      </c>
      <c r="J492" t="s">
        <v>43</v>
      </c>
      <c r="K492" t="s">
        <v>37</v>
      </c>
      <c r="L492" t="s">
        <v>51</v>
      </c>
      <c r="M492" s="3">
        <v>8400</v>
      </c>
      <c r="N492" s="4">
        <v>0.124</v>
      </c>
      <c r="O492" s="4">
        <v>0.15</v>
      </c>
      <c r="P492" t="s">
        <v>38</v>
      </c>
      <c r="R492">
        <v>64</v>
      </c>
      <c r="S492" s="3">
        <v>613.14</v>
      </c>
    </row>
    <row r="493" spans="1:19" x14ac:dyDescent="0.2">
      <c r="A493" t="s">
        <v>943</v>
      </c>
      <c r="B493" s="2">
        <v>46157</v>
      </c>
      <c r="C493" s="2">
        <v>46251</v>
      </c>
      <c r="D493" t="s">
        <v>291</v>
      </c>
      <c r="E493" t="s">
        <v>33</v>
      </c>
      <c r="F493" t="s">
        <v>22</v>
      </c>
      <c r="G493" t="s">
        <v>63</v>
      </c>
      <c r="H493" t="s">
        <v>137</v>
      </c>
      <c r="I493" t="s">
        <v>25</v>
      </c>
      <c r="J493" t="s">
        <v>26</v>
      </c>
      <c r="K493" t="s">
        <v>58</v>
      </c>
      <c r="L493" t="s">
        <v>44</v>
      </c>
      <c r="M493" s="3">
        <v>90700</v>
      </c>
      <c r="N493" s="4">
        <v>0.23799999999999999</v>
      </c>
      <c r="O493" s="4">
        <v>0.75</v>
      </c>
      <c r="P493" t="s">
        <v>59</v>
      </c>
      <c r="R493">
        <v>94</v>
      </c>
      <c r="S493" s="3">
        <v>5762.56</v>
      </c>
    </row>
    <row r="494" spans="1:19" x14ac:dyDescent="0.2">
      <c r="A494" t="s">
        <v>944</v>
      </c>
      <c r="B494" s="2">
        <v>45999</v>
      </c>
      <c r="C494" s="2">
        <v>46056</v>
      </c>
      <c r="D494" t="s">
        <v>97</v>
      </c>
      <c r="E494" t="s">
        <v>111</v>
      </c>
      <c r="F494" t="s">
        <v>48</v>
      </c>
      <c r="G494" t="s">
        <v>63</v>
      </c>
      <c r="H494" t="s">
        <v>24</v>
      </c>
      <c r="I494" t="s">
        <v>99</v>
      </c>
      <c r="J494" t="s">
        <v>57</v>
      </c>
      <c r="K494" t="s">
        <v>27</v>
      </c>
      <c r="L494" t="s">
        <v>51</v>
      </c>
      <c r="M494" s="3">
        <v>16800</v>
      </c>
      <c r="N494" s="4">
        <v>0.04</v>
      </c>
      <c r="O494" s="4">
        <v>0</v>
      </c>
      <c r="P494" t="s">
        <v>29</v>
      </c>
      <c r="Q494" t="s">
        <v>209</v>
      </c>
      <c r="R494">
        <v>57</v>
      </c>
      <c r="S494" s="3">
        <v>1344.14</v>
      </c>
    </row>
    <row r="495" spans="1:19" x14ac:dyDescent="0.2">
      <c r="A495" t="s">
        <v>945</v>
      </c>
      <c r="B495" s="2">
        <v>46062</v>
      </c>
      <c r="C495" s="2">
        <v>46167</v>
      </c>
      <c r="D495" t="s">
        <v>206</v>
      </c>
      <c r="E495" t="s">
        <v>62</v>
      </c>
      <c r="F495" t="s">
        <v>48</v>
      </c>
      <c r="G495" t="s">
        <v>34</v>
      </c>
      <c r="H495" t="s">
        <v>83</v>
      </c>
      <c r="I495" t="s">
        <v>42</v>
      </c>
      <c r="J495" t="s">
        <v>26</v>
      </c>
      <c r="K495" t="s">
        <v>58</v>
      </c>
      <c r="L495" t="s">
        <v>44</v>
      </c>
      <c r="M495" s="3">
        <v>20100</v>
      </c>
      <c r="N495" s="4">
        <v>4.5999999999999999E-2</v>
      </c>
      <c r="O495" s="4">
        <v>0.75</v>
      </c>
      <c r="P495" t="s">
        <v>59</v>
      </c>
      <c r="R495">
        <v>105</v>
      </c>
      <c r="S495" s="3">
        <v>1597.72</v>
      </c>
    </row>
    <row r="496" spans="1:19" x14ac:dyDescent="0.2">
      <c r="A496" t="s">
        <v>946</v>
      </c>
      <c r="B496" s="2">
        <v>46114</v>
      </c>
      <c r="C496" s="2">
        <v>46149</v>
      </c>
      <c r="D496" t="s">
        <v>947</v>
      </c>
      <c r="E496" t="s">
        <v>82</v>
      </c>
      <c r="F496" t="s">
        <v>22</v>
      </c>
      <c r="G496" t="s">
        <v>23</v>
      </c>
      <c r="H496" t="s">
        <v>64</v>
      </c>
      <c r="I496" t="s">
        <v>84</v>
      </c>
      <c r="J496" t="s">
        <v>36</v>
      </c>
      <c r="K496" t="s">
        <v>78</v>
      </c>
      <c r="L496" t="s">
        <v>28</v>
      </c>
      <c r="M496" s="3">
        <v>58000</v>
      </c>
      <c r="N496" s="4">
        <v>0.23499999999999999</v>
      </c>
      <c r="O496" s="4">
        <v>0.55000000000000004</v>
      </c>
      <c r="P496" t="s">
        <v>79</v>
      </c>
      <c r="R496">
        <v>35</v>
      </c>
      <c r="S496" s="3">
        <v>3697.41</v>
      </c>
    </row>
    <row r="497" spans="1:19" x14ac:dyDescent="0.2">
      <c r="A497" t="s">
        <v>948</v>
      </c>
      <c r="B497" s="2">
        <v>46123</v>
      </c>
      <c r="C497" s="2">
        <v>46203</v>
      </c>
      <c r="D497" t="s">
        <v>949</v>
      </c>
      <c r="E497" t="s">
        <v>91</v>
      </c>
      <c r="F497" t="s">
        <v>74</v>
      </c>
      <c r="G497" t="s">
        <v>23</v>
      </c>
      <c r="H497" t="s">
        <v>137</v>
      </c>
      <c r="I497" t="s">
        <v>84</v>
      </c>
      <c r="J497" t="s">
        <v>57</v>
      </c>
      <c r="K497" t="s">
        <v>78</v>
      </c>
      <c r="L497" t="s">
        <v>51</v>
      </c>
      <c r="M497" s="3">
        <v>99700</v>
      </c>
      <c r="N497" s="4">
        <v>0.217</v>
      </c>
      <c r="O497" s="4">
        <v>0.55000000000000004</v>
      </c>
      <c r="P497" t="s">
        <v>79</v>
      </c>
      <c r="R497">
        <v>80</v>
      </c>
      <c r="S497" s="3">
        <v>6504.74</v>
      </c>
    </row>
    <row r="498" spans="1:19" x14ac:dyDescent="0.2">
      <c r="A498" t="s">
        <v>950</v>
      </c>
      <c r="B498" s="2">
        <v>46051</v>
      </c>
      <c r="C498" s="2">
        <v>46158</v>
      </c>
      <c r="D498" t="s">
        <v>496</v>
      </c>
      <c r="E498" t="s">
        <v>68</v>
      </c>
      <c r="F498" t="s">
        <v>74</v>
      </c>
      <c r="G498" t="s">
        <v>23</v>
      </c>
      <c r="H498" t="s">
        <v>41</v>
      </c>
      <c r="I498" t="s">
        <v>99</v>
      </c>
      <c r="J498" t="s">
        <v>43</v>
      </c>
      <c r="K498" t="s">
        <v>37</v>
      </c>
      <c r="L498" t="s">
        <v>44</v>
      </c>
      <c r="M498" s="3">
        <v>125700</v>
      </c>
      <c r="N498" s="4">
        <v>0.14199999999999999</v>
      </c>
      <c r="O498" s="4">
        <v>0.1</v>
      </c>
      <c r="P498" t="s">
        <v>38</v>
      </c>
      <c r="R498">
        <v>107</v>
      </c>
      <c r="S498" s="3">
        <v>8986.66</v>
      </c>
    </row>
    <row r="499" spans="1:19" x14ac:dyDescent="0.2">
      <c r="A499" t="s">
        <v>951</v>
      </c>
      <c r="B499" s="2">
        <v>46227</v>
      </c>
      <c r="C499" s="2">
        <v>46278</v>
      </c>
      <c r="D499" t="s">
        <v>215</v>
      </c>
      <c r="E499" t="s">
        <v>82</v>
      </c>
      <c r="F499" t="s">
        <v>22</v>
      </c>
      <c r="G499" t="s">
        <v>63</v>
      </c>
      <c r="H499" t="s">
        <v>24</v>
      </c>
      <c r="I499" t="s">
        <v>25</v>
      </c>
      <c r="J499" t="s">
        <v>57</v>
      </c>
      <c r="K499" t="s">
        <v>78</v>
      </c>
      <c r="L499" t="s">
        <v>51</v>
      </c>
      <c r="M499" s="3">
        <v>92700</v>
      </c>
      <c r="N499" s="4">
        <v>0.16700000000000001</v>
      </c>
      <c r="O499" s="4">
        <v>0.55000000000000004</v>
      </c>
      <c r="P499" t="s">
        <v>79</v>
      </c>
      <c r="R499">
        <v>51</v>
      </c>
      <c r="S499" s="3">
        <v>6435.86</v>
      </c>
    </row>
    <row r="500" spans="1:19" x14ac:dyDescent="0.2">
      <c r="A500" t="s">
        <v>952</v>
      </c>
      <c r="B500" s="2">
        <v>45965</v>
      </c>
      <c r="C500" s="2">
        <v>45993</v>
      </c>
      <c r="D500" t="s">
        <v>953</v>
      </c>
      <c r="E500" t="s">
        <v>54</v>
      </c>
      <c r="F500" t="s">
        <v>48</v>
      </c>
      <c r="G500" t="s">
        <v>23</v>
      </c>
      <c r="H500" t="s">
        <v>137</v>
      </c>
      <c r="I500" t="s">
        <v>35</v>
      </c>
      <c r="J500" t="s">
        <v>26</v>
      </c>
      <c r="K500" t="s">
        <v>78</v>
      </c>
      <c r="L500" t="s">
        <v>44</v>
      </c>
      <c r="M500" s="3">
        <v>15000</v>
      </c>
      <c r="N500" s="4">
        <v>3.7999999999999999E-2</v>
      </c>
      <c r="O500" s="4">
        <v>0.5</v>
      </c>
      <c r="P500" t="s">
        <v>79</v>
      </c>
      <c r="R500">
        <v>28</v>
      </c>
      <c r="S500" s="3">
        <v>1202.3</v>
      </c>
    </row>
    <row r="501" spans="1:19" x14ac:dyDescent="0.2">
      <c r="A501" t="s">
        <v>954</v>
      </c>
      <c r="B501" s="2">
        <v>46189</v>
      </c>
      <c r="C501" s="2">
        <v>46327</v>
      </c>
      <c r="D501" t="s">
        <v>955</v>
      </c>
      <c r="E501" t="s">
        <v>62</v>
      </c>
      <c r="F501" t="s">
        <v>22</v>
      </c>
      <c r="G501" t="s">
        <v>63</v>
      </c>
      <c r="H501" t="s">
        <v>77</v>
      </c>
      <c r="I501" t="s">
        <v>35</v>
      </c>
      <c r="J501" t="s">
        <v>43</v>
      </c>
      <c r="K501" t="s">
        <v>88</v>
      </c>
      <c r="L501" t="s">
        <v>44</v>
      </c>
      <c r="M501" s="3">
        <v>26800</v>
      </c>
      <c r="N501" s="4">
        <v>0.109</v>
      </c>
      <c r="O501" s="4">
        <v>0.35</v>
      </c>
      <c r="P501" t="s">
        <v>38</v>
      </c>
      <c r="R501">
        <v>138</v>
      </c>
      <c r="S501" s="3">
        <v>1990.02</v>
      </c>
    </row>
    <row r="502" spans="1:19" x14ac:dyDescent="0.2">
      <c r="A502" t="s">
        <v>956</v>
      </c>
      <c r="B502" s="2">
        <v>46160</v>
      </c>
      <c r="C502" s="2">
        <v>46311</v>
      </c>
      <c r="D502" t="s">
        <v>957</v>
      </c>
      <c r="E502" t="s">
        <v>54</v>
      </c>
      <c r="F502" t="s">
        <v>48</v>
      </c>
      <c r="G502" t="s">
        <v>23</v>
      </c>
      <c r="H502" t="s">
        <v>41</v>
      </c>
      <c r="I502" t="s">
        <v>35</v>
      </c>
      <c r="J502" t="s">
        <v>57</v>
      </c>
      <c r="K502" t="s">
        <v>106</v>
      </c>
      <c r="L502" t="s">
        <v>44</v>
      </c>
      <c r="M502" s="3">
        <v>12400</v>
      </c>
      <c r="N502" s="4">
        <v>0.06</v>
      </c>
      <c r="O502" s="4">
        <v>0.25</v>
      </c>
      <c r="P502" t="s">
        <v>38</v>
      </c>
      <c r="R502">
        <v>151</v>
      </c>
      <c r="S502" s="3">
        <v>970.96</v>
      </c>
    </row>
    <row r="503" spans="1:19" x14ac:dyDescent="0.2">
      <c r="A503" t="s">
        <v>958</v>
      </c>
      <c r="B503" s="2">
        <v>46159</v>
      </c>
      <c r="C503" s="2">
        <v>46281</v>
      </c>
      <c r="D503" t="s">
        <v>959</v>
      </c>
      <c r="E503" t="s">
        <v>62</v>
      </c>
      <c r="F503" t="s">
        <v>22</v>
      </c>
      <c r="G503" t="s">
        <v>23</v>
      </c>
      <c r="H503" t="s">
        <v>98</v>
      </c>
      <c r="I503" t="s">
        <v>42</v>
      </c>
      <c r="J503" t="s">
        <v>43</v>
      </c>
      <c r="K503" t="s">
        <v>58</v>
      </c>
      <c r="L503" t="s">
        <v>44</v>
      </c>
      <c r="M503" s="3">
        <v>54100</v>
      </c>
      <c r="N503" s="4">
        <v>0.108</v>
      </c>
      <c r="O503" s="4">
        <v>0.7</v>
      </c>
      <c r="P503" t="s">
        <v>59</v>
      </c>
      <c r="R503">
        <v>122</v>
      </c>
      <c r="S503" s="3">
        <v>4022.99</v>
      </c>
    </row>
    <row r="504" spans="1:19" x14ac:dyDescent="0.2">
      <c r="A504" t="s">
        <v>960</v>
      </c>
      <c r="B504" s="2">
        <v>45986</v>
      </c>
      <c r="C504" s="2">
        <v>46081</v>
      </c>
      <c r="D504" t="s">
        <v>961</v>
      </c>
      <c r="E504" t="s">
        <v>91</v>
      </c>
      <c r="F504" t="s">
        <v>22</v>
      </c>
      <c r="G504" t="s">
        <v>34</v>
      </c>
      <c r="H504" t="s">
        <v>77</v>
      </c>
      <c r="I504" t="s">
        <v>25</v>
      </c>
      <c r="J504" t="s">
        <v>85</v>
      </c>
      <c r="K504" t="s">
        <v>50</v>
      </c>
      <c r="L504" t="s">
        <v>28</v>
      </c>
      <c r="M504" s="3">
        <v>69200</v>
      </c>
      <c r="N504" s="4">
        <v>0.21299999999999999</v>
      </c>
      <c r="O504" s="4">
        <v>1</v>
      </c>
      <c r="P504" t="s">
        <v>29</v>
      </c>
      <c r="R504">
        <v>95</v>
      </c>
      <c r="S504" s="3">
        <v>4540.54</v>
      </c>
    </row>
    <row r="505" spans="1:19" x14ac:dyDescent="0.2">
      <c r="A505" t="s">
        <v>962</v>
      </c>
      <c r="B505" s="2">
        <v>46014</v>
      </c>
      <c r="C505" s="2">
        <v>46084</v>
      </c>
      <c r="D505" t="s">
        <v>963</v>
      </c>
      <c r="E505" t="s">
        <v>68</v>
      </c>
      <c r="F505" t="s">
        <v>22</v>
      </c>
      <c r="G505" t="s">
        <v>34</v>
      </c>
      <c r="H505" t="s">
        <v>64</v>
      </c>
      <c r="I505" t="s">
        <v>65</v>
      </c>
      <c r="J505" t="s">
        <v>57</v>
      </c>
      <c r="K505" t="s">
        <v>27</v>
      </c>
      <c r="L505" t="s">
        <v>28</v>
      </c>
      <c r="M505" s="3">
        <v>37700</v>
      </c>
      <c r="N505" s="4">
        <v>0.22700000000000001</v>
      </c>
      <c r="O505" s="4">
        <v>0</v>
      </c>
      <c r="P505" t="s">
        <v>29</v>
      </c>
      <c r="Q505" t="s">
        <v>152</v>
      </c>
      <c r="R505">
        <v>70</v>
      </c>
      <c r="S505" s="3">
        <v>2429.6999999999998</v>
      </c>
    </row>
    <row r="506" spans="1:19" x14ac:dyDescent="0.2">
      <c r="A506" t="s">
        <v>964</v>
      </c>
      <c r="B506" s="2">
        <v>46099</v>
      </c>
      <c r="C506" s="2">
        <v>46229</v>
      </c>
      <c r="D506" t="s">
        <v>965</v>
      </c>
      <c r="E506" t="s">
        <v>111</v>
      </c>
      <c r="F506" t="s">
        <v>48</v>
      </c>
      <c r="G506" t="s">
        <v>55</v>
      </c>
      <c r="H506" t="s">
        <v>56</v>
      </c>
      <c r="I506" t="s">
        <v>99</v>
      </c>
      <c r="J506" t="s">
        <v>26</v>
      </c>
      <c r="K506" t="s">
        <v>58</v>
      </c>
      <c r="L506" t="s">
        <v>51</v>
      </c>
      <c r="M506" s="3">
        <v>23100</v>
      </c>
      <c r="N506" s="4">
        <v>2.4E-2</v>
      </c>
      <c r="O506" s="4">
        <v>0.7</v>
      </c>
      <c r="P506" t="s">
        <v>59</v>
      </c>
      <c r="R506">
        <v>130</v>
      </c>
      <c r="S506" s="3">
        <v>1879.68</v>
      </c>
    </row>
    <row r="507" spans="1:19" x14ac:dyDescent="0.2">
      <c r="A507" t="s">
        <v>966</v>
      </c>
      <c r="B507" s="2">
        <v>46005</v>
      </c>
      <c r="C507" s="2">
        <v>46173</v>
      </c>
      <c r="D507" t="s">
        <v>71</v>
      </c>
      <c r="E507" t="s">
        <v>68</v>
      </c>
      <c r="F507" t="s">
        <v>48</v>
      </c>
      <c r="G507" t="s">
        <v>55</v>
      </c>
      <c r="H507" t="s">
        <v>24</v>
      </c>
      <c r="I507" t="s">
        <v>84</v>
      </c>
      <c r="J507" t="s">
        <v>36</v>
      </c>
      <c r="K507" t="s">
        <v>50</v>
      </c>
      <c r="L507" t="s">
        <v>51</v>
      </c>
      <c r="M507" s="3">
        <v>10800</v>
      </c>
      <c r="N507" s="4">
        <v>6.0999999999999999E-2</v>
      </c>
      <c r="O507" s="4">
        <v>0.95</v>
      </c>
      <c r="P507" t="s">
        <v>29</v>
      </c>
      <c r="R507">
        <v>168</v>
      </c>
      <c r="S507" s="3">
        <v>845.01</v>
      </c>
    </row>
    <row r="508" spans="1:19" x14ac:dyDescent="0.2">
      <c r="A508" t="s">
        <v>967</v>
      </c>
      <c r="B508" s="2">
        <v>46164</v>
      </c>
      <c r="C508" s="2">
        <v>46303</v>
      </c>
      <c r="D508" t="s">
        <v>968</v>
      </c>
      <c r="E508" t="s">
        <v>91</v>
      </c>
      <c r="F508" t="s">
        <v>74</v>
      </c>
      <c r="G508" t="s">
        <v>92</v>
      </c>
      <c r="H508" t="s">
        <v>98</v>
      </c>
      <c r="I508" t="s">
        <v>99</v>
      </c>
      <c r="J508" t="s">
        <v>85</v>
      </c>
      <c r="K508" t="s">
        <v>106</v>
      </c>
      <c r="L508" t="s">
        <v>28</v>
      </c>
      <c r="M508" s="3">
        <v>326100</v>
      </c>
      <c r="N508" s="4">
        <v>0.21</v>
      </c>
      <c r="O508" s="4">
        <v>0.15</v>
      </c>
      <c r="P508" t="s">
        <v>38</v>
      </c>
      <c r="R508">
        <v>139</v>
      </c>
      <c r="S508" s="3">
        <v>21480.42</v>
      </c>
    </row>
    <row r="509" spans="1:19" x14ac:dyDescent="0.2">
      <c r="A509" t="s">
        <v>969</v>
      </c>
      <c r="B509" s="2">
        <v>46057</v>
      </c>
      <c r="C509" s="2">
        <v>46190</v>
      </c>
      <c r="D509" t="s">
        <v>970</v>
      </c>
      <c r="E509" t="s">
        <v>82</v>
      </c>
      <c r="F509" t="s">
        <v>22</v>
      </c>
      <c r="G509" t="s">
        <v>63</v>
      </c>
      <c r="H509" t="s">
        <v>49</v>
      </c>
      <c r="I509" t="s">
        <v>42</v>
      </c>
      <c r="J509" t="s">
        <v>36</v>
      </c>
      <c r="K509" t="s">
        <v>37</v>
      </c>
      <c r="L509" t="s">
        <v>44</v>
      </c>
      <c r="M509" s="3">
        <v>59700</v>
      </c>
      <c r="N509" s="4">
        <v>0.113</v>
      </c>
      <c r="O509" s="4">
        <v>0.1</v>
      </c>
      <c r="P509" t="s">
        <v>38</v>
      </c>
      <c r="R509">
        <v>133</v>
      </c>
      <c r="S509" s="3">
        <v>4412.3100000000004</v>
      </c>
    </row>
    <row r="510" spans="1:19" x14ac:dyDescent="0.2">
      <c r="A510" t="s">
        <v>971</v>
      </c>
      <c r="B510" s="2">
        <v>46217</v>
      </c>
      <c r="C510" s="2">
        <v>46310</v>
      </c>
      <c r="D510" t="s">
        <v>972</v>
      </c>
      <c r="E510" t="s">
        <v>82</v>
      </c>
      <c r="F510" t="s">
        <v>22</v>
      </c>
      <c r="G510" t="s">
        <v>63</v>
      </c>
      <c r="H510" t="s">
        <v>41</v>
      </c>
      <c r="I510" t="s">
        <v>84</v>
      </c>
      <c r="J510" t="s">
        <v>26</v>
      </c>
      <c r="K510" t="s">
        <v>37</v>
      </c>
      <c r="L510" t="s">
        <v>51</v>
      </c>
      <c r="M510" s="3">
        <v>59200</v>
      </c>
      <c r="N510" s="4">
        <v>0.23100000000000001</v>
      </c>
      <c r="O510" s="4">
        <v>0.05</v>
      </c>
      <c r="P510" t="s">
        <v>38</v>
      </c>
      <c r="R510">
        <v>93</v>
      </c>
      <c r="S510" s="3">
        <v>3794.99</v>
      </c>
    </row>
    <row r="511" spans="1:19" x14ac:dyDescent="0.2">
      <c r="A511" t="s">
        <v>973</v>
      </c>
      <c r="B511" s="2">
        <v>45952</v>
      </c>
      <c r="C511" s="2">
        <v>46044</v>
      </c>
      <c r="D511" t="s">
        <v>974</v>
      </c>
      <c r="E511" t="s">
        <v>33</v>
      </c>
      <c r="F511" t="s">
        <v>74</v>
      </c>
      <c r="G511" t="s">
        <v>23</v>
      </c>
      <c r="H511" t="s">
        <v>83</v>
      </c>
      <c r="I511" t="s">
        <v>99</v>
      </c>
      <c r="J511" t="s">
        <v>43</v>
      </c>
      <c r="K511" t="s">
        <v>106</v>
      </c>
      <c r="L511" t="s">
        <v>28</v>
      </c>
      <c r="M511" s="3">
        <v>143500</v>
      </c>
      <c r="N511" s="4">
        <v>0.21299999999999999</v>
      </c>
      <c r="O511" s="4">
        <v>0.2</v>
      </c>
      <c r="P511" t="s">
        <v>38</v>
      </c>
      <c r="R511">
        <v>92</v>
      </c>
      <c r="S511" s="3">
        <v>9413.83</v>
      </c>
    </row>
    <row r="512" spans="1:19" x14ac:dyDescent="0.2">
      <c r="A512" t="s">
        <v>975</v>
      </c>
      <c r="B512" s="2">
        <v>46026</v>
      </c>
      <c r="C512" s="2">
        <v>46150</v>
      </c>
      <c r="D512" t="s">
        <v>798</v>
      </c>
      <c r="E512" t="s">
        <v>91</v>
      </c>
      <c r="F512" t="s">
        <v>48</v>
      </c>
      <c r="G512" t="s">
        <v>34</v>
      </c>
      <c r="H512" t="s">
        <v>98</v>
      </c>
      <c r="I512" t="s">
        <v>25</v>
      </c>
      <c r="J512" t="s">
        <v>43</v>
      </c>
      <c r="K512" t="s">
        <v>37</v>
      </c>
      <c r="L512" t="s">
        <v>28</v>
      </c>
      <c r="M512" s="3">
        <v>19200</v>
      </c>
      <c r="N512" s="4">
        <v>0.13600000000000001</v>
      </c>
      <c r="O512" s="4">
        <v>0.1</v>
      </c>
      <c r="P512" t="s">
        <v>38</v>
      </c>
      <c r="R512">
        <v>124</v>
      </c>
      <c r="S512" s="3">
        <v>1382.29</v>
      </c>
    </row>
    <row r="513" spans="1:19" x14ac:dyDescent="0.2">
      <c r="A513" t="s">
        <v>976</v>
      </c>
      <c r="B513" s="2">
        <v>46277</v>
      </c>
      <c r="C513" s="2">
        <v>46289</v>
      </c>
      <c r="D513" t="s">
        <v>977</v>
      </c>
      <c r="E513" t="s">
        <v>68</v>
      </c>
      <c r="F513" t="s">
        <v>22</v>
      </c>
      <c r="G513" t="s">
        <v>23</v>
      </c>
      <c r="H513" t="s">
        <v>41</v>
      </c>
      <c r="I513" t="s">
        <v>84</v>
      </c>
      <c r="J513" t="s">
        <v>36</v>
      </c>
      <c r="K513" t="s">
        <v>78</v>
      </c>
      <c r="L513" t="s">
        <v>44</v>
      </c>
      <c r="M513" s="3">
        <v>60000</v>
      </c>
      <c r="N513" s="4">
        <v>0.05</v>
      </c>
      <c r="O513" s="4">
        <v>0.5</v>
      </c>
      <c r="P513" t="s">
        <v>79</v>
      </c>
      <c r="R513">
        <v>12</v>
      </c>
      <c r="S513" s="3">
        <v>4749.7299999999996</v>
      </c>
    </row>
    <row r="514" spans="1:19" x14ac:dyDescent="0.2">
      <c r="A514" t="s">
        <v>978</v>
      </c>
      <c r="B514" s="2">
        <v>46195</v>
      </c>
      <c r="C514" s="2">
        <v>46262</v>
      </c>
      <c r="D514" t="s">
        <v>979</v>
      </c>
      <c r="E514" t="s">
        <v>68</v>
      </c>
      <c r="F514" t="s">
        <v>22</v>
      </c>
      <c r="G514" t="s">
        <v>55</v>
      </c>
      <c r="H514" t="s">
        <v>49</v>
      </c>
      <c r="I514" t="s">
        <v>35</v>
      </c>
      <c r="J514" t="s">
        <v>36</v>
      </c>
      <c r="K514" t="s">
        <v>88</v>
      </c>
      <c r="L514" t="s">
        <v>51</v>
      </c>
      <c r="M514" s="3">
        <v>32700</v>
      </c>
      <c r="N514" s="4">
        <v>2.7E-2</v>
      </c>
      <c r="O514" s="4">
        <v>0.4</v>
      </c>
      <c r="P514" t="s">
        <v>38</v>
      </c>
      <c r="R514">
        <v>67</v>
      </c>
      <c r="S514" s="3">
        <v>2652.55</v>
      </c>
    </row>
    <row r="515" spans="1:19" x14ac:dyDescent="0.2">
      <c r="A515" t="s">
        <v>980</v>
      </c>
      <c r="B515" s="2">
        <v>46242</v>
      </c>
      <c r="C515" s="2">
        <v>46309</v>
      </c>
      <c r="D515" t="s">
        <v>316</v>
      </c>
      <c r="E515" t="s">
        <v>91</v>
      </c>
      <c r="F515" t="s">
        <v>22</v>
      </c>
      <c r="G515" t="s">
        <v>63</v>
      </c>
      <c r="H515" t="s">
        <v>98</v>
      </c>
      <c r="I515" t="s">
        <v>35</v>
      </c>
      <c r="J515" t="s">
        <v>36</v>
      </c>
      <c r="K515" t="s">
        <v>88</v>
      </c>
      <c r="L515" t="s">
        <v>28</v>
      </c>
      <c r="M515" s="3">
        <v>40000</v>
      </c>
      <c r="N515" s="4">
        <v>8.4000000000000005E-2</v>
      </c>
      <c r="O515" s="4">
        <v>0.35</v>
      </c>
      <c r="P515" t="s">
        <v>38</v>
      </c>
      <c r="R515">
        <v>67</v>
      </c>
      <c r="S515" s="3">
        <v>3052.36</v>
      </c>
    </row>
    <row r="516" spans="1:19" x14ac:dyDescent="0.2">
      <c r="A516" t="s">
        <v>981</v>
      </c>
      <c r="B516" s="2">
        <v>46012</v>
      </c>
      <c r="C516" s="2">
        <v>46084</v>
      </c>
      <c r="D516" t="s">
        <v>982</v>
      </c>
      <c r="E516" t="s">
        <v>33</v>
      </c>
      <c r="F516" t="s">
        <v>22</v>
      </c>
      <c r="G516" t="s">
        <v>55</v>
      </c>
      <c r="H516" t="s">
        <v>41</v>
      </c>
      <c r="I516" t="s">
        <v>25</v>
      </c>
      <c r="J516" t="s">
        <v>26</v>
      </c>
      <c r="K516" t="s">
        <v>50</v>
      </c>
      <c r="L516" t="s">
        <v>44</v>
      </c>
      <c r="M516" s="3">
        <v>90200</v>
      </c>
      <c r="N516" s="4">
        <v>0.13700000000000001</v>
      </c>
      <c r="O516" s="4">
        <v>1</v>
      </c>
      <c r="P516" t="s">
        <v>29</v>
      </c>
      <c r="R516">
        <v>72</v>
      </c>
      <c r="S516" s="3">
        <v>6486.98</v>
      </c>
    </row>
    <row r="517" spans="1:19" x14ac:dyDescent="0.2">
      <c r="A517" t="s">
        <v>983</v>
      </c>
      <c r="B517" s="2">
        <v>46271</v>
      </c>
      <c r="C517" s="2">
        <v>46337</v>
      </c>
      <c r="D517" t="s">
        <v>846</v>
      </c>
      <c r="E517" t="s">
        <v>33</v>
      </c>
      <c r="F517" t="s">
        <v>48</v>
      </c>
      <c r="G517" t="s">
        <v>34</v>
      </c>
      <c r="H517" t="s">
        <v>120</v>
      </c>
      <c r="I517" t="s">
        <v>35</v>
      </c>
      <c r="J517" t="s">
        <v>36</v>
      </c>
      <c r="K517" t="s">
        <v>58</v>
      </c>
      <c r="L517" t="s">
        <v>44</v>
      </c>
      <c r="M517" s="3">
        <v>20000</v>
      </c>
      <c r="N517" s="4">
        <v>0.19800000000000001</v>
      </c>
      <c r="O517" s="4">
        <v>0.75</v>
      </c>
      <c r="P517" t="s">
        <v>59</v>
      </c>
      <c r="R517">
        <v>66</v>
      </c>
      <c r="S517" s="3">
        <v>1336.61</v>
      </c>
    </row>
    <row r="518" spans="1:19" x14ac:dyDescent="0.2">
      <c r="A518" t="s">
        <v>984</v>
      </c>
      <c r="B518" s="2">
        <v>46275</v>
      </c>
      <c r="C518" s="2">
        <v>46277</v>
      </c>
      <c r="D518" t="s">
        <v>515</v>
      </c>
      <c r="E518" t="s">
        <v>82</v>
      </c>
      <c r="F518" t="s">
        <v>48</v>
      </c>
      <c r="G518" t="s">
        <v>23</v>
      </c>
      <c r="H518" t="s">
        <v>98</v>
      </c>
      <c r="I518" t="s">
        <v>84</v>
      </c>
      <c r="J518" t="s">
        <v>57</v>
      </c>
      <c r="K518" t="s">
        <v>50</v>
      </c>
      <c r="L518" t="s">
        <v>44</v>
      </c>
      <c r="M518" s="3">
        <v>7700</v>
      </c>
      <c r="N518" s="4">
        <v>6.7000000000000004E-2</v>
      </c>
      <c r="O518" s="4">
        <v>1</v>
      </c>
      <c r="P518" t="s">
        <v>29</v>
      </c>
      <c r="R518">
        <v>2</v>
      </c>
      <c r="S518" s="3">
        <v>598.67999999999995</v>
      </c>
    </row>
    <row r="519" spans="1:19" x14ac:dyDescent="0.2">
      <c r="A519" t="s">
        <v>985</v>
      </c>
      <c r="B519" s="2">
        <v>46257</v>
      </c>
      <c r="C519" s="2">
        <v>46279</v>
      </c>
      <c r="D519" t="s">
        <v>986</v>
      </c>
      <c r="E519" t="s">
        <v>82</v>
      </c>
      <c r="F519" t="s">
        <v>22</v>
      </c>
      <c r="G519" t="s">
        <v>55</v>
      </c>
      <c r="H519" t="s">
        <v>69</v>
      </c>
      <c r="I519" t="s">
        <v>84</v>
      </c>
      <c r="J519" t="s">
        <v>57</v>
      </c>
      <c r="K519" t="s">
        <v>106</v>
      </c>
      <c r="L519" t="s">
        <v>44</v>
      </c>
      <c r="M519" s="3">
        <v>77300</v>
      </c>
      <c r="N519" s="4">
        <v>0.191</v>
      </c>
      <c r="O519" s="4">
        <v>0.2</v>
      </c>
      <c r="P519" t="s">
        <v>38</v>
      </c>
      <c r="R519">
        <v>22</v>
      </c>
      <c r="S519" s="3">
        <v>5209.95</v>
      </c>
    </row>
    <row r="520" spans="1:19" x14ac:dyDescent="0.2">
      <c r="A520" t="s">
        <v>987</v>
      </c>
      <c r="B520" s="2">
        <v>45998</v>
      </c>
      <c r="C520" s="2">
        <v>46161</v>
      </c>
      <c r="D520" t="s">
        <v>988</v>
      </c>
      <c r="E520" t="s">
        <v>33</v>
      </c>
      <c r="F520" t="s">
        <v>22</v>
      </c>
      <c r="G520" t="s">
        <v>55</v>
      </c>
      <c r="H520" t="s">
        <v>41</v>
      </c>
      <c r="I520" t="s">
        <v>65</v>
      </c>
      <c r="J520" t="s">
        <v>43</v>
      </c>
      <c r="K520" t="s">
        <v>50</v>
      </c>
      <c r="L520" t="s">
        <v>44</v>
      </c>
      <c r="M520" s="3">
        <v>35500</v>
      </c>
      <c r="N520" s="4">
        <v>0.154</v>
      </c>
      <c r="O520" s="4">
        <v>0.95</v>
      </c>
      <c r="P520" t="s">
        <v>29</v>
      </c>
      <c r="R520">
        <v>163</v>
      </c>
      <c r="S520" s="3">
        <v>2503.75</v>
      </c>
    </row>
    <row r="521" spans="1:19" x14ac:dyDescent="0.2">
      <c r="A521" t="s">
        <v>989</v>
      </c>
      <c r="B521" s="2">
        <v>46015</v>
      </c>
      <c r="C521" s="2">
        <v>46116</v>
      </c>
      <c r="D521" t="s">
        <v>972</v>
      </c>
      <c r="E521" t="s">
        <v>91</v>
      </c>
      <c r="F521" t="s">
        <v>74</v>
      </c>
      <c r="G521" t="s">
        <v>63</v>
      </c>
      <c r="H521" t="s">
        <v>77</v>
      </c>
      <c r="I521" t="s">
        <v>35</v>
      </c>
      <c r="J521" t="s">
        <v>36</v>
      </c>
      <c r="K521" t="s">
        <v>37</v>
      </c>
      <c r="L521" t="s">
        <v>44</v>
      </c>
      <c r="M521" s="3">
        <v>228600</v>
      </c>
      <c r="N521" s="4">
        <v>0.115</v>
      </c>
      <c r="O521" s="4">
        <v>0.15</v>
      </c>
      <c r="P521" t="s">
        <v>38</v>
      </c>
      <c r="R521">
        <v>101</v>
      </c>
      <c r="S521" s="3">
        <v>16858.79</v>
      </c>
    </row>
    <row r="522" spans="1:19" x14ac:dyDescent="0.2">
      <c r="A522" t="s">
        <v>990</v>
      </c>
      <c r="B522" s="2">
        <v>46025</v>
      </c>
      <c r="C522" s="2">
        <v>46103</v>
      </c>
      <c r="D522" t="s">
        <v>991</v>
      </c>
      <c r="E522" t="s">
        <v>62</v>
      </c>
      <c r="F522" t="s">
        <v>48</v>
      </c>
      <c r="G522" t="s">
        <v>23</v>
      </c>
      <c r="H522" t="s">
        <v>137</v>
      </c>
      <c r="I522" t="s">
        <v>99</v>
      </c>
      <c r="J522" t="s">
        <v>36</v>
      </c>
      <c r="K522" t="s">
        <v>78</v>
      </c>
      <c r="L522" t="s">
        <v>44</v>
      </c>
      <c r="M522" s="3">
        <v>23100</v>
      </c>
      <c r="N522" s="4">
        <v>0.16700000000000001</v>
      </c>
      <c r="O522" s="4">
        <v>0.5</v>
      </c>
      <c r="P522" t="s">
        <v>79</v>
      </c>
      <c r="R522">
        <v>78</v>
      </c>
      <c r="S522" s="3">
        <v>1604.46</v>
      </c>
    </row>
    <row r="523" spans="1:19" x14ac:dyDescent="0.2">
      <c r="A523" t="s">
        <v>992</v>
      </c>
      <c r="B523" s="2">
        <v>46167</v>
      </c>
      <c r="C523" s="2">
        <v>46323</v>
      </c>
      <c r="D523" t="s">
        <v>993</v>
      </c>
      <c r="E523" t="s">
        <v>111</v>
      </c>
      <c r="F523" t="s">
        <v>74</v>
      </c>
      <c r="G523" t="s">
        <v>63</v>
      </c>
      <c r="H523" t="s">
        <v>69</v>
      </c>
      <c r="I523" t="s">
        <v>35</v>
      </c>
      <c r="J523" t="s">
        <v>85</v>
      </c>
      <c r="K523" t="s">
        <v>58</v>
      </c>
      <c r="L523" t="s">
        <v>51</v>
      </c>
      <c r="M523" s="3">
        <v>188000</v>
      </c>
      <c r="N523" s="4">
        <v>0.19800000000000001</v>
      </c>
      <c r="O523" s="4">
        <v>0.8</v>
      </c>
      <c r="P523" t="s">
        <v>59</v>
      </c>
      <c r="R523">
        <v>156</v>
      </c>
      <c r="S523" s="3">
        <v>12565.26</v>
      </c>
    </row>
    <row r="524" spans="1:19" x14ac:dyDescent="0.2">
      <c r="A524" t="s">
        <v>994</v>
      </c>
      <c r="B524" s="2">
        <v>46272</v>
      </c>
      <c r="C524" s="2">
        <v>46292</v>
      </c>
      <c r="D524" t="s">
        <v>995</v>
      </c>
      <c r="E524" t="s">
        <v>62</v>
      </c>
      <c r="F524" t="s">
        <v>22</v>
      </c>
      <c r="G524" t="s">
        <v>34</v>
      </c>
      <c r="H524" t="s">
        <v>137</v>
      </c>
      <c r="I524" t="s">
        <v>35</v>
      </c>
      <c r="J524" t="s">
        <v>26</v>
      </c>
      <c r="K524" t="s">
        <v>88</v>
      </c>
      <c r="L524" t="s">
        <v>51</v>
      </c>
      <c r="M524" s="3">
        <v>72000</v>
      </c>
      <c r="N524" s="4">
        <v>7.2999999999999995E-2</v>
      </c>
      <c r="O524" s="4">
        <v>0.35</v>
      </c>
      <c r="P524" t="s">
        <v>38</v>
      </c>
      <c r="R524">
        <v>20</v>
      </c>
      <c r="S524" s="3">
        <v>5563.96</v>
      </c>
    </row>
    <row r="525" spans="1:19" x14ac:dyDescent="0.2">
      <c r="A525" t="s">
        <v>996</v>
      </c>
      <c r="B525" s="2">
        <v>45971</v>
      </c>
      <c r="C525" s="2">
        <v>45998</v>
      </c>
      <c r="D525" t="s">
        <v>997</v>
      </c>
      <c r="E525" t="s">
        <v>54</v>
      </c>
      <c r="F525" t="s">
        <v>22</v>
      </c>
      <c r="G525" t="s">
        <v>92</v>
      </c>
      <c r="H525" t="s">
        <v>77</v>
      </c>
      <c r="I525" t="s">
        <v>99</v>
      </c>
      <c r="J525" t="s">
        <v>57</v>
      </c>
      <c r="K525" t="s">
        <v>88</v>
      </c>
      <c r="L525" t="s">
        <v>28</v>
      </c>
      <c r="M525" s="3">
        <v>92300</v>
      </c>
      <c r="N525" s="4">
        <v>0.187</v>
      </c>
      <c r="O525" s="4">
        <v>0.3</v>
      </c>
      <c r="P525" t="s">
        <v>38</v>
      </c>
      <c r="R525">
        <v>27</v>
      </c>
      <c r="S525" s="3">
        <v>6253.86</v>
      </c>
    </row>
    <row r="526" spans="1:19" x14ac:dyDescent="0.2">
      <c r="A526" t="s">
        <v>998</v>
      </c>
      <c r="B526" s="2">
        <v>46012</v>
      </c>
      <c r="C526" s="2">
        <v>46091</v>
      </c>
      <c r="D526" t="s">
        <v>999</v>
      </c>
      <c r="E526" t="s">
        <v>82</v>
      </c>
      <c r="F526" t="s">
        <v>22</v>
      </c>
      <c r="G526" t="s">
        <v>92</v>
      </c>
      <c r="H526" t="s">
        <v>77</v>
      </c>
      <c r="I526" t="s">
        <v>65</v>
      </c>
      <c r="J526" t="s">
        <v>36</v>
      </c>
      <c r="K526" t="s">
        <v>50</v>
      </c>
      <c r="L526" t="s">
        <v>44</v>
      </c>
      <c r="M526" s="3">
        <v>39800</v>
      </c>
      <c r="N526" s="4">
        <v>0.14499999999999999</v>
      </c>
      <c r="O526" s="4">
        <v>1</v>
      </c>
      <c r="P526" t="s">
        <v>29</v>
      </c>
      <c r="R526">
        <v>79</v>
      </c>
      <c r="S526" s="3">
        <v>2835.23</v>
      </c>
    </row>
    <row r="527" spans="1:19" x14ac:dyDescent="0.2">
      <c r="A527" t="s">
        <v>1000</v>
      </c>
      <c r="B527" s="2">
        <v>46005</v>
      </c>
      <c r="C527" s="2">
        <v>46063</v>
      </c>
      <c r="D527" t="s">
        <v>1001</v>
      </c>
      <c r="E527" t="s">
        <v>111</v>
      </c>
      <c r="F527" t="s">
        <v>48</v>
      </c>
      <c r="G527" t="s">
        <v>92</v>
      </c>
      <c r="H527" t="s">
        <v>83</v>
      </c>
      <c r="I527" t="s">
        <v>84</v>
      </c>
      <c r="J527" t="s">
        <v>26</v>
      </c>
      <c r="K527" t="s">
        <v>50</v>
      </c>
      <c r="L527" t="s">
        <v>51</v>
      </c>
      <c r="M527" s="3">
        <v>24800</v>
      </c>
      <c r="N527" s="4">
        <v>0.182</v>
      </c>
      <c r="O527" s="4">
        <v>1</v>
      </c>
      <c r="P527" t="s">
        <v>29</v>
      </c>
      <c r="R527">
        <v>58</v>
      </c>
      <c r="S527" s="3">
        <v>1690.49</v>
      </c>
    </row>
    <row r="528" spans="1:19" x14ac:dyDescent="0.2">
      <c r="A528" t="s">
        <v>1002</v>
      </c>
      <c r="B528" s="2">
        <v>46076</v>
      </c>
      <c r="C528" s="2">
        <v>46108</v>
      </c>
      <c r="D528" t="s">
        <v>1003</v>
      </c>
      <c r="E528" t="s">
        <v>21</v>
      </c>
      <c r="F528" t="s">
        <v>48</v>
      </c>
      <c r="G528" t="s">
        <v>34</v>
      </c>
      <c r="H528" t="s">
        <v>41</v>
      </c>
      <c r="I528" t="s">
        <v>84</v>
      </c>
      <c r="J528" t="s">
        <v>26</v>
      </c>
      <c r="K528" t="s">
        <v>27</v>
      </c>
      <c r="L528" t="s">
        <v>51</v>
      </c>
      <c r="M528" s="3">
        <v>9700</v>
      </c>
      <c r="N528" s="4">
        <v>9.7000000000000003E-2</v>
      </c>
      <c r="O528" s="4">
        <v>0</v>
      </c>
      <c r="P528" t="s">
        <v>29</v>
      </c>
      <c r="Q528" t="s">
        <v>126</v>
      </c>
      <c r="R528">
        <v>32</v>
      </c>
      <c r="S528" s="3">
        <v>730.12</v>
      </c>
    </row>
    <row r="529" spans="1:19" x14ac:dyDescent="0.2">
      <c r="A529" t="s">
        <v>1004</v>
      </c>
      <c r="B529" s="2">
        <v>45957</v>
      </c>
      <c r="C529" s="2">
        <v>45999</v>
      </c>
      <c r="D529" t="s">
        <v>646</v>
      </c>
      <c r="E529" t="s">
        <v>33</v>
      </c>
      <c r="F529" t="s">
        <v>48</v>
      </c>
      <c r="G529" t="s">
        <v>34</v>
      </c>
      <c r="H529" t="s">
        <v>41</v>
      </c>
      <c r="I529" t="s">
        <v>65</v>
      </c>
      <c r="J529" t="s">
        <v>85</v>
      </c>
      <c r="K529" t="s">
        <v>58</v>
      </c>
      <c r="L529" t="s">
        <v>51</v>
      </c>
      <c r="M529" s="3">
        <v>18900</v>
      </c>
      <c r="N529" s="4">
        <v>0.185</v>
      </c>
      <c r="O529" s="4">
        <v>0.8</v>
      </c>
      <c r="P529" t="s">
        <v>59</v>
      </c>
      <c r="R529">
        <v>42</v>
      </c>
      <c r="S529" s="3">
        <v>1283.17</v>
      </c>
    </row>
    <row r="530" spans="1:19" x14ac:dyDescent="0.2">
      <c r="A530" t="s">
        <v>1005</v>
      </c>
      <c r="B530" s="2">
        <v>45982</v>
      </c>
      <c r="C530" s="2">
        <v>46152</v>
      </c>
      <c r="D530" t="s">
        <v>1006</v>
      </c>
      <c r="E530" t="s">
        <v>21</v>
      </c>
      <c r="F530" t="s">
        <v>22</v>
      </c>
      <c r="G530" t="s">
        <v>63</v>
      </c>
      <c r="H530" t="s">
        <v>41</v>
      </c>
      <c r="I530" t="s">
        <v>25</v>
      </c>
      <c r="J530" t="s">
        <v>43</v>
      </c>
      <c r="K530" t="s">
        <v>27</v>
      </c>
      <c r="L530" t="s">
        <v>44</v>
      </c>
      <c r="M530" s="3">
        <v>61900</v>
      </c>
      <c r="N530" s="4">
        <v>4.7E-2</v>
      </c>
      <c r="O530" s="4">
        <v>0</v>
      </c>
      <c r="P530" t="s">
        <v>29</v>
      </c>
      <c r="Q530" t="s">
        <v>30</v>
      </c>
      <c r="R530">
        <v>170</v>
      </c>
      <c r="S530" s="3">
        <v>4915.7</v>
      </c>
    </row>
    <row r="531" spans="1:19" x14ac:dyDescent="0.2">
      <c r="A531" t="s">
        <v>1007</v>
      </c>
      <c r="B531" s="2">
        <v>46162</v>
      </c>
      <c r="C531" s="2">
        <v>46267</v>
      </c>
      <c r="D531" t="s">
        <v>780</v>
      </c>
      <c r="E531" t="s">
        <v>33</v>
      </c>
      <c r="F531" t="s">
        <v>74</v>
      </c>
      <c r="G531" t="s">
        <v>63</v>
      </c>
      <c r="H531" t="s">
        <v>56</v>
      </c>
      <c r="I531" t="s">
        <v>65</v>
      </c>
      <c r="J531" t="s">
        <v>57</v>
      </c>
      <c r="K531" t="s">
        <v>78</v>
      </c>
      <c r="L531" t="s">
        <v>44</v>
      </c>
      <c r="M531" s="3">
        <v>146500</v>
      </c>
      <c r="N531" s="4">
        <v>6.2E-2</v>
      </c>
      <c r="O531" s="4">
        <v>0.6</v>
      </c>
      <c r="P531" t="s">
        <v>79</v>
      </c>
      <c r="R531">
        <v>105</v>
      </c>
      <c r="S531" s="3">
        <v>11448.99</v>
      </c>
    </row>
    <row r="532" spans="1:19" x14ac:dyDescent="0.2">
      <c r="A532" t="s">
        <v>1008</v>
      </c>
      <c r="B532" s="2">
        <v>45995</v>
      </c>
      <c r="C532" s="2">
        <v>46109</v>
      </c>
      <c r="D532" t="s">
        <v>1009</v>
      </c>
      <c r="E532" t="s">
        <v>82</v>
      </c>
      <c r="F532" t="s">
        <v>22</v>
      </c>
      <c r="G532" t="s">
        <v>92</v>
      </c>
      <c r="H532" t="s">
        <v>77</v>
      </c>
      <c r="I532" t="s">
        <v>65</v>
      </c>
      <c r="J532" t="s">
        <v>85</v>
      </c>
      <c r="K532" t="s">
        <v>88</v>
      </c>
      <c r="L532" t="s">
        <v>44</v>
      </c>
      <c r="M532" s="3">
        <v>92400</v>
      </c>
      <c r="N532" s="4">
        <v>0.218</v>
      </c>
      <c r="O532" s="4">
        <v>0.35</v>
      </c>
      <c r="P532" t="s">
        <v>38</v>
      </c>
      <c r="R532">
        <v>114</v>
      </c>
      <c r="S532" s="3">
        <v>6018.85</v>
      </c>
    </row>
    <row r="533" spans="1:19" x14ac:dyDescent="0.2">
      <c r="A533" t="s">
        <v>1010</v>
      </c>
      <c r="B533" s="2">
        <v>45950</v>
      </c>
      <c r="C533" s="2">
        <v>46032</v>
      </c>
      <c r="D533" t="s">
        <v>1011</v>
      </c>
      <c r="E533" t="s">
        <v>54</v>
      </c>
      <c r="F533" t="s">
        <v>48</v>
      </c>
      <c r="G533" t="s">
        <v>34</v>
      </c>
      <c r="H533" t="s">
        <v>83</v>
      </c>
      <c r="I533" t="s">
        <v>25</v>
      </c>
      <c r="J533" t="s">
        <v>26</v>
      </c>
      <c r="K533" t="s">
        <v>78</v>
      </c>
      <c r="L533" t="s">
        <v>51</v>
      </c>
      <c r="M533" s="3">
        <v>12600</v>
      </c>
      <c r="N533" s="4">
        <v>0.114</v>
      </c>
      <c r="O533" s="4">
        <v>0.6</v>
      </c>
      <c r="P533" t="s">
        <v>79</v>
      </c>
      <c r="R533">
        <v>82</v>
      </c>
      <c r="S533" s="3">
        <v>930.1</v>
      </c>
    </row>
    <row r="534" spans="1:19" x14ac:dyDescent="0.2">
      <c r="A534" t="s">
        <v>1012</v>
      </c>
      <c r="B534" s="2">
        <v>46232</v>
      </c>
      <c r="C534" s="2">
        <v>46337</v>
      </c>
      <c r="D534" t="s">
        <v>1013</v>
      </c>
      <c r="E534" t="s">
        <v>68</v>
      </c>
      <c r="F534" t="s">
        <v>74</v>
      </c>
      <c r="G534" t="s">
        <v>34</v>
      </c>
      <c r="H534" t="s">
        <v>83</v>
      </c>
      <c r="I534" t="s">
        <v>99</v>
      </c>
      <c r="J534" t="s">
        <v>57</v>
      </c>
      <c r="K534" t="s">
        <v>37</v>
      </c>
      <c r="L534" t="s">
        <v>51</v>
      </c>
      <c r="M534" s="3">
        <v>170800</v>
      </c>
      <c r="N534" s="4">
        <v>0.108</v>
      </c>
      <c r="O534" s="4">
        <v>0.05</v>
      </c>
      <c r="P534" t="s">
        <v>38</v>
      </c>
      <c r="R534">
        <v>105</v>
      </c>
      <c r="S534" s="3">
        <v>12697.23</v>
      </c>
    </row>
    <row r="535" spans="1:19" x14ac:dyDescent="0.2">
      <c r="A535" t="s">
        <v>1014</v>
      </c>
      <c r="B535" s="2">
        <v>46126</v>
      </c>
      <c r="C535" s="2">
        <v>46257</v>
      </c>
      <c r="D535" t="s">
        <v>866</v>
      </c>
      <c r="E535" t="s">
        <v>21</v>
      </c>
      <c r="F535" t="s">
        <v>48</v>
      </c>
      <c r="G535" t="s">
        <v>92</v>
      </c>
      <c r="H535" t="s">
        <v>24</v>
      </c>
      <c r="I535" t="s">
        <v>35</v>
      </c>
      <c r="J535" t="s">
        <v>26</v>
      </c>
      <c r="K535" t="s">
        <v>27</v>
      </c>
      <c r="L535" t="s">
        <v>51</v>
      </c>
      <c r="M535" s="3">
        <v>23200</v>
      </c>
      <c r="N535" s="4">
        <v>6.7000000000000004E-2</v>
      </c>
      <c r="O535" s="4">
        <v>0</v>
      </c>
      <c r="P535" t="s">
        <v>29</v>
      </c>
      <c r="Q535" t="s">
        <v>222</v>
      </c>
      <c r="R535">
        <v>131</v>
      </c>
      <c r="S535" s="3">
        <v>1803.17</v>
      </c>
    </row>
    <row r="536" spans="1:19" x14ac:dyDescent="0.2">
      <c r="A536" t="s">
        <v>1015</v>
      </c>
      <c r="B536" s="2">
        <v>46167</v>
      </c>
      <c r="C536" s="2">
        <v>46295</v>
      </c>
      <c r="D536" t="s">
        <v>125</v>
      </c>
      <c r="E536" t="s">
        <v>91</v>
      </c>
      <c r="F536" t="s">
        <v>48</v>
      </c>
      <c r="G536" t="s">
        <v>92</v>
      </c>
      <c r="H536" t="s">
        <v>69</v>
      </c>
      <c r="I536" t="s">
        <v>99</v>
      </c>
      <c r="J536" t="s">
        <v>57</v>
      </c>
      <c r="K536" t="s">
        <v>88</v>
      </c>
      <c r="L536" t="s">
        <v>51</v>
      </c>
      <c r="M536" s="3">
        <v>21000</v>
      </c>
      <c r="N536" s="4">
        <v>0.16200000000000001</v>
      </c>
      <c r="O536" s="4">
        <v>0.35</v>
      </c>
      <c r="P536" t="s">
        <v>38</v>
      </c>
      <c r="R536">
        <v>128</v>
      </c>
      <c r="S536" s="3">
        <v>1466.95</v>
      </c>
    </row>
    <row r="537" spans="1:19" x14ac:dyDescent="0.2">
      <c r="A537" t="s">
        <v>1016</v>
      </c>
      <c r="B537" s="2">
        <v>46214</v>
      </c>
      <c r="C537" s="2">
        <v>46277</v>
      </c>
      <c r="D537" t="s">
        <v>1017</v>
      </c>
      <c r="E537" t="s">
        <v>33</v>
      </c>
      <c r="F537" t="s">
        <v>22</v>
      </c>
      <c r="G537" t="s">
        <v>23</v>
      </c>
      <c r="H537" t="s">
        <v>95</v>
      </c>
      <c r="I537" t="s">
        <v>84</v>
      </c>
      <c r="J537" t="s">
        <v>36</v>
      </c>
      <c r="K537" t="s">
        <v>50</v>
      </c>
      <c r="L537" t="s">
        <v>51</v>
      </c>
      <c r="M537" s="3">
        <v>87800</v>
      </c>
      <c r="N537" s="4">
        <v>3.1E-2</v>
      </c>
      <c r="O537" s="4">
        <v>1</v>
      </c>
      <c r="P537" t="s">
        <v>29</v>
      </c>
      <c r="R537">
        <v>63</v>
      </c>
      <c r="S537" s="3">
        <v>7089.18</v>
      </c>
    </row>
    <row r="538" spans="1:19" x14ac:dyDescent="0.2">
      <c r="A538" t="s">
        <v>1018</v>
      </c>
      <c r="B538" s="2">
        <v>45963</v>
      </c>
      <c r="C538" s="2">
        <v>45999</v>
      </c>
      <c r="D538" t="s">
        <v>1019</v>
      </c>
      <c r="E538" t="s">
        <v>111</v>
      </c>
      <c r="F538" t="s">
        <v>22</v>
      </c>
      <c r="G538" t="s">
        <v>55</v>
      </c>
      <c r="H538" t="s">
        <v>41</v>
      </c>
      <c r="I538" t="s">
        <v>42</v>
      </c>
      <c r="J538" t="s">
        <v>36</v>
      </c>
      <c r="K538" t="s">
        <v>88</v>
      </c>
      <c r="L538" t="s">
        <v>44</v>
      </c>
      <c r="M538" s="3">
        <v>34900</v>
      </c>
      <c r="N538" s="4">
        <v>8.7999999999999995E-2</v>
      </c>
      <c r="O538" s="4">
        <v>0.35</v>
      </c>
      <c r="P538" t="s">
        <v>38</v>
      </c>
      <c r="R538">
        <v>36</v>
      </c>
      <c r="S538" s="3">
        <v>2651.16</v>
      </c>
    </row>
    <row r="539" spans="1:19" x14ac:dyDescent="0.2">
      <c r="A539" t="s">
        <v>1020</v>
      </c>
      <c r="B539" s="2">
        <v>46049</v>
      </c>
      <c r="C539" s="2">
        <v>46130</v>
      </c>
      <c r="D539" t="s">
        <v>1021</v>
      </c>
      <c r="E539" t="s">
        <v>91</v>
      </c>
      <c r="F539" t="s">
        <v>22</v>
      </c>
      <c r="G539" t="s">
        <v>55</v>
      </c>
      <c r="H539" t="s">
        <v>77</v>
      </c>
      <c r="I539" t="s">
        <v>35</v>
      </c>
      <c r="J539" t="s">
        <v>43</v>
      </c>
      <c r="K539" t="s">
        <v>58</v>
      </c>
      <c r="L539" t="s">
        <v>51</v>
      </c>
      <c r="M539" s="3">
        <v>32900</v>
      </c>
      <c r="N539" s="4">
        <v>8.4000000000000005E-2</v>
      </c>
      <c r="O539" s="4">
        <v>0.8</v>
      </c>
      <c r="P539" t="s">
        <v>59</v>
      </c>
      <c r="R539">
        <v>81</v>
      </c>
      <c r="S539" s="3">
        <v>2512.15</v>
      </c>
    </row>
    <row r="540" spans="1:19" x14ac:dyDescent="0.2">
      <c r="A540" t="s">
        <v>1022</v>
      </c>
      <c r="B540" s="2">
        <v>46101</v>
      </c>
      <c r="C540" s="2">
        <v>46193</v>
      </c>
      <c r="D540" t="s">
        <v>1023</v>
      </c>
      <c r="E540" t="s">
        <v>111</v>
      </c>
      <c r="F540" t="s">
        <v>48</v>
      </c>
      <c r="G540" t="s">
        <v>63</v>
      </c>
      <c r="H540" t="s">
        <v>83</v>
      </c>
      <c r="I540" t="s">
        <v>25</v>
      </c>
      <c r="J540" t="s">
        <v>36</v>
      </c>
      <c r="K540" t="s">
        <v>106</v>
      </c>
      <c r="L540" t="s">
        <v>28</v>
      </c>
      <c r="M540" s="3">
        <v>18700</v>
      </c>
      <c r="N540" s="4">
        <v>0.17599999999999999</v>
      </c>
      <c r="O540" s="4">
        <v>0.15</v>
      </c>
      <c r="P540" t="s">
        <v>38</v>
      </c>
      <c r="R540">
        <v>92</v>
      </c>
      <c r="S540" s="3">
        <v>1284.49</v>
      </c>
    </row>
    <row r="541" spans="1:19" x14ac:dyDescent="0.2">
      <c r="A541" t="s">
        <v>1024</v>
      </c>
      <c r="B541" s="2">
        <v>45962</v>
      </c>
      <c r="C541" s="2">
        <v>46085</v>
      </c>
      <c r="D541" t="s">
        <v>1025</v>
      </c>
      <c r="E541" t="s">
        <v>54</v>
      </c>
      <c r="F541" t="s">
        <v>74</v>
      </c>
      <c r="G541" t="s">
        <v>34</v>
      </c>
      <c r="H541" t="s">
        <v>41</v>
      </c>
      <c r="I541" t="s">
        <v>25</v>
      </c>
      <c r="J541" t="s">
        <v>26</v>
      </c>
      <c r="K541" t="s">
        <v>27</v>
      </c>
      <c r="L541" t="s">
        <v>51</v>
      </c>
      <c r="M541" s="3">
        <v>117300</v>
      </c>
      <c r="N541" s="4">
        <v>0.219</v>
      </c>
      <c r="O541" s="4">
        <v>0</v>
      </c>
      <c r="P541" t="s">
        <v>29</v>
      </c>
      <c r="Q541" t="s">
        <v>188</v>
      </c>
      <c r="R541">
        <v>123</v>
      </c>
      <c r="S541" s="3">
        <v>7630.64</v>
      </c>
    </row>
    <row r="542" spans="1:19" x14ac:dyDescent="0.2">
      <c r="A542" t="s">
        <v>1026</v>
      </c>
      <c r="B542" s="2">
        <v>46264</v>
      </c>
      <c r="C542" s="2">
        <v>46277</v>
      </c>
      <c r="D542" t="s">
        <v>1027</v>
      </c>
      <c r="E542" t="s">
        <v>21</v>
      </c>
      <c r="F542" t="s">
        <v>48</v>
      </c>
      <c r="G542" t="s">
        <v>34</v>
      </c>
      <c r="H542" t="s">
        <v>120</v>
      </c>
      <c r="I542" t="s">
        <v>35</v>
      </c>
      <c r="J542" t="s">
        <v>26</v>
      </c>
      <c r="K542" t="s">
        <v>27</v>
      </c>
      <c r="L542" t="s">
        <v>44</v>
      </c>
      <c r="M542" s="3">
        <v>11000</v>
      </c>
      <c r="N542" s="4">
        <v>0.128</v>
      </c>
      <c r="O542" s="4">
        <v>0</v>
      </c>
      <c r="P542" t="s">
        <v>29</v>
      </c>
      <c r="Q542" t="s">
        <v>152</v>
      </c>
      <c r="R542">
        <v>13</v>
      </c>
      <c r="S542" s="3">
        <v>799.1</v>
      </c>
    </row>
    <row r="543" spans="1:19" x14ac:dyDescent="0.2">
      <c r="A543" t="s">
        <v>1028</v>
      </c>
      <c r="B543" s="2">
        <v>46036</v>
      </c>
      <c r="C543" s="2">
        <v>46064</v>
      </c>
      <c r="D543" t="s">
        <v>305</v>
      </c>
      <c r="E543" t="s">
        <v>21</v>
      </c>
      <c r="F543" t="s">
        <v>48</v>
      </c>
      <c r="G543" t="s">
        <v>34</v>
      </c>
      <c r="H543" t="s">
        <v>41</v>
      </c>
      <c r="I543" t="s">
        <v>25</v>
      </c>
      <c r="J543" t="s">
        <v>57</v>
      </c>
      <c r="K543" t="s">
        <v>50</v>
      </c>
      <c r="L543" t="s">
        <v>28</v>
      </c>
      <c r="M543" s="3">
        <v>19100</v>
      </c>
      <c r="N543" s="4">
        <v>0.152</v>
      </c>
      <c r="O543" s="4">
        <v>1</v>
      </c>
      <c r="P543" t="s">
        <v>29</v>
      </c>
      <c r="R543">
        <v>28</v>
      </c>
      <c r="S543" s="3">
        <v>1350.03</v>
      </c>
    </row>
    <row r="544" spans="1:19" x14ac:dyDescent="0.2">
      <c r="A544" t="s">
        <v>1029</v>
      </c>
      <c r="B544" s="2">
        <v>46119</v>
      </c>
      <c r="C544" s="2">
        <v>46236</v>
      </c>
      <c r="D544" t="s">
        <v>1013</v>
      </c>
      <c r="E544" t="s">
        <v>62</v>
      </c>
      <c r="F544" t="s">
        <v>74</v>
      </c>
      <c r="G544" t="s">
        <v>63</v>
      </c>
      <c r="H544" t="s">
        <v>64</v>
      </c>
      <c r="I544" t="s">
        <v>35</v>
      </c>
      <c r="J544" t="s">
        <v>43</v>
      </c>
      <c r="K544" t="s">
        <v>58</v>
      </c>
      <c r="L544" t="s">
        <v>28</v>
      </c>
      <c r="M544" s="3">
        <v>114000</v>
      </c>
      <c r="N544" s="4">
        <v>3.5999999999999997E-2</v>
      </c>
      <c r="O544" s="4">
        <v>0.75</v>
      </c>
      <c r="P544" t="s">
        <v>59</v>
      </c>
      <c r="R544">
        <v>117</v>
      </c>
      <c r="S544" s="3">
        <v>9158.83</v>
      </c>
    </row>
    <row r="545" spans="1:19" x14ac:dyDescent="0.2">
      <c r="A545" t="s">
        <v>1030</v>
      </c>
      <c r="B545" s="2">
        <v>46067</v>
      </c>
      <c r="C545" s="2">
        <v>46111</v>
      </c>
      <c r="D545" t="s">
        <v>953</v>
      </c>
      <c r="E545" t="s">
        <v>82</v>
      </c>
      <c r="F545" t="s">
        <v>22</v>
      </c>
      <c r="G545" t="s">
        <v>55</v>
      </c>
      <c r="H545" t="s">
        <v>98</v>
      </c>
      <c r="I545" t="s">
        <v>35</v>
      </c>
      <c r="J545" t="s">
        <v>36</v>
      </c>
      <c r="K545" t="s">
        <v>88</v>
      </c>
      <c r="L545" t="s">
        <v>28</v>
      </c>
      <c r="M545" s="3">
        <v>34100</v>
      </c>
      <c r="N545" s="4">
        <v>0.18</v>
      </c>
      <c r="O545" s="4">
        <v>0.35</v>
      </c>
      <c r="P545" t="s">
        <v>38</v>
      </c>
      <c r="R545">
        <v>44</v>
      </c>
      <c r="S545" s="3">
        <v>2330.7800000000002</v>
      </c>
    </row>
    <row r="546" spans="1:19" x14ac:dyDescent="0.2">
      <c r="A546" t="s">
        <v>1031</v>
      </c>
      <c r="B546" s="2">
        <v>46113</v>
      </c>
      <c r="C546" s="2">
        <v>46141</v>
      </c>
      <c r="D546" t="s">
        <v>396</v>
      </c>
      <c r="E546" t="s">
        <v>54</v>
      </c>
      <c r="F546" t="s">
        <v>48</v>
      </c>
      <c r="G546" t="s">
        <v>55</v>
      </c>
      <c r="H546" t="s">
        <v>95</v>
      </c>
      <c r="I546" t="s">
        <v>65</v>
      </c>
      <c r="J546" t="s">
        <v>36</v>
      </c>
      <c r="K546" t="s">
        <v>27</v>
      </c>
      <c r="L546" t="s">
        <v>44</v>
      </c>
      <c r="M546" s="3">
        <v>6100</v>
      </c>
      <c r="N546" s="4">
        <v>9.5000000000000001E-2</v>
      </c>
      <c r="O546" s="4">
        <v>0</v>
      </c>
      <c r="P546" t="s">
        <v>29</v>
      </c>
      <c r="Q546" t="s">
        <v>45</v>
      </c>
      <c r="R546">
        <v>28</v>
      </c>
      <c r="S546" s="3">
        <v>459.87</v>
      </c>
    </row>
    <row r="547" spans="1:19" x14ac:dyDescent="0.2">
      <c r="A547" t="s">
        <v>1032</v>
      </c>
      <c r="B547" s="2">
        <v>46137</v>
      </c>
      <c r="C547" s="2">
        <v>46169</v>
      </c>
      <c r="D547" t="s">
        <v>1033</v>
      </c>
      <c r="E547" t="s">
        <v>91</v>
      </c>
      <c r="F547" t="s">
        <v>74</v>
      </c>
      <c r="G547" t="s">
        <v>34</v>
      </c>
      <c r="H547" t="s">
        <v>137</v>
      </c>
      <c r="I547" t="s">
        <v>84</v>
      </c>
      <c r="J547" t="s">
        <v>85</v>
      </c>
      <c r="K547" t="s">
        <v>58</v>
      </c>
      <c r="L547" t="s">
        <v>28</v>
      </c>
      <c r="M547" s="3">
        <v>215900</v>
      </c>
      <c r="N547" s="4">
        <v>9.5000000000000001E-2</v>
      </c>
      <c r="O547" s="4">
        <v>0.8</v>
      </c>
      <c r="P547" t="s">
        <v>59</v>
      </c>
      <c r="R547">
        <v>32</v>
      </c>
      <c r="S547" s="3">
        <v>16276.75</v>
      </c>
    </row>
    <row r="548" spans="1:19" x14ac:dyDescent="0.2">
      <c r="A548" t="s">
        <v>1034</v>
      </c>
      <c r="B548" s="2">
        <v>46214</v>
      </c>
      <c r="C548" s="2">
        <v>46254</v>
      </c>
      <c r="D548" t="s">
        <v>247</v>
      </c>
      <c r="E548" t="s">
        <v>21</v>
      </c>
      <c r="F548" t="s">
        <v>22</v>
      </c>
      <c r="G548" t="s">
        <v>55</v>
      </c>
      <c r="H548" t="s">
        <v>24</v>
      </c>
      <c r="I548" t="s">
        <v>99</v>
      </c>
      <c r="J548" t="s">
        <v>43</v>
      </c>
      <c r="K548" t="s">
        <v>88</v>
      </c>
      <c r="L548" t="s">
        <v>44</v>
      </c>
      <c r="M548" s="3">
        <v>78700</v>
      </c>
      <c r="N548" s="4">
        <v>0.124</v>
      </c>
      <c r="O548" s="4">
        <v>0.35</v>
      </c>
      <c r="P548" t="s">
        <v>38</v>
      </c>
      <c r="R548">
        <v>40</v>
      </c>
      <c r="S548" s="3">
        <v>5744.66</v>
      </c>
    </row>
    <row r="549" spans="1:19" x14ac:dyDescent="0.2">
      <c r="A549" t="s">
        <v>1035</v>
      </c>
      <c r="B549" s="2">
        <v>46100</v>
      </c>
      <c r="C549" s="2">
        <v>46229</v>
      </c>
      <c r="D549" t="s">
        <v>348</v>
      </c>
      <c r="E549" t="s">
        <v>68</v>
      </c>
      <c r="F549" t="s">
        <v>74</v>
      </c>
      <c r="G549" t="s">
        <v>92</v>
      </c>
      <c r="H549" t="s">
        <v>56</v>
      </c>
      <c r="I549" t="s">
        <v>25</v>
      </c>
      <c r="J549" t="s">
        <v>43</v>
      </c>
      <c r="K549" t="s">
        <v>37</v>
      </c>
      <c r="L549" t="s">
        <v>51</v>
      </c>
      <c r="M549" s="3">
        <v>305900</v>
      </c>
      <c r="N549" s="4">
        <v>2.4E-2</v>
      </c>
      <c r="O549" s="4">
        <v>0.1</v>
      </c>
      <c r="P549" t="s">
        <v>38</v>
      </c>
      <c r="R549">
        <v>129</v>
      </c>
      <c r="S549" s="3">
        <v>24876.720000000001</v>
      </c>
    </row>
    <row r="550" spans="1:19" x14ac:dyDescent="0.2">
      <c r="A550" t="s">
        <v>1036</v>
      </c>
      <c r="B550" s="2">
        <v>46183</v>
      </c>
      <c r="C550" s="2">
        <v>46274</v>
      </c>
      <c r="D550" t="s">
        <v>1037</v>
      </c>
      <c r="E550" t="s">
        <v>33</v>
      </c>
      <c r="F550" t="s">
        <v>22</v>
      </c>
      <c r="G550" t="s">
        <v>63</v>
      </c>
      <c r="H550" t="s">
        <v>98</v>
      </c>
      <c r="I550" t="s">
        <v>65</v>
      </c>
      <c r="J550" t="s">
        <v>36</v>
      </c>
      <c r="K550" t="s">
        <v>58</v>
      </c>
      <c r="L550" t="s">
        <v>51</v>
      </c>
      <c r="M550" s="3">
        <v>37200</v>
      </c>
      <c r="N550" s="4">
        <v>0.10299999999999999</v>
      </c>
      <c r="O550" s="4">
        <v>0.7</v>
      </c>
      <c r="P550" t="s">
        <v>59</v>
      </c>
      <c r="R550">
        <v>91</v>
      </c>
      <c r="S550" s="3">
        <v>2780.53</v>
      </c>
    </row>
    <row r="551" spans="1:19" x14ac:dyDescent="0.2">
      <c r="A551" t="s">
        <v>1038</v>
      </c>
      <c r="B551" s="2">
        <v>45979</v>
      </c>
      <c r="C551" s="2">
        <v>46142</v>
      </c>
      <c r="D551" t="s">
        <v>1039</v>
      </c>
      <c r="E551" t="s">
        <v>62</v>
      </c>
      <c r="F551" t="s">
        <v>48</v>
      </c>
      <c r="G551" t="s">
        <v>92</v>
      </c>
      <c r="H551" t="s">
        <v>56</v>
      </c>
      <c r="I551" t="s">
        <v>65</v>
      </c>
      <c r="J551" t="s">
        <v>43</v>
      </c>
      <c r="K551" t="s">
        <v>50</v>
      </c>
      <c r="L551" t="s">
        <v>51</v>
      </c>
      <c r="M551" s="3">
        <v>21500</v>
      </c>
      <c r="N551" s="4">
        <v>5.2999999999999999E-2</v>
      </c>
      <c r="O551" s="4">
        <v>1</v>
      </c>
      <c r="P551" t="s">
        <v>29</v>
      </c>
      <c r="R551">
        <v>163</v>
      </c>
      <c r="S551" s="3">
        <v>1697.07</v>
      </c>
    </row>
    <row r="552" spans="1:19" x14ac:dyDescent="0.2">
      <c r="A552" t="s">
        <v>1040</v>
      </c>
      <c r="B552" s="2">
        <v>46015</v>
      </c>
      <c r="C552" s="2">
        <v>46085</v>
      </c>
      <c r="D552" t="s">
        <v>1041</v>
      </c>
      <c r="E552" t="s">
        <v>21</v>
      </c>
      <c r="F552" t="s">
        <v>48</v>
      </c>
      <c r="G552" t="s">
        <v>63</v>
      </c>
      <c r="H552" t="s">
        <v>120</v>
      </c>
      <c r="I552" t="s">
        <v>84</v>
      </c>
      <c r="J552" t="s">
        <v>26</v>
      </c>
      <c r="K552" t="s">
        <v>50</v>
      </c>
      <c r="L552" t="s">
        <v>51</v>
      </c>
      <c r="M552" s="3">
        <v>24600</v>
      </c>
      <c r="N552" s="4">
        <v>0.13</v>
      </c>
      <c r="O552" s="4">
        <v>1</v>
      </c>
      <c r="P552" t="s">
        <v>29</v>
      </c>
      <c r="R552">
        <v>70</v>
      </c>
      <c r="S552" s="3">
        <v>1783.9</v>
      </c>
    </row>
    <row r="553" spans="1:19" x14ac:dyDescent="0.2">
      <c r="A553" t="s">
        <v>1042</v>
      </c>
      <c r="B553" s="2">
        <v>46189</v>
      </c>
      <c r="C553" s="2">
        <v>46277</v>
      </c>
      <c r="D553" t="s">
        <v>888</v>
      </c>
      <c r="E553" t="s">
        <v>21</v>
      </c>
      <c r="F553" t="s">
        <v>22</v>
      </c>
      <c r="G553" t="s">
        <v>34</v>
      </c>
      <c r="H553" t="s">
        <v>98</v>
      </c>
      <c r="I553" t="s">
        <v>84</v>
      </c>
      <c r="J553" t="s">
        <v>57</v>
      </c>
      <c r="K553" t="s">
        <v>50</v>
      </c>
      <c r="L553" t="s">
        <v>44</v>
      </c>
      <c r="M553" s="3">
        <v>51300</v>
      </c>
      <c r="N553" s="4">
        <v>0.08</v>
      </c>
      <c r="O553" s="4">
        <v>1</v>
      </c>
      <c r="P553" t="s">
        <v>29</v>
      </c>
      <c r="R553">
        <v>88</v>
      </c>
      <c r="S553" s="3">
        <v>3935.12</v>
      </c>
    </row>
    <row r="554" spans="1:19" x14ac:dyDescent="0.2">
      <c r="A554" t="s">
        <v>1043</v>
      </c>
      <c r="B554" s="2">
        <v>46231</v>
      </c>
      <c r="C554" s="2">
        <v>46319</v>
      </c>
      <c r="D554" t="s">
        <v>163</v>
      </c>
      <c r="E554" t="s">
        <v>82</v>
      </c>
      <c r="F554" t="s">
        <v>48</v>
      </c>
      <c r="G554" t="s">
        <v>23</v>
      </c>
      <c r="H554" t="s">
        <v>83</v>
      </c>
      <c r="I554" t="s">
        <v>42</v>
      </c>
      <c r="J554" t="s">
        <v>26</v>
      </c>
      <c r="K554" t="s">
        <v>88</v>
      </c>
      <c r="L554" t="s">
        <v>51</v>
      </c>
      <c r="M554" s="3">
        <v>9900</v>
      </c>
      <c r="N554" s="4">
        <v>0.121</v>
      </c>
      <c r="O554" s="4">
        <v>0.3</v>
      </c>
      <c r="P554" t="s">
        <v>38</v>
      </c>
      <c r="R554">
        <v>88</v>
      </c>
      <c r="S554" s="3">
        <v>725.52</v>
      </c>
    </row>
    <row r="555" spans="1:19" x14ac:dyDescent="0.2">
      <c r="A555" t="s">
        <v>1044</v>
      </c>
      <c r="B555" s="2">
        <v>46244</v>
      </c>
      <c r="C555" s="2">
        <v>46279</v>
      </c>
      <c r="D555" t="s">
        <v>1045</v>
      </c>
      <c r="E555" t="s">
        <v>91</v>
      </c>
      <c r="F555" t="s">
        <v>74</v>
      </c>
      <c r="G555" t="s">
        <v>63</v>
      </c>
      <c r="H555" t="s">
        <v>24</v>
      </c>
      <c r="I555" t="s">
        <v>65</v>
      </c>
      <c r="J555" t="s">
        <v>85</v>
      </c>
      <c r="K555" t="s">
        <v>88</v>
      </c>
      <c r="L555" t="s">
        <v>51</v>
      </c>
      <c r="M555" s="3">
        <v>228400</v>
      </c>
      <c r="N555" s="4">
        <v>0.129</v>
      </c>
      <c r="O555" s="4">
        <v>0.35</v>
      </c>
      <c r="P555" t="s">
        <v>38</v>
      </c>
      <c r="R555">
        <v>35</v>
      </c>
      <c r="S555" s="3">
        <v>16570.28</v>
      </c>
    </row>
    <row r="556" spans="1:19" x14ac:dyDescent="0.2">
      <c r="A556" t="s">
        <v>1046</v>
      </c>
      <c r="B556" s="2">
        <v>45992</v>
      </c>
      <c r="C556" s="2">
        <v>46101</v>
      </c>
      <c r="D556" t="s">
        <v>631</v>
      </c>
      <c r="E556" t="s">
        <v>111</v>
      </c>
      <c r="F556" t="s">
        <v>48</v>
      </c>
      <c r="G556" t="s">
        <v>55</v>
      </c>
      <c r="H556" t="s">
        <v>64</v>
      </c>
      <c r="I556" t="s">
        <v>25</v>
      </c>
      <c r="J556" t="s">
        <v>43</v>
      </c>
      <c r="K556" t="s">
        <v>78</v>
      </c>
      <c r="L556" t="s">
        <v>51</v>
      </c>
      <c r="M556" s="3">
        <v>10800</v>
      </c>
      <c r="N556" s="4">
        <v>2.5999999999999999E-2</v>
      </c>
      <c r="O556" s="4">
        <v>0.5</v>
      </c>
      <c r="P556" t="s">
        <v>79</v>
      </c>
      <c r="R556">
        <v>109</v>
      </c>
      <c r="S556" s="3">
        <v>876.7</v>
      </c>
    </row>
    <row r="557" spans="1:19" x14ac:dyDescent="0.2">
      <c r="A557" t="s">
        <v>1047</v>
      </c>
      <c r="B557" s="2">
        <v>46201</v>
      </c>
      <c r="C557" s="2">
        <v>46278</v>
      </c>
      <c r="D557" t="s">
        <v>673</v>
      </c>
      <c r="E557" t="s">
        <v>54</v>
      </c>
      <c r="F557" t="s">
        <v>22</v>
      </c>
      <c r="G557" t="s">
        <v>55</v>
      </c>
      <c r="H557" t="s">
        <v>49</v>
      </c>
      <c r="I557" t="s">
        <v>84</v>
      </c>
      <c r="J557" t="s">
        <v>43</v>
      </c>
      <c r="K557" t="s">
        <v>106</v>
      </c>
      <c r="L557" t="s">
        <v>51</v>
      </c>
      <c r="M557" s="3">
        <v>81600</v>
      </c>
      <c r="N557" s="4">
        <v>0.14199999999999999</v>
      </c>
      <c r="O557" s="4">
        <v>0.2</v>
      </c>
      <c r="P557" t="s">
        <v>38</v>
      </c>
      <c r="R557">
        <v>77</v>
      </c>
      <c r="S557" s="3">
        <v>5837</v>
      </c>
    </row>
    <row r="558" spans="1:19" x14ac:dyDescent="0.2">
      <c r="A558" t="s">
        <v>1048</v>
      </c>
      <c r="B558" s="2">
        <v>45997</v>
      </c>
      <c r="C558" s="2">
        <v>46136</v>
      </c>
      <c r="D558" t="s">
        <v>1049</v>
      </c>
      <c r="E558" t="s">
        <v>33</v>
      </c>
      <c r="F558" t="s">
        <v>48</v>
      </c>
      <c r="G558" t="s">
        <v>23</v>
      </c>
      <c r="H558" t="s">
        <v>64</v>
      </c>
      <c r="I558" t="s">
        <v>99</v>
      </c>
      <c r="J558" t="s">
        <v>26</v>
      </c>
      <c r="K558" t="s">
        <v>58</v>
      </c>
      <c r="L558" t="s">
        <v>28</v>
      </c>
      <c r="M558" s="3">
        <v>6200</v>
      </c>
      <c r="N558" s="4">
        <v>9.6000000000000002E-2</v>
      </c>
      <c r="O558" s="4">
        <v>0.7</v>
      </c>
      <c r="P558" t="s">
        <v>59</v>
      </c>
      <c r="R558">
        <v>139</v>
      </c>
      <c r="S558" s="3">
        <v>467.27</v>
      </c>
    </row>
    <row r="559" spans="1:19" x14ac:dyDescent="0.2">
      <c r="A559" t="s">
        <v>1050</v>
      </c>
      <c r="B559" s="2">
        <v>46277</v>
      </c>
      <c r="C559" s="2">
        <v>46326</v>
      </c>
      <c r="D559" t="s">
        <v>1051</v>
      </c>
      <c r="E559" t="s">
        <v>91</v>
      </c>
      <c r="F559" t="s">
        <v>74</v>
      </c>
      <c r="G559" t="s">
        <v>23</v>
      </c>
      <c r="H559" t="s">
        <v>120</v>
      </c>
      <c r="I559" t="s">
        <v>84</v>
      </c>
      <c r="J559" t="s">
        <v>43</v>
      </c>
      <c r="K559" t="s">
        <v>58</v>
      </c>
      <c r="L559" t="s">
        <v>44</v>
      </c>
      <c r="M559" s="3">
        <v>313400</v>
      </c>
      <c r="N559" s="4">
        <v>0.23</v>
      </c>
      <c r="O559" s="4">
        <v>0.7</v>
      </c>
      <c r="P559" t="s">
        <v>59</v>
      </c>
      <c r="R559">
        <v>49</v>
      </c>
      <c r="S559" s="3">
        <v>20103.55</v>
      </c>
    </row>
    <row r="560" spans="1:19" x14ac:dyDescent="0.2">
      <c r="A560" t="s">
        <v>1052</v>
      </c>
      <c r="B560" s="2">
        <v>45940</v>
      </c>
      <c r="C560" s="2">
        <v>45977</v>
      </c>
      <c r="D560" t="s">
        <v>1053</v>
      </c>
      <c r="E560" t="s">
        <v>91</v>
      </c>
      <c r="F560" t="s">
        <v>22</v>
      </c>
      <c r="G560" t="s">
        <v>34</v>
      </c>
      <c r="H560" t="s">
        <v>83</v>
      </c>
      <c r="I560" t="s">
        <v>84</v>
      </c>
      <c r="J560" t="s">
        <v>36</v>
      </c>
      <c r="K560" t="s">
        <v>78</v>
      </c>
      <c r="L560" t="s">
        <v>28</v>
      </c>
      <c r="M560" s="3">
        <v>55500</v>
      </c>
      <c r="N560" s="4">
        <v>0.1</v>
      </c>
      <c r="O560" s="4">
        <v>0.55000000000000004</v>
      </c>
      <c r="P560" t="s">
        <v>79</v>
      </c>
      <c r="R560">
        <v>37</v>
      </c>
      <c r="S560" s="3">
        <v>4162.6899999999996</v>
      </c>
    </row>
    <row r="561" spans="1:19" x14ac:dyDescent="0.2">
      <c r="A561" t="s">
        <v>1054</v>
      </c>
      <c r="B561" s="2">
        <v>45946</v>
      </c>
      <c r="C561" s="2">
        <v>45972</v>
      </c>
      <c r="D561" t="s">
        <v>796</v>
      </c>
      <c r="E561" t="s">
        <v>54</v>
      </c>
      <c r="F561" t="s">
        <v>22</v>
      </c>
      <c r="G561" t="s">
        <v>92</v>
      </c>
      <c r="H561" t="s">
        <v>49</v>
      </c>
      <c r="I561" t="s">
        <v>99</v>
      </c>
      <c r="J561" t="s">
        <v>36</v>
      </c>
      <c r="K561" t="s">
        <v>88</v>
      </c>
      <c r="L561" t="s">
        <v>28</v>
      </c>
      <c r="M561" s="3">
        <v>96700</v>
      </c>
      <c r="N561" s="4">
        <v>8.8999999999999996E-2</v>
      </c>
      <c r="O561" s="4">
        <v>0.3</v>
      </c>
      <c r="P561" t="s">
        <v>38</v>
      </c>
      <c r="R561">
        <v>26</v>
      </c>
      <c r="S561" s="3">
        <v>7339.8</v>
      </c>
    </row>
    <row r="562" spans="1:19" x14ac:dyDescent="0.2">
      <c r="A562" t="s">
        <v>1055</v>
      </c>
      <c r="B562" s="2">
        <v>46165</v>
      </c>
      <c r="C562" s="2">
        <v>46217</v>
      </c>
      <c r="D562" t="s">
        <v>1056</v>
      </c>
      <c r="E562" t="s">
        <v>21</v>
      </c>
      <c r="F562" t="s">
        <v>22</v>
      </c>
      <c r="G562" t="s">
        <v>23</v>
      </c>
      <c r="H562" t="s">
        <v>77</v>
      </c>
      <c r="I562" t="s">
        <v>25</v>
      </c>
      <c r="J562" t="s">
        <v>43</v>
      </c>
      <c r="K562" t="s">
        <v>88</v>
      </c>
      <c r="L562" t="s">
        <v>44</v>
      </c>
      <c r="M562" s="3">
        <v>27600</v>
      </c>
      <c r="N562" s="4">
        <v>3.5999999999999997E-2</v>
      </c>
      <c r="O562" s="4">
        <v>0.4</v>
      </c>
      <c r="P562" t="s">
        <v>38</v>
      </c>
      <c r="R562">
        <v>52</v>
      </c>
      <c r="S562" s="3">
        <v>2217.16</v>
      </c>
    </row>
    <row r="563" spans="1:19" x14ac:dyDescent="0.2">
      <c r="A563" t="s">
        <v>1057</v>
      </c>
      <c r="B563" s="2">
        <v>46005</v>
      </c>
      <c r="C563" s="2">
        <v>46078</v>
      </c>
      <c r="D563" t="s">
        <v>1058</v>
      </c>
      <c r="E563" t="s">
        <v>54</v>
      </c>
      <c r="F563" t="s">
        <v>48</v>
      </c>
      <c r="G563" t="s">
        <v>63</v>
      </c>
      <c r="H563" t="s">
        <v>137</v>
      </c>
      <c r="I563" t="s">
        <v>99</v>
      </c>
      <c r="J563" t="s">
        <v>36</v>
      </c>
      <c r="K563" t="s">
        <v>50</v>
      </c>
      <c r="L563" t="s">
        <v>44</v>
      </c>
      <c r="M563" s="3">
        <v>9200</v>
      </c>
      <c r="N563" s="4">
        <v>0.127</v>
      </c>
      <c r="O563" s="4">
        <v>0.95</v>
      </c>
      <c r="P563" t="s">
        <v>29</v>
      </c>
      <c r="R563">
        <v>73</v>
      </c>
      <c r="S563" s="3">
        <v>669.45</v>
      </c>
    </row>
    <row r="564" spans="1:19" x14ac:dyDescent="0.2">
      <c r="A564" t="s">
        <v>1059</v>
      </c>
      <c r="B564" s="2">
        <v>46114</v>
      </c>
      <c r="C564" s="2">
        <v>46196</v>
      </c>
      <c r="D564" t="s">
        <v>841</v>
      </c>
      <c r="E564" t="s">
        <v>62</v>
      </c>
      <c r="F564" t="s">
        <v>74</v>
      </c>
      <c r="G564" t="s">
        <v>34</v>
      </c>
      <c r="H564" t="s">
        <v>41</v>
      </c>
      <c r="I564" t="s">
        <v>84</v>
      </c>
      <c r="J564" t="s">
        <v>43</v>
      </c>
      <c r="K564" t="s">
        <v>50</v>
      </c>
      <c r="L564" t="s">
        <v>51</v>
      </c>
      <c r="M564" s="3">
        <v>147900</v>
      </c>
      <c r="N564" s="4">
        <v>9.8000000000000004E-2</v>
      </c>
      <c r="O564" s="4">
        <v>1</v>
      </c>
      <c r="P564" t="s">
        <v>29</v>
      </c>
      <c r="R564">
        <v>82</v>
      </c>
      <c r="S564" s="3">
        <v>11113.06</v>
      </c>
    </row>
    <row r="565" spans="1:19" x14ac:dyDescent="0.2">
      <c r="A565" t="s">
        <v>1060</v>
      </c>
      <c r="B565" s="2">
        <v>46132</v>
      </c>
      <c r="C565" s="2">
        <v>46242</v>
      </c>
      <c r="D565" t="s">
        <v>285</v>
      </c>
      <c r="E565" t="s">
        <v>111</v>
      </c>
      <c r="F565" t="s">
        <v>22</v>
      </c>
      <c r="G565" t="s">
        <v>34</v>
      </c>
      <c r="H565" t="s">
        <v>120</v>
      </c>
      <c r="I565" t="s">
        <v>25</v>
      </c>
      <c r="J565" t="s">
        <v>36</v>
      </c>
      <c r="K565" t="s">
        <v>58</v>
      </c>
      <c r="L565" t="s">
        <v>51</v>
      </c>
      <c r="M565" s="3">
        <v>88900</v>
      </c>
      <c r="N565" s="4">
        <v>0.129</v>
      </c>
      <c r="O565" s="4">
        <v>0.75</v>
      </c>
      <c r="P565" t="s">
        <v>59</v>
      </c>
      <c r="R565">
        <v>110</v>
      </c>
      <c r="S565" s="3">
        <v>6455.71</v>
      </c>
    </row>
    <row r="566" spans="1:19" x14ac:dyDescent="0.2">
      <c r="A566" t="s">
        <v>1061</v>
      </c>
      <c r="B566" s="2">
        <v>46020</v>
      </c>
      <c r="C566" s="2">
        <v>46082</v>
      </c>
      <c r="D566" t="s">
        <v>364</v>
      </c>
      <c r="E566" t="s">
        <v>82</v>
      </c>
      <c r="F566" t="s">
        <v>22</v>
      </c>
      <c r="G566" t="s">
        <v>63</v>
      </c>
      <c r="H566" t="s">
        <v>77</v>
      </c>
      <c r="I566" t="s">
        <v>99</v>
      </c>
      <c r="J566" t="s">
        <v>26</v>
      </c>
      <c r="K566" t="s">
        <v>27</v>
      </c>
      <c r="L566" t="s">
        <v>28</v>
      </c>
      <c r="M566" s="3">
        <v>50700</v>
      </c>
      <c r="N566" s="4">
        <v>9.4E-2</v>
      </c>
      <c r="O566" s="4">
        <v>0</v>
      </c>
      <c r="P566" t="s">
        <v>29</v>
      </c>
      <c r="Q566" t="s">
        <v>30</v>
      </c>
      <c r="R566">
        <v>62</v>
      </c>
      <c r="S566" s="3">
        <v>3828.89</v>
      </c>
    </row>
    <row r="567" spans="1:19" x14ac:dyDescent="0.2">
      <c r="A567" t="s">
        <v>1062</v>
      </c>
      <c r="B567" s="2">
        <v>46058</v>
      </c>
      <c r="C567" s="2">
        <v>46133</v>
      </c>
      <c r="D567" t="s">
        <v>1063</v>
      </c>
      <c r="E567" t="s">
        <v>21</v>
      </c>
      <c r="F567" t="s">
        <v>22</v>
      </c>
      <c r="G567" t="s">
        <v>92</v>
      </c>
      <c r="H567" t="s">
        <v>77</v>
      </c>
      <c r="I567" t="s">
        <v>35</v>
      </c>
      <c r="J567" t="s">
        <v>57</v>
      </c>
      <c r="K567" t="s">
        <v>78</v>
      </c>
      <c r="L567" t="s">
        <v>28</v>
      </c>
      <c r="M567" s="3">
        <v>59900</v>
      </c>
      <c r="N567" s="4">
        <v>0.19500000000000001</v>
      </c>
      <c r="O567" s="4">
        <v>0.55000000000000004</v>
      </c>
      <c r="P567" t="s">
        <v>79</v>
      </c>
      <c r="R567">
        <v>75</v>
      </c>
      <c r="S567" s="3">
        <v>4017.37</v>
      </c>
    </row>
    <row r="568" spans="1:19" x14ac:dyDescent="0.2">
      <c r="A568" t="s">
        <v>1064</v>
      </c>
      <c r="B568" s="2">
        <v>46132</v>
      </c>
      <c r="C568" s="2">
        <v>46197</v>
      </c>
      <c r="D568" t="s">
        <v>90</v>
      </c>
      <c r="E568" t="s">
        <v>62</v>
      </c>
      <c r="F568" t="s">
        <v>74</v>
      </c>
      <c r="G568" t="s">
        <v>55</v>
      </c>
      <c r="H568" t="s">
        <v>95</v>
      </c>
      <c r="I568" t="s">
        <v>99</v>
      </c>
      <c r="J568" t="s">
        <v>85</v>
      </c>
      <c r="K568" t="s">
        <v>37</v>
      </c>
      <c r="L568" t="s">
        <v>28</v>
      </c>
      <c r="M568" s="3">
        <v>344500</v>
      </c>
      <c r="N568" s="4">
        <v>0.14599999999999999</v>
      </c>
      <c r="O568" s="4">
        <v>0.15</v>
      </c>
      <c r="P568" t="s">
        <v>38</v>
      </c>
      <c r="R568">
        <v>65</v>
      </c>
      <c r="S568" s="3">
        <v>24519.05</v>
      </c>
    </row>
    <row r="569" spans="1:19" x14ac:dyDescent="0.2">
      <c r="A569" t="s">
        <v>1065</v>
      </c>
      <c r="B569" s="2">
        <v>46202</v>
      </c>
      <c r="C569" s="2">
        <v>46321</v>
      </c>
      <c r="D569" t="s">
        <v>303</v>
      </c>
      <c r="E569" t="s">
        <v>91</v>
      </c>
      <c r="F569" t="s">
        <v>48</v>
      </c>
      <c r="G569" t="s">
        <v>34</v>
      </c>
      <c r="H569" t="s">
        <v>56</v>
      </c>
      <c r="I569" t="s">
        <v>84</v>
      </c>
      <c r="J569" t="s">
        <v>26</v>
      </c>
      <c r="K569" t="s">
        <v>88</v>
      </c>
      <c r="L569" t="s">
        <v>51</v>
      </c>
      <c r="M569" s="3">
        <v>13300</v>
      </c>
      <c r="N569" s="4">
        <v>0.02</v>
      </c>
      <c r="O569" s="4">
        <v>0.4</v>
      </c>
      <c r="P569" t="s">
        <v>38</v>
      </c>
      <c r="R569">
        <v>119</v>
      </c>
      <c r="S569" s="3">
        <v>1085.8800000000001</v>
      </c>
    </row>
    <row r="570" spans="1:19" x14ac:dyDescent="0.2">
      <c r="A570" t="s">
        <v>1066</v>
      </c>
      <c r="B570" s="2">
        <v>46073</v>
      </c>
      <c r="C570" s="2">
        <v>46095</v>
      </c>
      <c r="D570" t="s">
        <v>1067</v>
      </c>
      <c r="E570" t="s">
        <v>33</v>
      </c>
      <c r="F570" t="s">
        <v>22</v>
      </c>
      <c r="G570" t="s">
        <v>34</v>
      </c>
      <c r="H570" t="s">
        <v>24</v>
      </c>
      <c r="I570" t="s">
        <v>99</v>
      </c>
      <c r="J570" t="s">
        <v>57</v>
      </c>
      <c r="K570" t="s">
        <v>27</v>
      </c>
      <c r="L570" t="s">
        <v>51</v>
      </c>
      <c r="M570" s="3">
        <v>29300</v>
      </c>
      <c r="N570" s="4">
        <v>0.189</v>
      </c>
      <c r="O570" s="4">
        <v>0</v>
      </c>
      <c r="P570" t="s">
        <v>29</v>
      </c>
      <c r="Q570" t="s">
        <v>188</v>
      </c>
      <c r="R570">
        <v>22</v>
      </c>
      <c r="S570" s="3">
        <v>1980.23</v>
      </c>
    </row>
    <row r="571" spans="1:19" x14ac:dyDescent="0.2">
      <c r="A571" t="s">
        <v>1068</v>
      </c>
      <c r="B571" s="2">
        <v>46163</v>
      </c>
      <c r="C571" s="2">
        <v>46316</v>
      </c>
      <c r="D571" t="s">
        <v>1069</v>
      </c>
      <c r="E571" t="s">
        <v>21</v>
      </c>
      <c r="F571" t="s">
        <v>74</v>
      </c>
      <c r="G571" t="s">
        <v>55</v>
      </c>
      <c r="H571" t="s">
        <v>77</v>
      </c>
      <c r="I571" t="s">
        <v>84</v>
      </c>
      <c r="J571" t="s">
        <v>36</v>
      </c>
      <c r="K571" t="s">
        <v>88</v>
      </c>
      <c r="L571" t="s">
        <v>44</v>
      </c>
      <c r="M571" s="3">
        <v>216200</v>
      </c>
      <c r="N571" s="4">
        <v>0.106</v>
      </c>
      <c r="O571" s="4">
        <v>0.35</v>
      </c>
      <c r="P571" t="s">
        <v>38</v>
      </c>
      <c r="R571">
        <v>153</v>
      </c>
      <c r="S571" s="3">
        <v>16101.03</v>
      </c>
    </row>
    <row r="572" spans="1:19" x14ac:dyDescent="0.2">
      <c r="A572" t="s">
        <v>1070</v>
      </c>
      <c r="B572" s="2">
        <v>46131</v>
      </c>
      <c r="C572" s="2">
        <v>46252</v>
      </c>
      <c r="D572" t="s">
        <v>1071</v>
      </c>
      <c r="E572" t="s">
        <v>68</v>
      </c>
      <c r="F572" t="s">
        <v>74</v>
      </c>
      <c r="G572" t="s">
        <v>55</v>
      </c>
      <c r="H572" t="s">
        <v>41</v>
      </c>
      <c r="I572" t="s">
        <v>35</v>
      </c>
      <c r="J572" t="s">
        <v>26</v>
      </c>
      <c r="K572" t="s">
        <v>27</v>
      </c>
      <c r="L572" t="s">
        <v>28</v>
      </c>
      <c r="M572" s="3">
        <v>259000</v>
      </c>
      <c r="N572" s="4">
        <v>8.5000000000000006E-2</v>
      </c>
      <c r="O572" s="4">
        <v>0.05</v>
      </c>
      <c r="P572" t="s">
        <v>29</v>
      </c>
      <c r="Q572" t="s">
        <v>45</v>
      </c>
      <c r="R572">
        <v>121</v>
      </c>
      <c r="S572" s="3">
        <v>19754.82</v>
      </c>
    </row>
    <row r="573" spans="1:19" x14ac:dyDescent="0.2">
      <c r="A573" t="s">
        <v>1072</v>
      </c>
      <c r="B573" s="2">
        <v>45945</v>
      </c>
      <c r="C573" s="2">
        <v>46053</v>
      </c>
      <c r="D573" t="s">
        <v>226</v>
      </c>
      <c r="E573" t="s">
        <v>33</v>
      </c>
      <c r="F573" t="s">
        <v>22</v>
      </c>
      <c r="G573" t="s">
        <v>63</v>
      </c>
      <c r="H573" t="s">
        <v>24</v>
      </c>
      <c r="I573" t="s">
        <v>42</v>
      </c>
      <c r="J573" t="s">
        <v>36</v>
      </c>
      <c r="K573" t="s">
        <v>50</v>
      </c>
      <c r="L573" t="s">
        <v>44</v>
      </c>
      <c r="M573" s="3">
        <v>94200</v>
      </c>
      <c r="N573" s="4">
        <v>0.20399999999999999</v>
      </c>
      <c r="O573" s="4">
        <v>0.95</v>
      </c>
      <c r="P573" t="s">
        <v>29</v>
      </c>
      <c r="R573">
        <v>108</v>
      </c>
      <c r="S573" s="3">
        <v>6245.14</v>
      </c>
    </row>
    <row r="574" spans="1:19" x14ac:dyDescent="0.2">
      <c r="A574" t="s">
        <v>1073</v>
      </c>
      <c r="B574" s="2">
        <v>46016</v>
      </c>
      <c r="C574" s="2">
        <v>46123</v>
      </c>
      <c r="D574" t="s">
        <v>610</v>
      </c>
      <c r="E574" t="s">
        <v>111</v>
      </c>
      <c r="F574" t="s">
        <v>48</v>
      </c>
      <c r="G574" t="s">
        <v>63</v>
      </c>
      <c r="H574" t="s">
        <v>98</v>
      </c>
      <c r="I574" t="s">
        <v>35</v>
      </c>
      <c r="J574" t="s">
        <v>85</v>
      </c>
      <c r="K574" t="s">
        <v>88</v>
      </c>
      <c r="L574" t="s">
        <v>51</v>
      </c>
      <c r="M574" s="3">
        <v>16600</v>
      </c>
      <c r="N574" s="4">
        <v>0.113</v>
      </c>
      <c r="O574" s="4">
        <v>0.4</v>
      </c>
      <c r="P574" t="s">
        <v>38</v>
      </c>
      <c r="R574">
        <v>107</v>
      </c>
      <c r="S574" s="3">
        <v>1227.0999999999999</v>
      </c>
    </row>
    <row r="575" spans="1:19" x14ac:dyDescent="0.2">
      <c r="A575" t="s">
        <v>1074</v>
      </c>
      <c r="B575" s="2">
        <v>46005</v>
      </c>
      <c r="C575" s="2">
        <v>46142</v>
      </c>
      <c r="D575" t="s">
        <v>686</v>
      </c>
      <c r="E575" t="s">
        <v>33</v>
      </c>
      <c r="F575" t="s">
        <v>22</v>
      </c>
      <c r="G575" t="s">
        <v>63</v>
      </c>
      <c r="H575" t="s">
        <v>137</v>
      </c>
      <c r="I575" t="s">
        <v>65</v>
      </c>
      <c r="J575" t="s">
        <v>85</v>
      </c>
      <c r="K575" t="s">
        <v>50</v>
      </c>
      <c r="L575" t="s">
        <v>44</v>
      </c>
      <c r="M575" s="3">
        <v>91000</v>
      </c>
      <c r="N575" s="4">
        <v>0.20899999999999999</v>
      </c>
      <c r="O575" s="4">
        <v>1</v>
      </c>
      <c r="P575" t="s">
        <v>29</v>
      </c>
      <c r="R575">
        <v>137</v>
      </c>
      <c r="S575" s="3">
        <v>5997.26</v>
      </c>
    </row>
    <row r="576" spans="1:19" x14ac:dyDescent="0.2">
      <c r="A576" t="s">
        <v>1075</v>
      </c>
      <c r="B576" s="2">
        <v>46178</v>
      </c>
      <c r="C576" s="2">
        <v>46211</v>
      </c>
      <c r="D576" t="s">
        <v>165</v>
      </c>
      <c r="E576" t="s">
        <v>68</v>
      </c>
      <c r="F576" t="s">
        <v>22</v>
      </c>
      <c r="G576" t="s">
        <v>55</v>
      </c>
      <c r="H576" t="s">
        <v>41</v>
      </c>
      <c r="I576" t="s">
        <v>65</v>
      </c>
      <c r="J576" t="s">
        <v>85</v>
      </c>
      <c r="K576" t="s">
        <v>50</v>
      </c>
      <c r="L576" t="s">
        <v>28</v>
      </c>
      <c r="M576" s="3">
        <v>97000</v>
      </c>
      <c r="N576" s="4">
        <v>0.16500000000000001</v>
      </c>
      <c r="O576" s="4">
        <v>1</v>
      </c>
      <c r="P576" t="s">
        <v>29</v>
      </c>
      <c r="R576">
        <v>33</v>
      </c>
      <c r="S576" s="3">
        <v>6751.48</v>
      </c>
    </row>
    <row r="577" spans="1:19" x14ac:dyDescent="0.2">
      <c r="A577" t="s">
        <v>1076</v>
      </c>
      <c r="B577" s="2">
        <v>46045</v>
      </c>
      <c r="C577" s="2">
        <v>46131</v>
      </c>
      <c r="D577" t="s">
        <v>161</v>
      </c>
      <c r="E577" t="s">
        <v>91</v>
      </c>
      <c r="F577" t="s">
        <v>22</v>
      </c>
      <c r="G577" t="s">
        <v>92</v>
      </c>
      <c r="H577" t="s">
        <v>95</v>
      </c>
      <c r="I577" t="s">
        <v>25</v>
      </c>
      <c r="J577" t="s">
        <v>26</v>
      </c>
      <c r="K577" t="s">
        <v>37</v>
      </c>
      <c r="L577" t="s">
        <v>28</v>
      </c>
      <c r="M577" s="3">
        <v>79900</v>
      </c>
      <c r="N577" s="4">
        <v>9.1999999999999998E-2</v>
      </c>
      <c r="O577" s="4">
        <v>0.1</v>
      </c>
      <c r="P577" t="s">
        <v>38</v>
      </c>
      <c r="R577">
        <v>86</v>
      </c>
      <c r="S577" s="3">
        <v>6044.08</v>
      </c>
    </row>
    <row r="578" spans="1:19" x14ac:dyDescent="0.2">
      <c r="A578" t="s">
        <v>1077</v>
      </c>
      <c r="B578" s="2">
        <v>46184</v>
      </c>
      <c r="C578" s="2">
        <v>46211</v>
      </c>
      <c r="D578" t="s">
        <v>1078</v>
      </c>
      <c r="E578" t="s">
        <v>54</v>
      </c>
      <c r="F578" t="s">
        <v>22</v>
      </c>
      <c r="G578" t="s">
        <v>23</v>
      </c>
      <c r="H578" t="s">
        <v>120</v>
      </c>
      <c r="I578" t="s">
        <v>65</v>
      </c>
      <c r="J578" t="s">
        <v>43</v>
      </c>
      <c r="K578" t="s">
        <v>106</v>
      </c>
      <c r="L578" t="s">
        <v>44</v>
      </c>
      <c r="M578" s="3">
        <v>54900</v>
      </c>
      <c r="N578" s="4">
        <v>0.185</v>
      </c>
      <c r="O578" s="4">
        <v>0.15</v>
      </c>
      <c r="P578" t="s">
        <v>38</v>
      </c>
      <c r="R578">
        <v>27</v>
      </c>
      <c r="S578" s="3">
        <v>3730.49</v>
      </c>
    </row>
    <row r="579" spans="1:19" x14ac:dyDescent="0.2">
      <c r="A579" t="s">
        <v>1079</v>
      </c>
      <c r="B579" s="2">
        <v>46213</v>
      </c>
      <c r="C579" s="2">
        <v>46298</v>
      </c>
      <c r="D579" t="s">
        <v>752</v>
      </c>
      <c r="E579" t="s">
        <v>91</v>
      </c>
      <c r="F579" t="s">
        <v>48</v>
      </c>
      <c r="G579" t="s">
        <v>63</v>
      </c>
      <c r="H579" t="s">
        <v>120</v>
      </c>
      <c r="I579" t="s">
        <v>42</v>
      </c>
      <c r="J579" t="s">
        <v>85</v>
      </c>
      <c r="K579" t="s">
        <v>58</v>
      </c>
      <c r="L579" t="s">
        <v>51</v>
      </c>
      <c r="M579" s="3">
        <v>13100</v>
      </c>
      <c r="N579" s="4">
        <v>9.9000000000000005E-2</v>
      </c>
      <c r="O579" s="4">
        <v>0.7</v>
      </c>
      <c r="P579" t="s">
        <v>59</v>
      </c>
      <c r="R579">
        <v>85</v>
      </c>
      <c r="S579" s="3">
        <v>983.44</v>
      </c>
    </row>
    <row r="580" spans="1:19" x14ac:dyDescent="0.2">
      <c r="A580" t="s">
        <v>1080</v>
      </c>
      <c r="B580" s="2">
        <v>46264</v>
      </c>
      <c r="C580" s="2">
        <v>46293</v>
      </c>
      <c r="D580" t="s">
        <v>1081</v>
      </c>
      <c r="E580" t="s">
        <v>82</v>
      </c>
      <c r="F580" t="s">
        <v>48</v>
      </c>
      <c r="G580" t="s">
        <v>55</v>
      </c>
      <c r="H580" t="s">
        <v>41</v>
      </c>
      <c r="I580" t="s">
        <v>42</v>
      </c>
      <c r="J580" t="s">
        <v>26</v>
      </c>
      <c r="K580" t="s">
        <v>88</v>
      </c>
      <c r="L580" t="s">
        <v>44</v>
      </c>
      <c r="M580" s="3">
        <v>20700</v>
      </c>
      <c r="N580" s="4">
        <v>0.10299999999999999</v>
      </c>
      <c r="O580" s="4">
        <v>0.35</v>
      </c>
      <c r="P580" t="s">
        <v>38</v>
      </c>
      <c r="R580">
        <v>29</v>
      </c>
      <c r="S580" s="3">
        <v>1547.86</v>
      </c>
    </row>
    <row r="581" spans="1:19" x14ac:dyDescent="0.2">
      <c r="A581" t="s">
        <v>1082</v>
      </c>
      <c r="B581" s="2">
        <v>45997</v>
      </c>
      <c r="C581" s="2">
        <v>46080</v>
      </c>
      <c r="D581" t="s">
        <v>706</v>
      </c>
      <c r="E581" t="s">
        <v>54</v>
      </c>
      <c r="F581" t="s">
        <v>22</v>
      </c>
      <c r="G581" t="s">
        <v>34</v>
      </c>
      <c r="H581" t="s">
        <v>64</v>
      </c>
      <c r="I581" t="s">
        <v>35</v>
      </c>
      <c r="J581" t="s">
        <v>36</v>
      </c>
      <c r="K581" t="s">
        <v>58</v>
      </c>
      <c r="L581" t="s">
        <v>28</v>
      </c>
      <c r="M581" s="3">
        <v>30200</v>
      </c>
      <c r="N581" s="4">
        <v>0.152</v>
      </c>
      <c r="O581" s="4">
        <v>0.8</v>
      </c>
      <c r="P581" t="s">
        <v>59</v>
      </c>
      <c r="R581">
        <v>83</v>
      </c>
      <c r="S581" s="3">
        <v>2133.87</v>
      </c>
    </row>
    <row r="582" spans="1:19" x14ac:dyDescent="0.2">
      <c r="A582" t="s">
        <v>1083</v>
      </c>
      <c r="B582" s="2">
        <v>46061</v>
      </c>
      <c r="C582" s="2">
        <v>46209</v>
      </c>
      <c r="D582" t="s">
        <v>1084</v>
      </c>
      <c r="E582" t="s">
        <v>111</v>
      </c>
      <c r="F582" t="s">
        <v>22</v>
      </c>
      <c r="G582" t="s">
        <v>63</v>
      </c>
      <c r="H582" t="s">
        <v>69</v>
      </c>
      <c r="I582" t="s">
        <v>35</v>
      </c>
      <c r="J582" t="s">
        <v>36</v>
      </c>
      <c r="K582" t="s">
        <v>88</v>
      </c>
      <c r="L582" t="s">
        <v>28</v>
      </c>
      <c r="M582" s="3">
        <v>66300</v>
      </c>
      <c r="N582" s="4">
        <v>7.6999999999999999E-2</v>
      </c>
      <c r="O582" s="4">
        <v>0.4</v>
      </c>
      <c r="P582" t="s">
        <v>38</v>
      </c>
      <c r="R582">
        <v>148</v>
      </c>
      <c r="S582" s="3">
        <v>5098.96</v>
      </c>
    </row>
    <row r="583" spans="1:19" x14ac:dyDescent="0.2">
      <c r="A583" t="s">
        <v>1085</v>
      </c>
      <c r="B583" s="2">
        <v>46221</v>
      </c>
      <c r="C583" s="2">
        <v>46277</v>
      </c>
      <c r="D583" t="s">
        <v>177</v>
      </c>
      <c r="E583" t="s">
        <v>62</v>
      </c>
      <c r="F583" t="s">
        <v>48</v>
      </c>
      <c r="G583" t="s">
        <v>34</v>
      </c>
      <c r="H583" t="s">
        <v>56</v>
      </c>
      <c r="I583" t="s">
        <v>65</v>
      </c>
      <c r="J583" t="s">
        <v>85</v>
      </c>
      <c r="K583" t="s">
        <v>50</v>
      </c>
      <c r="L583" t="s">
        <v>44</v>
      </c>
      <c r="M583" s="3">
        <v>8800</v>
      </c>
      <c r="N583" s="4">
        <v>0.20300000000000001</v>
      </c>
      <c r="O583" s="4">
        <v>1</v>
      </c>
      <c r="P583" t="s">
        <v>29</v>
      </c>
      <c r="R583">
        <v>56</v>
      </c>
      <c r="S583" s="3">
        <v>584.6</v>
      </c>
    </row>
    <row r="584" spans="1:19" x14ac:dyDescent="0.2">
      <c r="A584" t="s">
        <v>1086</v>
      </c>
      <c r="B584" s="2">
        <v>46097</v>
      </c>
      <c r="C584" s="2">
        <v>46231</v>
      </c>
      <c r="D584" t="s">
        <v>185</v>
      </c>
      <c r="E584" t="s">
        <v>62</v>
      </c>
      <c r="F584" t="s">
        <v>48</v>
      </c>
      <c r="G584" t="s">
        <v>23</v>
      </c>
      <c r="H584" t="s">
        <v>49</v>
      </c>
      <c r="I584" t="s">
        <v>65</v>
      </c>
      <c r="J584" t="s">
        <v>36</v>
      </c>
      <c r="K584" t="s">
        <v>50</v>
      </c>
      <c r="L584" t="s">
        <v>44</v>
      </c>
      <c r="M584" s="3">
        <v>23000</v>
      </c>
      <c r="N584" s="4">
        <v>0.184</v>
      </c>
      <c r="O584" s="4">
        <v>1</v>
      </c>
      <c r="P584" t="s">
        <v>29</v>
      </c>
      <c r="R584">
        <v>134</v>
      </c>
      <c r="S584" s="3">
        <v>1563.92</v>
      </c>
    </row>
    <row r="585" spans="1:19" x14ac:dyDescent="0.2">
      <c r="A585" t="s">
        <v>1087</v>
      </c>
      <c r="B585" s="2">
        <v>46217</v>
      </c>
      <c r="C585" s="2">
        <v>46297</v>
      </c>
      <c r="D585" t="s">
        <v>1088</v>
      </c>
      <c r="E585" t="s">
        <v>111</v>
      </c>
      <c r="F585" t="s">
        <v>74</v>
      </c>
      <c r="G585" t="s">
        <v>34</v>
      </c>
      <c r="H585" t="s">
        <v>83</v>
      </c>
      <c r="I585" t="s">
        <v>84</v>
      </c>
      <c r="J585" t="s">
        <v>85</v>
      </c>
      <c r="K585" t="s">
        <v>88</v>
      </c>
      <c r="L585" t="s">
        <v>28</v>
      </c>
      <c r="M585" s="3">
        <v>308500</v>
      </c>
      <c r="N585" s="4">
        <v>0.104</v>
      </c>
      <c r="O585" s="4">
        <v>0.35</v>
      </c>
      <c r="P585" t="s">
        <v>38</v>
      </c>
      <c r="R585">
        <v>80</v>
      </c>
      <c r="S585" s="3">
        <v>23030.29</v>
      </c>
    </row>
    <row r="586" spans="1:19" x14ac:dyDescent="0.2">
      <c r="A586" t="s">
        <v>1089</v>
      </c>
      <c r="B586" s="2">
        <v>46145</v>
      </c>
      <c r="C586" s="2">
        <v>46327</v>
      </c>
      <c r="D586" t="s">
        <v>1090</v>
      </c>
      <c r="E586" t="s">
        <v>91</v>
      </c>
      <c r="F586" t="s">
        <v>74</v>
      </c>
      <c r="G586" t="s">
        <v>34</v>
      </c>
      <c r="H586" t="s">
        <v>120</v>
      </c>
      <c r="I586" t="s">
        <v>25</v>
      </c>
      <c r="J586" t="s">
        <v>26</v>
      </c>
      <c r="K586" t="s">
        <v>88</v>
      </c>
      <c r="L586" t="s">
        <v>28</v>
      </c>
      <c r="M586" s="3">
        <v>160800</v>
      </c>
      <c r="N586" s="4">
        <v>8.5000000000000006E-2</v>
      </c>
      <c r="O586" s="4">
        <v>0.35</v>
      </c>
      <c r="P586" t="s">
        <v>38</v>
      </c>
      <c r="R586">
        <v>182</v>
      </c>
      <c r="S586" s="3">
        <v>12261.09</v>
      </c>
    </row>
    <row r="587" spans="1:19" x14ac:dyDescent="0.2">
      <c r="A587" t="s">
        <v>1091</v>
      </c>
      <c r="B587" s="2">
        <v>46123</v>
      </c>
      <c r="C587" s="2">
        <v>46177</v>
      </c>
      <c r="D587" t="s">
        <v>1092</v>
      </c>
      <c r="E587" t="s">
        <v>91</v>
      </c>
      <c r="F587" t="s">
        <v>48</v>
      </c>
      <c r="G587" t="s">
        <v>23</v>
      </c>
      <c r="H587" t="s">
        <v>49</v>
      </c>
      <c r="I587" t="s">
        <v>99</v>
      </c>
      <c r="J587" t="s">
        <v>36</v>
      </c>
      <c r="K587" t="s">
        <v>88</v>
      </c>
      <c r="L587" t="s">
        <v>51</v>
      </c>
      <c r="M587" s="3">
        <v>6200</v>
      </c>
      <c r="N587" s="4">
        <v>0.08</v>
      </c>
      <c r="O587" s="4">
        <v>0.35</v>
      </c>
      <c r="P587" t="s">
        <v>38</v>
      </c>
      <c r="R587">
        <v>54</v>
      </c>
      <c r="S587" s="3">
        <v>475.28</v>
      </c>
    </row>
    <row r="588" spans="1:19" x14ac:dyDescent="0.2">
      <c r="A588" t="s">
        <v>1093</v>
      </c>
      <c r="B588" s="2">
        <v>46199</v>
      </c>
      <c r="C588" s="2">
        <v>46237</v>
      </c>
      <c r="D588" t="s">
        <v>1094</v>
      </c>
      <c r="E588" t="s">
        <v>54</v>
      </c>
      <c r="F588" t="s">
        <v>22</v>
      </c>
      <c r="G588" t="s">
        <v>63</v>
      </c>
      <c r="H588" t="s">
        <v>56</v>
      </c>
      <c r="I588" t="s">
        <v>35</v>
      </c>
      <c r="J588" t="s">
        <v>43</v>
      </c>
      <c r="K588" t="s">
        <v>88</v>
      </c>
      <c r="L588" t="s">
        <v>44</v>
      </c>
      <c r="M588" s="3">
        <v>77700</v>
      </c>
      <c r="N588" s="4">
        <v>0.14799999999999999</v>
      </c>
      <c r="O588" s="4">
        <v>0.4</v>
      </c>
      <c r="P588" t="s">
        <v>38</v>
      </c>
      <c r="R588">
        <v>38</v>
      </c>
      <c r="S588" s="3">
        <v>5514.43</v>
      </c>
    </row>
    <row r="589" spans="1:19" x14ac:dyDescent="0.2">
      <c r="A589" t="s">
        <v>1095</v>
      </c>
      <c r="B589" s="2">
        <v>46105</v>
      </c>
      <c r="C589" s="2">
        <v>46189</v>
      </c>
      <c r="D589" t="s">
        <v>1096</v>
      </c>
      <c r="E589" t="s">
        <v>54</v>
      </c>
      <c r="F589" t="s">
        <v>22</v>
      </c>
      <c r="G589" t="s">
        <v>92</v>
      </c>
      <c r="H589" t="s">
        <v>24</v>
      </c>
      <c r="I589" t="s">
        <v>99</v>
      </c>
      <c r="J589" t="s">
        <v>26</v>
      </c>
      <c r="K589" t="s">
        <v>50</v>
      </c>
      <c r="L589" t="s">
        <v>51</v>
      </c>
      <c r="M589" s="3">
        <v>53500</v>
      </c>
      <c r="N589" s="4">
        <v>0.13900000000000001</v>
      </c>
      <c r="O589" s="4">
        <v>0.95</v>
      </c>
      <c r="P589" t="s">
        <v>29</v>
      </c>
      <c r="R589">
        <v>84</v>
      </c>
      <c r="S589" s="3">
        <v>3838.05</v>
      </c>
    </row>
    <row r="590" spans="1:19" x14ac:dyDescent="0.2">
      <c r="A590" t="s">
        <v>1097</v>
      </c>
      <c r="B590" s="2">
        <v>46221</v>
      </c>
      <c r="C590" s="2">
        <v>46277</v>
      </c>
      <c r="D590" t="s">
        <v>1098</v>
      </c>
      <c r="E590" t="s">
        <v>54</v>
      </c>
      <c r="F590" t="s">
        <v>48</v>
      </c>
      <c r="G590" t="s">
        <v>92</v>
      </c>
      <c r="H590" t="s">
        <v>56</v>
      </c>
      <c r="I590" t="s">
        <v>42</v>
      </c>
      <c r="J590" t="s">
        <v>43</v>
      </c>
      <c r="K590" t="s">
        <v>27</v>
      </c>
      <c r="L590" t="s">
        <v>28</v>
      </c>
      <c r="M590" s="3">
        <v>12100</v>
      </c>
      <c r="N590" s="4">
        <v>0.16900000000000001</v>
      </c>
      <c r="O590" s="4">
        <v>0</v>
      </c>
      <c r="P590" t="s">
        <v>29</v>
      </c>
      <c r="Q590" t="s">
        <v>152</v>
      </c>
      <c r="R590">
        <v>56</v>
      </c>
      <c r="S590" s="3">
        <v>837.79</v>
      </c>
    </row>
    <row r="591" spans="1:19" x14ac:dyDescent="0.2">
      <c r="A591" t="s">
        <v>1099</v>
      </c>
      <c r="B591" s="2">
        <v>46219</v>
      </c>
      <c r="C591" s="2">
        <v>46317</v>
      </c>
      <c r="D591" t="s">
        <v>866</v>
      </c>
      <c r="E591" t="s">
        <v>68</v>
      </c>
      <c r="F591" t="s">
        <v>48</v>
      </c>
      <c r="G591" t="s">
        <v>55</v>
      </c>
      <c r="H591" t="s">
        <v>41</v>
      </c>
      <c r="I591" t="s">
        <v>42</v>
      </c>
      <c r="J591" t="s">
        <v>85</v>
      </c>
      <c r="K591" t="s">
        <v>88</v>
      </c>
      <c r="L591" t="s">
        <v>44</v>
      </c>
      <c r="M591" s="3">
        <v>19600</v>
      </c>
      <c r="N591" s="4">
        <v>0.108</v>
      </c>
      <c r="O591" s="4">
        <v>0.35</v>
      </c>
      <c r="P591" t="s">
        <v>38</v>
      </c>
      <c r="R591">
        <v>98</v>
      </c>
      <c r="S591" s="3">
        <v>1456.82</v>
      </c>
    </row>
    <row r="592" spans="1:19" x14ac:dyDescent="0.2">
      <c r="A592" t="s">
        <v>1100</v>
      </c>
      <c r="B592" s="2">
        <v>46202</v>
      </c>
      <c r="C592" s="2">
        <v>46287</v>
      </c>
      <c r="D592" t="s">
        <v>537</v>
      </c>
      <c r="E592" t="s">
        <v>54</v>
      </c>
      <c r="F592" t="s">
        <v>48</v>
      </c>
      <c r="G592" t="s">
        <v>23</v>
      </c>
      <c r="H592" t="s">
        <v>95</v>
      </c>
      <c r="I592" t="s">
        <v>25</v>
      </c>
      <c r="J592" t="s">
        <v>57</v>
      </c>
      <c r="K592" t="s">
        <v>88</v>
      </c>
      <c r="L592" t="s">
        <v>28</v>
      </c>
      <c r="M592" s="3">
        <v>15300</v>
      </c>
      <c r="N592" s="4">
        <v>0.104</v>
      </c>
      <c r="O592" s="4">
        <v>0.35</v>
      </c>
      <c r="P592" t="s">
        <v>38</v>
      </c>
      <c r="R592">
        <v>85</v>
      </c>
      <c r="S592" s="3">
        <v>1141.9100000000001</v>
      </c>
    </row>
    <row r="593" spans="1:19" x14ac:dyDescent="0.2">
      <c r="A593" t="s">
        <v>1101</v>
      </c>
      <c r="B593" s="2">
        <v>46171</v>
      </c>
      <c r="C593" s="2">
        <v>46261</v>
      </c>
      <c r="D593" t="s">
        <v>1102</v>
      </c>
      <c r="E593" t="s">
        <v>33</v>
      </c>
      <c r="F593" t="s">
        <v>48</v>
      </c>
      <c r="G593" t="s">
        <v>34</v>
      </c>
      <c r="H593" t="s">
        <v>120</v>
      </c>
      <c r="I593" t="s">
        <v>35</v>
      </c>
      <c r="J593" t="s">
        <v>57</v>
      </c>
      <c r="K593" t="s">
        <v>88</v>
      </c>
      <c r="L593" t="s">
        <v>28</v>
      </c>
      <c r="M593" s="3">
        <v>27200</v>
      </c>
      <c r="N593" s="4">
        <v>8.5999999999999993E-2</v>
      </c>
      <c r="O593" s="4">
        <v>0.4</v>
      </c>
      <c r="P593" t="s">
        <v>38</v>
      </c>
      <c r="R593">
        <v>90</v>
      </c>
      <c r="S593" s="3">
        <v>2071.1799999999998</v>
      </c>
    </row>
    <row r="594" spans="1:19" x14ac:dyDescent="0.2">
      <c r="A594" t="s">
        <v>1103</v>
      </c>
      <c r="B594" s="2">
        <v>45933</v>
      </c>
      <c r="C594" s="2">
        <v>46057</v>
      </c>
      <c r="D594" t="s">
        <v>702</v>
      </c>
      <c r="E594" t="s">
        <v>68</v>
      </c>
      <c r="F594" t="s">
        <v>22</v>
      </c>
      <c r="G594" t="s">
        <v>55</v>
      </c>
      <c r="H594" t="s">
        <v>41</v>
      </c>
      <c r="I594" t="s">
        <v>84</v>
      </c>
      <c r="J594" t="s">
        <v>57</v>
      </c>
      <c r="K594" t="s">
        <v>78</v>
      </c>
      <c r="L594" t="s">
        <v>28</v>
      </c>
      <c r="M594" s="3">
        <v>51100</v>
      </c>
      <c r="N594" s="4">
        <v>0.23499999999999999</v>
      </c>
      <c r="O594" s="4">
        <v>0.55000000000000004</v>
      </c>
      <c r="P594" t="s">
        <v>79</v>
      </c>
      <c r="R594">
        <v>124</v>
      </c>
      <c r="S594" s="3">
        <v>3259.18</v>
      </c>
    </row>
    <row r="595" spans="1:19" x14ac:dyDescent="0.2">
      <c r="A595" t="s">
        <v>1104</v>
      </c>
      <c r="B595" s="2">
        <v>46073</v>
      </c>
      <c r="C595" s="2">
        <v>46214</v>
      </c>
      <c r="D595" t="s">
        <v>1105</v>
      </c>
      <c r="E595" t="s">
        <v>91</v>
      </c>
      <c r="F595" t="s">
        <v>22</v>
      </c>
      <c r="G595" t="s">
        <v>55</v>
      </c>
      <c r="H595" t="s">
        <v>49</v>
      </c>
      <c r="I595" t="s">
        <v>42</v>
      </c>
      <c r="J595" t="s">
        <v>26</v>
      </c>
      <c r="K595" t="s">
        <v>37</v>
      </c>
      <c r="L595" t="s">
        <v>44</v>
      </c>
      <c r="M595" s="3">
        <v>88900</v>
      </c>
      <c r="N595" s="4">
        <v>8.5000000000000006E-2</v>
      </c>
      <c r="O595" s="4">
        <v>0.1</v>
      </c>
      <c r="P595" t="s">
        <v>38</v>
      </c>
      <c r="R595">
        <v>141</v>
      </c>
      <c r="S595" s="3">
        <v>6780.28</v>
      </c>
    </row>
    <row r="596" spans="1:19" x14ac:dyDescent="0.2">
      <c r="A596" t="s">
        <v>1106</v>
      </c>
      <c r="B596" s="2">
        <v>46189</v>
      </c>
      <c r="C596" s="2">
        <v>46239</v>
      </c>
      <c r="D596" t="s">
        <v>173</v>
      </c>
      <c r="E596" t="s">
        <v>91</v>
      </c>
      <c r="F596" t="s">
        <v>74</v>
      </c>
      <c r="G596" t="s">
        <v>23</v>
      </c>
      <c r="H596" t="s">
        <v>49</v>
      </c>
      <c r="I596" t="s">
        <v>99</v>
      </c>
      <c r="J596" t="s">
        <v>85</v>
      </c>
      <c r="K596" t="s">
        <v>78</v>
      </c>
      <c r="L596" t="s">
        <v>28</v>
      </c>
      <c r="M596" s="3">
        <v>87100</v>
      </c>
      <c r="N596" s="4">
        <v>0.17899999999999999</v>
      </c>
      <c r="O596" s="4">
        <v>0.6</v>
      </c>
      <c r="P596" t="s">
        <v>79</v>
      </c>
      <c r="R596">
        <v>50</v>
      </c>
      <c r="S596" s="3">
        <v>5957.77</v>
      </c>
    </row>
    <row r="597" spans="1:19" x14ac:dyDescent="0.2">
      <c r="A597" t="s">
        <v>1107</v>
      </c>
      <c r="B597" s="2">
        <v>45999</v>
      </c>
      <c r="C597" s="2">
        <v>46050</v>
      </c>
      <c r="D597" t="s">
        <v>999</v>
      </c>
      <c r="E597" t="s">
        <v>68</v>
      </c>
      <c r="F597" t="s">
        <v>48</v>
      </c>
      <c r="G597" t="s">
        <v>34</v>
      </c>
      <c r="H597" t="s">
        <v>77</v>
      </c>
      <c r="I597" t="s">
        <v>99</v>
      </c>
      <c r="J597" t="s">
        <v>36</v>
      </c>
      <c r="K597" t="s">
        <v>50</v>
      </c>
      <c r="L597" t="s">
        <v>44</v>
      </c>
      <c r="M597" s="3">
        <v>17200</v>
      </c>
      <c r="N597" s="4">
        <v>0.14499999999999999</v>
      </c>
      <c r="O597" s="4">
        <v>1</v>
      </c>
      <c r="P597" t="s">
        <v>29</v>
      </c>
      <c r="R597">
        <v>51</v>
      </c>
      <c r="S597" s="3">
        <v>1225.8900000000001</v>
      </c>
    </row>
    <row r="598" spans="1:19" x14ac:dyDescent="0.2">
      <c r="A598" t="s">
        <v>1108</v>
      </c>
      <c r="B598" s="2">
        <v>46016</v>
      </c>
      <c r="C598" s="2">
        <v>46150</v>
      </c>
      <c r="D598" t="s">
        <v>1109</v>
      </c>
      <c r="E598" t="s">
        <v>21</v>
      </c>
      <c r="F598" t="s">
        <v>48</v>
      </c>
      <c r="G598" t="s">
        <v>55</v>
      </c>
      <c r="H598" t="s">
        <v>56</v>
      </c>
      <c r="I598" t="s">
        <v>65</v>
      </c>
      <c r="J598" t="s">
        <v>43</v>
      </c>
      <c r="K598" t="s">
        <v>37</v>
      </c>
      <c r="L598" t="s">
        <v>28</v>
      </c>
      <c r="M598" s="3">
        <v>14400</v>
      </c>
      <c r="N598" s="4">
        <v>0.185</v>
      </c>
      <c r="O598" s="4">
        <v>0.1</v>
      </c>
      <c r="P598" t="s">
        <v>38</v>
      </c>
      <c r="R598">
        <v>134</v>
      </c>
      <c r="S598" s="3">
        <v>977.94</v>
      </c>
    </row>
    <row r="599" spans="1:19" x14ac:dyDescent="0.2">
      <c r="A599" t="s">
        <v>1110</v>
      </c>
      <c r="B599" s="2">
        <v>46157</v>
      </c>
      <c r="C599" s="2">
        <v>46228</v>
      </c>
      <c r="D599" t="s">
        <v>596</v>
      </c>
      <c r="E599" t="s">
        <v>54</v>
      </c>
      <c r="F599" t="s">
        <v>22</v>
      </c>
      <c r="G599" t="s">
        <v>55</v>
      </c>
      <c r="H599" t="s">
        <v>98</v>
      </c>
      <c r="I599" t="s">
        <v>25</v>
      </c>
      <c r="J599" t="s">
        <v>57</v>
      </c>
      <c r="K599" t="s">
        <v>88</v>
      </c>
      <c r="L599" t="s">
        <v>28</v>
      </c>
      <c r="M599" s="3">
        <v>71700</v>
      </c>
      <c r="N599" s="4">
        <v>0.1</v>
      </c>
      <c r="O599" s="4">
        <v>0.4</v>
      </c>
      <c r="P599" t="s">
        <v>38</v>
      </c>
      <c r="R599">
        <v>71</v>
      </c>
      <c r="S599" s="3">
        <v>5378.72</v>
      </c>
    </row>
    <row r="600" spans="1:19" x14ac:dyDescent="0.2">
      <c r="A600" t="s">
        <v>1111</v>
      </c>
      <c r="B600" s="2">
        <v>45978</v>
      </c>
      <c r="C600" s="2">
        <v>46047</v>
      </c>
      <c r="D600" t="s">
        <v>1112</v>
      </c>
      <c r="E600" t="s">
        <v>54</v>
      </c>
      <c r="F600" t="s">
        <v>22</v>
      </c>
      <c r="G600" t="s">
        <v>63</v>
      </c>
      <c r="H600" t="s">
        <v>83</v>
      </c>
      <c r="I600" t="s">
        <v>99</v>
      </c>
      <c r="J600" t="s">
        <v>57</v>
      </c>
      <c r="K600" t="s">
        <v>88</v>
      </c>
      <c r="L600" t="s">
        <v>51</v>
      </c>
      <c r="M600" s="3">
        <v>43700</v>
      </c>
      <c r="N600" s="4">
        <v>0.123</v>
      </c>
      <c r="O600" s="4">
        <v>0.35</v>
      </c>
      <c r="P600" t="s">
        <v>38</v>
      </c>
      <c r="R600">
        <v>69</v>
      </c>
      <c r="S600" s="3">
        <v>3191.94</v>
      </c>
    </row>
    <row r="601" spans="1:19" x14ac:dyDescent="0.2">
      <c r="A601" t="s">
        <v>1113</v>
      </c>
      <c r="B601" s="2">
        <v>46034</v>
      </c>
      <c r="C601" s="2">
        <v>46134</v>
      </c>
      <c r="D601" t="s">
        <v>736</v>
      </c>
      <c r="E601" t="s">
        <v>91</v>
      </c>
      <c r="F601" t="s">
        <v>22</v>
      </c>
      <c r="G601" t="s">
        <v>63</v>
      </c>
      <c r="H601" t="s">
        <v>137</v>
      </c>
      <c r="I601" t="s">
        <v>42</v>
      </c>
      <c r="J601" t="s">
        <v>36</v>
      </c>
      <c r="K601" t="s">
        <v>78</v>
      </c>
      <c r="L601" t="s">
        <v>28</v>
      </c>
      <c r="M601" s="3">
        <v>61600</v>
      </c>
      <c r="N601" s="4">
        <v>0.108</v>
      </c>
      <c r="O601" s="4">
        <v>0.55000000000000004</v>
      </c>
      <c r="P601" t="s">
        <v>79</v>
      </c>
      <c r="R601">
        <v>100</v>
      </c>
      <c r="S601" s="3">
        <v>4580.3500000000004</v>
      </c>
    </row>
    <row r="602" spans="1:19" x14ac:dyDescent="0.2">
      <c r="A602" t="s">
        <v>1114</v>
      </c>
      <c r="B602" s="2">
        <v>46270</v>
      </c>
      <c r="C602" s="2">
        <v>46315</v>
      </c>
      <c r="D602" t="s">
        <v>581</v>
      </c>
      <c r="E602" t="s">
        <v>68</v>
      </c>
      <c r="F602" t="s">
        <v>74</v>
      </c>
      <c r="G602" t="s">
        <v>63</v>
      </c>
      <c r="H602" t="s">
        <v>77</v>
      </c>
      <c r="I602" t="s">
        <v>42</v>
      </c>
      <c r="J602" t="s">
        <v>85</v>
      </c>
      <c r="K602" t="s">
        <v>37</v>
      </c>
      <c r="L602" t="s">
        <v>44</v>
      </c>
      <c r="M602" s="3">
        <v>176000</v>
      </c>
      <c r="N602" s="4">
        <v>0.24</v>
      </c>
      <c r="O602" s="4">
        <v>0.15</v>
      </c>
      <c r="P602" t="s">
        <v>38</v>
      </c>
      <c r="R602">
        <v>45</v>
      </c>
      <c r="S602" s="3">
        <v>11141.7</v>
      </c>
    </row>
    <row r="603" spans="1:19" x14ac:dyDescent="0.2">
      <c r="A603" t="s">
        <v>1115</v>
      </c>
      <c r="B603" s="2">
        <v>46061</v>
      </c>
      <c r="C603" s="2">
        <v>46229</v>
      </c>
      <c r="D603" t="s">
        <v>1116</v>
      </c>
      <c r="E603" t="s">
        <v>33</v>
      </c>
      <c r="F603" t="s">
        <v>22</v>
      </c>
      <c r="G603" t="s">
        <v>55</v>
      </c>
      <c r="H603" t="s">
        <v>77</v>
      </c>
      <c r="I603" t="s">
        <v>25</v>
      </c>
      <c r="J603" t="s">
        <v>26</v>
      </c>
      <c r="K603" t="s">
        <v>50</v>
      </c>
      <c r="L603" t="s">
        <v>28</v>
      </c>
      <c r="M603" s="3">
        <v>82900</v>
      </c>
      <c r="N603" s="4">
        <v>8.8999999999999996E-2</v>
      </c>
      <c r="O603" s="4">
        <v>0.95</v>
      </c>
      <c r="P603" t="s">
        <v>29</v>
      </c>
      <c r="R603">
        <v>168</v>
      </c>
      <c r="S603" s="3">
        <v>6294.18</v>
      </c>
    </row>
    <row r="604" spans="1:19" x14ac:dyDescent="0.2">
      <c r="A604" t="s">
        <v>1117</v>
      </c>
      <c r="B604" s="2">
        <v>46070</v>
      </c>
      <c r="C604" s="2">
        <v>46211</v>
      </c>
      <c r="D604" t="s">
        <v>1118</v>
      </c>
      <c r="E604" t="s">
        <v>82</v>
      </c>
      <c r="F604" t="s">
        <v>48</v>
      </c>
      <c r="G604" t="s">
        <v>34</v>
      </c>
      <c r="H604" t="s">
        <v>98</v>
      </c>
      <c r="I604" t="s">
        <v>65</v>
      </c>
      <c r="J604" t="s">
        <v>36</v>
      </c>
      <c r="K604" t="s">
        <v>37</v>
      </c>
      <c r="L604" t="s">
        <v>51</v>
      </c>
      <c r="M604" s="3">
        <v>26100</v>
      </c>
      <c r="N604" s="4">
        <v>2.1999999999999999E-2</v>
      </c>
      <c r="O604" s="4">
        <v>0.15</v>
      </c>
      <c r="P604" t="s">
        <v>38</v>
      </c>
      <c r="R604">
        <v>141</v>
      </c>
      <c r="S604" s="3">
        <v>2127.44</v>
      </c>
    </row>
    <row r="605" spans="1:19" x14ac:dyDescent="0.2">
      <c r="A605" t="s">
        <v>1119</v>
      </c>
      <c r="B605" s="2">
        <v>46106</v>
      </c>
      <c r="C605" s="2">
        <v>46147</v>
      </c>
      <c r="D605" t="s">
        <v>1120</v>
      </c>
      <c r="E605" t="s">
        <v>62</v>
      </c>
      <c r="F605" t="s">
        <v>22</v>
      </c>
      <c r="G605" t="s">
        <v>23</v>
      </c>
      <c r="H605" t="s">
        <v>120</v>
      </c>
      <c r="I605" t="s">
        <v>65</v>
      </c>
      <c r="J605" t="s">
        <v>26</v>
      </c>
      <c r="K605" t="s">
        <v>50</v>
      </c>
      <c r="L605" t="s">
        <v>51</v>
      </c>
      <c r="M605" s="3">
        <v>88300</v>
      </c>
      <c r="N605" s="4">
        <v>0.11600000000000001</v>
      </c>
      <c r="O605" s="4">
        <v>1</v>
      </c>
      <c r="P605" t="s">
        <v>29</v>
      </c>
      <c r="R605">
        <v>41</v>
      </c>
      <c r="S605" s="3">
        <v>6502.72</v>
      </c>
    </row>
    <row r="606" spans="1:19" x14ac:dyDescent="0.2">
      <c r="A606" t="s">
        <v>1121</v>
      </c>
      <c r="B606" s="2">
        <v>46217</v>
      </c>
      <c r="C606" s="2">
        <v>46327</v>
      </c>
      <c r="D606" t="s">
        <v>396</v>
      </c>
      <c r="E606" t="s">
        <v>54</v>
      </c>
      <c r="F606" t="s">
        <v>22</v>
      </c>
      <c r="G606" t="s">
        <v>34</v>
      </c>
      <c r="H606" t="s">
        <v>49</v>
      </c>
      <c r="I606" t="s">
        <v>25</v>
      </c>
      <c r="J606" t="s">
        <v>36</v>
      </c>
      <c r="K606" t="s">
        <v>88</v>
      </c>
      <c r="L606" t="s">
        <v>51</v>
      </c>
      <c r="M606" s="3">
        <v>71400</v>
      </c>
      <c r="N606" s="4">
        <v>3.6999999999999998E-2</v>
      </c>
      <c r="O606" s="4">
        <v>0.35</v>
      </c>
      <c r="P606" t="s">
        <v>38</v>
      </c>
      <c r="R606">
        <v>110</v>
      </c>
      <c r="S606" s="3">
        <v>5731.95</v>
      </c>
    </row>
    <row r="607" spans="1:19" x14ac:dyDescent="0.2">
      <c r="A607" t="s">
        <v>1122</v>
      </c>
      <c r="B607" s="2">
        <v>46090</v>
      </c>
      <c r="C607" s="2">
        <v>46234</v>
      </c>
      <c r="D607" t="s">
        <v>1123</v>
      </c>
      <c r="E607" t="s">
        <v>33</v>
      </c>
      <c r="F607" t="s">
        <v>48</v>
      </c>
      <c r="G607" t="s">
        <v>55</v>
      </c>
      <c r="H607" t="s">
        <v>95</v>
      </c>
      <c r="I607" t="s">
        <v>35</v>
      </c>
      <c r="J607" t="s">
        <v>26</v>
      </c>
      <c r="K607" t="s">
        <v>88</v>
      </c>
      <c r="L607" t="s">
        <v>44</v>
      </c>
      <c r="M607" s="3">
        <v>16500</v>
      </c>
      <c r="N607" s="4">
        <v>4.7E-2</v>
      </c>
      <c r="O607" s="4">
        <v>0.35</v>
      </c>
      <c r="P607" t="s">
        <v>38</v>
      </c>
      <c r="R607">
        <v>144</v>
      </c>
      <c r="S607" s="3">
        <v>1310.1400000000001</v>
      </c>
    </row>
    <row r="608" spans="1:19" x14ac:dyDescent="0.2">
      <c r="A608" t="s">
        <v>1124</v>
      </c>
      <c r="B608" s="2">
        <v>45994</v>
      </c>
      <c r="C608" s="2">
        <v>46088</v>
      </c>
      <c r="D608" t="s">
        <v>936</v>
      </c>
      <c r="E608" t="s">
        <v>68</v>
      </c>
      <c r="F608" t="s">
        <v>48</v>
      </c>
      <c r="G608" t="s">
        <v>63</v>
      </c>
      <c r="H608" t="s">
        <v>69</v>
      </c>
      <c r="I608" t="s">
        <v>99</v>
      </c>
      <c r="J608" t="s">
        <v>36</v>
      </c>
      <c r="K608" t="s">
        <v>88</v>
      </c>
      <c r="L608" t="s">
        <v>51</v>
      </c>
      <c r="M608" s="3">
        <v>21800</v>
      </c>
      <c r="N608" s="4">
        <v>0.107</v>
      </c>
      <c r="O608" s="4">
        <v>0.3</v>
      </c>
      <c r="P608" t="s">
        <v>38</v>
      </c>
      <c r="R608">
        <v>94</v>
      </c>
      <c r="S608" s="3">
        <v>1623.13</v>
      </c>
    </row>
    <row r="609" spans="1:19" x14ac:dyDescent="0.2">
      <c r="A609" t="s">
        <v>1125</v>
      </c>
      <c r="B609" s="2">
        <v>46166</v>
      </c>
      <c r="C609" s="2">
        <v>46267</v>
      </c>
      <c r="D609" t="s">
        <v>1126</v>
      </c>
      <c r="E609" t="s">
        <v>21</v>
      </c>
      <c r="F609" t="s">
        <v>22</v>
      </c>
      <c r="G609" t="s">
        <v>55</v>
      </c>
      <c r="H609" t="s">
        <v>49</v>
      </c>
      <c r="I609" t="s">
        <v>99</v>
      </c>
      <c r="J609" t="s">
        <v>57</v>
      </c>
      <c r="K609" t="s">
        <v>58</v>
      </c>
      <c r="L609" t="s">
        <v>44</v>
      </c>
      <c r="M609" s="3">
        <v>67300</v>
      </c>
      <c r="N609" s="4">
        <v>0.186</v>
      </c>
      <c r="O609" s="4">
        <v>0.8</v>
      </c>
      <c r="P609" t="s">
        <v>59</v>
      </c>
      <c r="R609">
        <v>101</v>
      </c>
      <c r="S609" s="3">
        <v>4562.8</v>
      </c>
    </row>
    <row r="610" spans="1:19" x14ac:dyDescent="0.2">
      <c r="A610" t="s">
        <v>1127</v>
      </c>
      <c r="B610" s="2">
        <v>46063</v>
      </c>
      <c r="C610" s="2">
        <v>46107</v>
      </c>
      <c r="D610" t="s">
        <v>1128</v>
      </c>
      <c r="E610" t="s">
        <v>33</v>
      </c>
      <c r="F610" t="s">
        <v>22</v>
      </c>
      <c r="G610" t="s">
        <v>23</v>
      </c>
      <c r="H610" t="s">
        <v>41</v>
      </c>
      <c r="I610" t="s">
        <v>42</v>
      </c>
      <c r="J610" t="s">
        <v>85</v>
      </c>
      <c r="K610" t="s">
        <v>50</v>
      </c>
      <c r="L610" t="s">
        <v>44</v>
      </c>
      <c r="M610" s="3">
        <v>57600</v>
      </c>
      <c r="N610" s="4">
        <v>0.14599999999999999</v>
      </c>
      <c r="O610" s="4">
        <v>1</v>
      </c>
      <c r="P610" t="s">
        <v>29</v>
      </c>
      <c r="R610">
        <v>44</v>
      </c>
      <c r="S610" s="3">
        <v>4101.3</v>
      </c>
    </row>
    <row r="611" spans="1:19" x14ac:dyDescent="0.2">
      <c r="A611" t="s">
        <v>1129</v>
      </c>
      <c r="B611" s="2">
        <v>46065</v>
      </c>
      <c r="C611" s="2">
        <v>46202</v>
      </c>
      <c r="D611" t="s">
        <v>1130</v>
      </c>
      <c r="E611" t="s">
        <v>21</v>
      </c>
      <c r="F611" t="s">
        <v>48</v>
      </c>
      <c r="G611" t="s">
        <v>63</v>
      </c>
      <c r="H611" t="s">
        <v>64</v>
      </c>
      <c r="I611" t="s">
        <v>35</v>
      </c>
      <c r="J611" t="s">
        <v>36</v>
      </c>
      <c r="K611" t="s">
        <v>58</v>
      </c>
      <c r="L611" t="s">
        <v>51</v>
      </c>
      <c r="M611" s="3">
        <v>12100</v>
      </c>
      <c r="N611" s="4">
        <v>0.154</v>
      </c>
      <c r="O611" s="4">
        <v>0.75</v>
      </c>
      <c r="P611" t="s">
        <v>59</v>
      </c>
      <c r="R611">
        <v>137</v>
      </c>
      <c r="S611" s="3">
        <v>852.72</v>
      </c>
    </row>
    <row r="612" spans="1:19" x14ac:dyDescent="0.2">
      <c r="A612" t="s">
        <v>1131</v>
      </c>
      <c r="B612" s="2">
        <v>46171</v>
      </c>
      <c r="C612" s="2">
        <v>46277</v>
      </c>
      <c r="D612" t="s">
        <v>754</v>
      </c>
      <c r="E612" t="s">
        <v>91</v>
      </c>
      <c r="F612" t="s">
        <v>74</v>
      </c>
      <c r="G612" t="s">
        <v>55</v>
      </c>
      <c r="H612" t="s">
        <v>120</v>
      </c>
      <c r="I612" t="s">
        <v>99</v>
      </c>
      <c r="J612" t="s">
        <v>85</v>
      </c>
      <c r="K612" t="s">
        <v>27</v>
      </c>
      <c r="L612" t="s">
        <v>28</v>
      </c>
      <c r="M612" s="3">
        <v>98900</v>
      </c>
      <c r="N612" s="4">
        <v>6.9000000000000006E-2</v>
      </c>
      <c r="O612" s="4">
        <v>0</v>
      </c>
      <c r="P612" t="s">
        <v>29</v>
      </c>
      <c r="Q612" t="s">
        <v>126</v>
      </c>
      <c r="R612">
        <v>106</v>
      </c>
      <c r="S612" s="3">
        <v>7673.51</v>
      </c>
    </row>
    <row r="613" spans="1:19" x14ac:dyDescent="0.2">
      <c r="A613" t="s">
        <v>1132</v>
      </c>
      <c r="B613" s="2">
        <v>45980</v>
      </c>
      <c r="C613" s="2">
        <v>46070</v>
      </c>
      <c r="D613" t="s">
        <v>764</v>
      </c>
      <c r="E613" t="s">
        <v>21</v>
      </c>
      <c r="F613" t="s">
        <v>74</v>
      </c>
      <c r="G613" t="s">
        <v>92</v>
      </c>
      <c r="H613" t="s">
        <v>120</v>
      </c>
      <c r="I613" t="s">
        <v>84</v>
      </c>
      <c r="J613" t="s">
        <v>36</v>
      </c>
      <c r="K613" t="s">
        <v>58</v>
      </c>
      <c r="L613" t="s">
        <v>44</v>
      </c>
      <c r="M613" s="3">
        <v>231700</v>
      </c>
      <c r="N613" s="4">
        <v>7.5999999999999998E-2</v>
      </c>
      <c r="O613" s="4">
        <v>0.75</v>
      </c>
      <c r="P613" t="s">
        <v>59</v>
      </c>
      <c r="R613">
        <v>90</v>
      </c>
      <c r="S613" s="3">
        <v>17831.71</v>
      </c>
    </row>
    <row r="614" spans="1:19" x14ac:dyDescent="0.2">
      <c r="A614" t="s">
        <v>1133</v>
      </c>
      <c r="B614" s="2">
        <v>46089</v>
      </c>
      <c r="C614" s="2">
        <v>46192</v>
      </c>
      <c r="D614" t="s">
        <v>1134</v>
      </c>
      <c r="E614" t="s">
        <v>54</v>
      </c>
      <c r="F614" t="s">
        <v>48</v>
      </c>
      <c r="G614" t="s">
        <v>55</v>
      </c>
      <c r="H614" t="s">
        <v>120</v>
      </c>
      <c r="I614" t="s">
        <v>42</v>
      </c>
      <c r="J614" t="s">
        <v>85</v>
      </c>
      <c r="K614" t="s">
        <v>50</v>
      </c>
      <c r="L614" t="s">
        <v>51</v>
      </c>
      <c r="M614" s="3">
        <v>6600</v>
      </c>
      <c r="N614" s="4">
        <v>0.123</v>
      </c>
      <c r="O614" s="4">
        <v>1</v>
      </c>
      <c r="P614" t="s">
        <v>29</v>
      </c>
      <c r="R614">
        <v>103</v>
      </c>
      <c r="S614" s="3">
        <v>482.42</v>
      </c>
    </row>
    <row r="615" spans="1:19" x14ac:dyDescent="0.2">
      <c r="A615" t="s">
        <v>1135</v>
      </c>
      <c r="B615" s="2">
        <v>46080</v>
      </c>
      <c r="C615" s="2">
        <v>46165</v>
      </c>
      <c r="D615" t="s">
        <v>1136</v>
      </c>
      <c r="E615" t="s">
        <v>91</v>
      </c>
      <c r="F615" t="s">
        <v>48</v>
      </c>
      <c r="G615" t="s">
        <v>63</v>
      </c>
      <c r="H615" t="s">
        <v>120</v>
      </c>
      <c r="I615" t="s">
        <v>35</v>
      </c>
      <c r="J615" t="s">
        <v>36</v>
      </c>
      <c r="K615" t="s">
        <v>88</v>
      </c>
      <c r="L615" t="s">
        <v>51</v>
      </c>
      <c r="M615" s="3">
        <v>6900</v>
      </c>
      <c r="N615" s="4">
        <v>0.20899999999999999</v>
      </c>
      <c r="O615" s="4">
        <v>0.35</v>
      </c>
      <c r="P615" t="s">
        <v>38</v>
      </c>
      <c r="R615">
        <v>85</v>
      </c>
      <c r="S615" s="3">
        <v>454.65</v>
      </c>
    </row>
    <row r="616" spans="1:19" x14ac:dyDescent="0.2">
      <c r="A616" t="s">
        <v>1137</v>
      </c>
      <c r="B616" s="2">
        <v>45957</v>
      </c>
      <c r="C616" s="2">
        <v>46099</v>
      </c>
      <c r="D616" t="s">
        <v>169</v>
      </c>
      <c r="E616" t="s">
        <v>54</v>
      </c>
      <c r="F616" t="s">
        <v>48</v>
      </c>
      <c r="G616" t="s">
        <v>92</v>
      </c>
      <c r="H616" t="s">
        <v>24</v>
      </c>
      <c r="I616" t="s">
        <v>99</v>
      </c>
      <c r="J616" t="s">
        <v>26</v>
      </c>
      <c r="K616" t="s">
        <v>50</v>
      </c>
      <c r="L616" t="s">
        <v>51</v>
      </c>
      <c r="M616" s="3">
        <v>17000</v>
      </c>
      <c r="N616" s="4">
        <v>0.20499999999999999</v>
      </c>
      <c r="O616" s="4">
        <v>0.95</v>
      </c>
      <c r="P616" t="s">
        <v>29</v>
      </c>
      <c r="R616">
        <v>142</v>
      </c>
      <c r="S616" s="3">
        <v>1125.8399999999999</v>
      </c>
    </row>
    <row r="617" spans="1:19" x14ac:dyDescent="0.2">
      <c r="A617" t="s">
        <v>1138</v>
      </c>
      <c r="B617" s="2">
        <v>46150</v>
      </c>
      <c r="C617" s="2">
        <v>46277</v>
      </c>
      <c r="D617" t="s">
        <v>1139</v>
      </c>
      <c r="E617" t="s">
        <v>21</v>
      </c>
      <c r="F617" t="s">
        <v>74</v>
      </c>
      <c r="G617" t="s">
        <v>92</v>
      </c>
      <c r="H617" t="s">
        <v>95</v>
      </c>
      <c r="I617" t="s">
        <v>35</v>
      </c>
      <c r="J617" t="s">
        <v>57</v>
      </c>
      <c r="K617" t="s">
        <v>50</v>
      </c>
      <c r="L617" t="s">
        <v>51</v>
      </c>
      <c r="M617" s="3">
        <v>305900</v>
      </c>
      <c r="N617" s="4">
        <v>6.7000000000000004E-2</v>
      </c>
      <c r="O617" s="4">
        <v>1</v>
      </c>
      <c r="P617" t="s">
        <v>29</v>
      </c>
      <c r="R617">
        <v>127</v>
      </c>
      <c r="S617" s="3">
        <v>23789.05</v>
      </c>
    </row>
    <row r="618" spans="1:19" x14ac:dyDescent="0.2">
      <c r="A618" t="s">
        <v>1140</v>
      </c>
      <c r="B618" s="2">
        <v>46098</v>
      </c>
      <c r="C618" s="2">
        <v>46182</v>
      </c>
      <c r="D618" t="s">
        <v>1141</v>
      </c>
      <c r="E618" t="s">
        <v>21</v>
      </c>
      <c r="F618" t="s">
        <v>48</v>
      </c>
      <c r="G618" t="s">
        <v>34</v>
      </c>
      <c r="H618" t="s">
        <v>77</v>
      </c>
      <c r="I618" t="s">
        <v>99</v>
      </c>
      <c r="J618" t="s">
        <v>36</v>
      </c>
      <c r="K618" t="s">
        <v>27</v>
      </c>
      <c r="L618" t="s">
        <v>44</v>
      </c>
      <c r="M618" s="3">
        <v>20500</v>
      </c>
      <c r="N618" s="4">
        <v>0.28000000000000003</v>
      </c>
      <c r="O618" s="4">
        <v>0</v>
      </c>
      <c r="P618" t="s">
        <v>29</v>
      </c>
      <c r="Q618" t="s">
        <v>152</v>
      </c>
      <c r="R618">
        <v>84</v>
      </c>
      <c r="S618" s="3">
        <v>1230.67</v>
      </c>
    </row>
    <row r="619" spans="1:19" x14ac:dyDescent="0.2">
      <c r="A619" t="s">
        <v>1142</v>
      </c>
      <c r="B619" s="2">
        <v>46119</v>
      </c>
      <c r="C619" s="2">
        <v>46182</v>
      </c>
      <c r="D619" t="s">
        <v>1143</v>
      </c>
      <c r="E619" t="s">
        <v>68</v>
      </c>
      <c r="F619" t="s">
        <v>22</v>
      </c>
      <c r="G619" t="s">
        <v>34</v>
      </c>
      <c r="H619" t="s">
        <v>120</v>
      </c>
      <c r="I619" t="s">
        <v>84</v>
      </c>
      <c r="J619" t="s">
        <v>43</v>
      </c>
      <c r="K619" t="s">
        <v>88</v>
      </c>
      <c r="L619" t="s">
        <v>28</v>
      </c>
      <c r="M619" s="3">
        <v>44700</v>
      </c>
      <c r="N619" s="4">
        <v>0.16900000000000001</v>
      </c>
      <c r="O619" s="4">
        <v>0.35</v>
      </c>
      <c r="P619" t="s">
        <v>38</v>
      </c>
      <c r="R619">
        <v>63</v>
      </c>
      <c r="S619" s="3">
        <v>3095.09</v>
      </c>
    </row>
    <row r="620" spans="1:19" x14ac:dyDescent="0.2">
      <c r="A620" t="s">
        <v>1144</v>
      </c>
      <c r="B620" s="2">
        <v>45956</v>
      </c>
      <c r="C620" s="2">
        <v>46007</v>
      </c>
      <c r="D620" t="s">
        <v>921</v>
      </c>
      <c r="E620" t="s">
        <v>21</v>
      </c>
      <c r="F620" t="s">
        <v>48</v>
      </c>
      <c r="G620" t="s">
        <v>23</v>
      </c>
      <c r="H620" t="s">
        <v>56</v>
      </c>
      <c r="I620" t="s">
        <v>35</v>
      </c>
      <c r="J620" t="s">
        <v>57</v>
      </c>
      <c r="K620" t="s">
        <v>37</v>
      </c>
      <c r="L620" t="s">
        <v>44</v>
      </c>
      <c r="M620" s="3">
        <v>10300</v>
      </c>
      <c r="N620" s="4">
        <v>8.4000000000000005E-2</v>
      </c>
      <c r="O620" s="4">
        <v>0.1</v>
      </c>
      <c r="P620" t="s">
        <v>38</v>
      </c>
      <c r="R620">
        <v>51</v>
      </c>
      <c r="S620" s="3">
        <v>785.93</v>
      </c>
    </row>
    <row r="621" spans="1:19" x14ac:dyDescent="0.2">
      <c r="A621" t="s">
        <v>1145</v>
      </c>
      <c r="B621" s="2">
        <v>45974</v>
      </c>
      <c r="C621" s="2">
        <v>46008</v>
      </c>
      <c r="D621" t="s">
        <v>915</v>
      </c>
      <c r="E621" t="s">
        <v>91</v>
      </c>
      <c r="F621" t="s">
        <v>74</v>
      </c>
      <c r="G621" t="s">
        <v>63</v>
      </c>
      <c r="H621" t="s">
        <v>83</v>
      </c>
      <c r="I621" t="s">
        <v>84</v>
      </c>
      <c r="J621" t="s">
        <v>43</v>
      </c>
      <c r="K621" t="s">
        <v>50</v>
      </c>
      <c r="L621" t="s">
        <v>44</v>
      </c>
      <c r="M621" s="3">
        <v>99100</v>
      </c>
      <c r="N621" s="4">
        <v>0.183</v>
      </c>
      <c r="O621" s="4">
        <v>1</v>
      </c>
      <c r="P621" t="s">
        <v>29</v>
      </c>
      <c r="R621">
        <v>34</v>
      </c>
      <c r="S621" s="3">
        <v>6748.85</v>
      </c>
    </row>
    <row r="622" spans="1:19" x14ac:dyDescent="0.2">
      <c r="A622" t="s">
        <v>1146</v>
      </c>
      <c r="B622" s="2">
        <v>46261</v>
      </c>
      <c r="C622" s="2">
        <v>46308</v>
      </c>
      <c r="D622" t="s">
        <v>777</v>
      </c>
      <c r="E622" t="s">
        <v>21</v>
      </c>
      <c r="F622" t="s">
        <v>48</v>
      </c>
      <c r="G622" t="s">
        <v>34</v>
      </c>
      <c r="H622" t="s">
        <v>56</v>
      </c>
      <c r="I622" t="s">
        <v>25</v>
      </c>
      <c r="J622" t="s">
        <v>43</v>
      </c>
      <c r="K622" t="s">
        <v>78</v>
      </c>
      <c r="L622" t="s">
        <v>51</v>
      </c>
      <c r="M622" s="3">
        <v>7900</v>
      </c>
      <c r="N622" s="4">
        <v>0.16200000000000001</v>
      </c>
      <c r="O622" s="4">
        <v>0.55000000000000004</v>
      </c>
      <c r="P622" t="s">
        <v>79</v>
      </c>
      <c r="R622">
        <v>47</v>
      </c>
      <c r="S622" s="3">
        <v>551.36</v>
      </c>
    </row>
    <row r="623" spans="1:19" x14ac:dyDescent="0.2">
      <c r="A623" t="s">
        <v>1147</v>
      </c>
      <c r="B623" s="2">
        <v>46188</v>
      </c>
      <c r="C623" s="2">
        <v>46321</v>
      </c>
      <c r="D623" t="s">
        <v>974</v>
      </c>
      <c r="E623" t="s">
        <v>21</v>
      </c>
      <c r="F623" t="s">
        <v>48</v>
      </c>
      <c r="G623" t="s">
        <v>63</v>
      </c>
      <c r="H623" t="s">
        <v>49</v>
      </c>
      <c r="I623" t="s">
        <v>99</v>
      </c>
      <c r="J623" t="s">
        <v>57</v>
      </c>
      <c r="K623" t="s">
        <v>88</v>
      </c>
      <c r="L623" t="s">
        <v>51</v>
      </c>
      <c r="M623" s="3">
        <v>9900</v>
      </c>
      <c r="N623" s="4">
        <v>0.08</v>
      </c>
      <c r="O623" s="4">
        <v>0.35</v>
      </c>
      <c r="P623" t="s">
        <v>38</v>
      </c>
      <c r="R623">
        <v>133</v>
      </c>
      <c r="S623" s="3">
        <v>758.77</v>
      </c>
    </row>
    <row r="624" spans="1:19" x14ac:dyDescent="0.2">
      <c r="A624" t="s">
        <v>1148</v>
      </c>
      <c r="B624" s="2">
        <v>46247</v>
      </c>
      <c r="C624" s="2">
        <v>46289</v>
      </c>
      <c r="D624" t="s">
        <v>1149</v>
      </c>
      <c r="E624" t="s">
        <v>111</v>
      </c>
      <c r="F624" t="s">
        <v>48</v>
      </c>
      <c r="G624" t="s">
        <v>23</v>
      </c>
      <c r="H624" t="s">
        <v>77</v>
      </c>
      <c r="I624" t="s">
        <v>99</v>
      </c>
      <c r="J624" t="s">
        <v>43</v>
      </c>
      <c r="K624" t="s">
        <v>78</v>
      </c>
      <c r="L624" t="s">
        <v>44</v>
      </c>
      <c r="M624" s="3">
        <v>8700</v>
      </c>
      <c r="N624" s="4">
        <v>8.5999999999999993E-2</v>
      </c>
      <c r="O624" s="4">
        <v>0.55000000000000004</v>
      </c>
      <c r="P624" t="s">
        <v>79</v>
      </c>
      <c r="R624">
        <v>42</v>
      </c>
      <c r="S624" s="3">
        <v>662.61</v>
      </c>
    </row>
    <row r="625" spans="1:19" x14ac:dyDescent="0.2">
      <c r="A625" t="s">
        <v>1150</v>
      </c>
      <c r="B625" s="2">
        <v>46111</v>
      </c>
      <c r="C625" s="2">
        <v>46182</v>
      </c>
      <c r="D625" t="s">
        <v>1053</v>
      </c>
      <c r="E625" t="s">
        <v>54</v>
      </c>
      <c r="F625" t="s">
        <v>48</v>
      </c>
      <c r="G625" t="s">
        <v>34</v>
      </c>
      <c r="H625" t="s">
        <v>41</v>
      </c>
      <c r="I625" t="s">
        <v>35</v>
      </c>
      <c r="J625" t="s">
        <v>26</v>
      </c>
      <c r="K625" t="s">
        <v>37</v>
      </c>
      <c r="L625" t="s">
        <v>28</v>
      </c>
      <c r="M625" s="3">
        <v>26600</v>
      </c>
      <c r="N625" s="4">
        <v>0.248</v>
      </c>
      <c r="O625" s="4">
        <v>0.05</v>
      </c>
      <c r="P625" t="s">
        <v>38</v>
      </c>
      <c r="R625">
        <v>71</v>
      </c>
      <c r="S625" s="3">
        <v>1667.64</v>
      </c>
    </row>
    <row r="626" spans="1:19" x14ac:dyDescent="0.2">
      <c r="A626" t="s">
        <v>1151</v>
      </c>
      <c r="B626" s="2">
        <v>46014</v>
      </c>
      <c r="C626" s="2">
        <v>46057</v>
      </c>
      <c r="D626" t="s">
        <v>1152</v>
      </c>
      <c r="E626" t="s">
        <v>62</v>
      </c>
      <c r="F626" t="s">
        <v>22</v>
      </c>
      <c r="G626" t="s">
        <v>92</v>
      </c>
      <c r="H626" t="s">
        <v>77</v>
      </c>
      <c r="I626" t="s">
        <v>84</v>
      </c>
      <c r="J626" t="s">
        <v>85</v>
      </c>
      <c r="K626" t="s">
        <v>50</v>
      </c>
      <c r="L626" t="s">
        <v>44</v>
      </c>
      <c r="M626" s="3">
        <v>29000</v>
      </c>
      <c r="N626" s="4">
        <v>0.13200000000000001</v>
      </c>
      <c r="O626" s="4">
        <v>1</v>
      </c>
      <c r="P626" t="s">
        <v>29</v>
      </c>
      <c r="R626">
        <v>43</v>
      </c>
      <c r="S626" s="3">
        <v>2097.4</v>
      </c>
    </row>
    <row r="627" spans="1:19" x14ac:dyDescent="0.2">
      <c r="A627" t="s">
        <v>1153</v>
      </c>
      <c r="B627" s="2">
        <v>46200</v>
      </c>
      <c r="C627" s="2">
        <v>46217</v>
      </c>
      <c r="D627" t="s">
        <v>1154</v>
      </c>
      <c r="E627" t="s">
        <v>91</v>
      </c>
      <c r="F627" t="s">
        <v>22</v>
      </c>
      <c r="G627" t="s">
        <v>92</v>
      </c>
      <c r="H627" t="s">
        <v>49</v>
      </c>
      <c r="I627" t="s">
        <v>65</v>
      </c>
      <c r="J627" t="s">
        <v>57</v>
      </c>
      <c r="K627" t="s">
        <v>50</v>
      </c>
      <c r="L627" t="s">
        <v>51</v>
      </c>
      <c r="M627" s="3">
        <v>82200</v>
      </c>
      <c r="N627" s="4">
        <v>0.127</v>
      </c>
      <c r="O627" s="4">
        <v>1</v>
      </c>
      <c r="P627" t="s">
        <v>29</v>
      </c>
      <c r="R627">
        <v>17</v>
      </c>
      <c r="S627" s="3">
        <v>5983.47</v>
      </c>
    </row>
    <row r="628" spans="1:19" x14ac:dyDescent="0.2">
      <c r="A628" t="s">
        <v>1155</v>
      </c>
      <c r="B628" s="2">
        <v>46005</v>
      </c>
      <c r="C628" s="2">
        <v>46068</v>
      </c>
      <c r="D628" t="s">
        <v>1156</v>
      </c>
      <c r="E628" t="s">
        <v>82</v>
      </c>
      <c r="F628" t="s">
        <v>48</v>
      </c>
      <c r="G628" t="s">
        <v>92</v>
      </c>
      <c r="H628" t="s">
        <v>95</v>
      </c>
      <c r="I628" t="s">
        <v>65</v>
      </c>
      <c r="J628" t="s">
        <v>26</v>
      </c>
      <c r="K628" t="s">
        <v>50</v>
      </c>
      <c r="L628" t="s">
        <v>44</v>
      </c>
      <c r="M628" s="3">
        <v>6500</v>
      </c>
      <c r="N628" s="4">
        <v>0.127</v>
      </c>
      <c r="O628" s="4">
        <v>0.95</v>
      </c>
      <c r="P628" t="s">
        <v>29</v>
      </c>
      <c r="R628">
        <v>63</v>
      </c>
      <c r="S628" s="3">
        <v>472.98</v>
      </c>
    </row>
    <row r="629" spans="1:19" x14ac:dyDescent="0.2">
      <c r="A629" t="s">
        <v>1157</v>
      </c>
      <c r="B629" s="2">
        <v>46151</v>
      </c>
      <c r="C629" s="2">
        <v>46246</v>
      </c>
      <c r="D629" t="s">
        <v>1120</v>
      </c>
      <c r="E629" t="s">
        <v>33</v>
      </c>
      <c r="F629" t="s">
        <v>22</v>
      </c>
      <c r="G629" t="s">
        <v>23</v>
      </c>
      <c r="H629" t="s">
        <v>41</v>
      </c>
      <c r="I629" t="s">
        <v>42</v>
      </c>
      <c r="J629" t="s">
        <v>26</v>
      </c>
      <c r="K629" t="s">
        <v>88</v>
      </c>
      <c r="L629" t="s">
        <v>51</v>
      </c>
      <c r="M629" s="3">
        <v>92300</v>
      </c>
      <c r="N629" s="4">
        <v>3.4000000000000002E-2</v>
      </c>
      <c r="O629" s="4">
        <v>0.35</v>
      </c>
      <c r="P629" t="s">
        <v>38</v>
      </c>
      <c r="R629">
        <v>95</v>
      </c>
      <c r="S629" s="3">
        <v>7429.33</v>
      </c>
    </row>
    <row r="630" spans="1:19" x14ac:dyDescent="0.2">
      <c r="A630" t="s">
        <v>1158</v>
      </c>
      <c r="B630" s="2">
        <v>46234</v>
      </c>
      <c r="C630" s="2">
        <v>46319</v>
      </c>
      <c r="D630" t="s">
        <v>122</v>
      </c>
      <c r="E630" t="s">
        <v>91</v>
      </c>
      <c r="F630" t="s">
        <v>48</v>
      </c>
      <c r="G630" t="s">
        <v>92</v>
      </c>
      <c r="H630" t="s">
        <v>69</v>
      </c>
      <c r="I630" t="s">
        <v>99</v>
      </c>
      <c r="J630" t="s">
        <v>36</v>
      </c>
      <c r="K630" t="s">
        <v>78</v>
      </c>
      <c r="L630" t="s">
        <v>28</v>
      </c>
      <c r="M630" s="3">
        <v>14200</v>
      </c>
      <c r="N630" s="4">
        <v>4.5999999999999999E-2</v>
      </c>
      <c r="O630" s="4">
        <v>0.55000000000000004</v>
      </c>
      <c r="P630" t="s">
        <v>79</v>
      </c>
      <c r="R630">
        <v>85</v>
      </c>
      <c r="S630" s="3">
        <v>1129.3499999999999</v>
      </c>
    </row>
    <row r="631" spans="1:19" x14ac:dyDescent="0.2">
      <c r="A631" t="s">
        <v>1159</v>
      </c>
      <c r="B631" s="2">
        <v>46025</v>
      </c>
      <c r="C631" s="2">
        <v>46102</v>
      </c>
      <c r="D631" t="s">
        <v>139</v>
      </c>
      <c r="E631" t="s">
        <v>54</v>
      </c>
      <c r="F631" t="s">
        <v>74</v>
      </c>
      <c r="G631" t="s">
        <v>55</v>
      </c>
      <c r="H631" t="s">
        <v>98</v>
      </c>
      <c r="I631" t="s">
        <v>25</v>
      </c>
      <c r="J631" t="s">
        <v>43</v>
      </c>
      <c r="K631" t="s">
        <v>88</v>
      </c>
      <c r="L631" t="s">
        <v>28</v>
      </c>
      <c r="M631" s="3">
        <v>228800</v>
      </c>
      <c r="N631" s="4">
        <v>0.13700000000000001</v>
      </c>
      <c r="O631" s="4">
        <v>0.35</v>
      </c>
      <c r="P631" t="s">
        <v>38</v>
      </c>
      <c r="R631">
        <v>77</v>
      </c>
      <c r="S631" s="3">
        <v>16463.87</v>
      </c>
    </row>
    <row r="632" spans="1:19" x14ac:dyDescent="0.2">
      <c r="A632" t="s">
        <v>1160</v>
      </c>
      <c r="B632" s="2">
        <v>46231</v>
      </c>
      <c r="C632" s="2">
        <v>46277</v>
      </c>
      <c r="D632" t="s">
        <v>1161</v>
      </c>
      <c r="E632" t="s">
        <v>111</v>
      </c>
      <c r="F632" t="s">
        <v>74</v>
      </c>
      <c r="G632" t="s">
        <v>34</v>
      </c>
      <c r="H632" t="s">
        <v>49</v>
      </c>
      <c r="I632" t="s">
        <v>99</v>
      </c>
      <c r="J632" t="s">
        <v>36</v>
      </c>
      <c r="K632" t="s">
        <v>50</v>
      </c>
      <c r="L632" t="s">
        <v>28</v>
      </c>
      <c r="M632" s="3">
        <v>97300</v>
      </c>
      <c r="N632" s="4">
        <v>0.222</v>
      </c>
      <c r="O632" s="4">
        <v>1</v>
      </c>
      <c r="P632" t="s">
        <v>29</v>
      </c>
      <c r="R632">
        <v>46</v>
      </c>
      <c r="S632" s="3">
        <v>6309.77</v>
      </c>
    </row>
    <row r="633" spans="1:19" x14ac:dyDescent="0.2">
      <c r="A633" t="s">
        <v>1162</v>
      </c>
      <c r="B633" s="2">
        <v>46142</v>
      </c>
      <c r="C633" s="2">
        <v>46289</v>
      </c>
      <c r="D633" t="s">
        <v>1163</v>
      </c>
      <c r="E633" t="s">
        <v>54</v>
      </c>
      <c r="F633" t="s">
        <v>74</v>
      </c>
      <c r="G633" t="s">
        <v>92</v>
      </c>
      <c r="H633" t="s">
        <v>98</v>
      </c>
      <c r="I633" t="s">
        <v>99</v>
      </c>
      <c r="J633" t="s">
        <v>57</v>
      </c>
      <c r="K633" t="s">
        <v>106</v>
      </c>
      <c r="L633" t="s">
        <v>44</v>
      </c>
      <c r="M633" s="3">
        <v>148300</v>
      </c>
      <c r="N633" s="4">
        <v>0.13800000000000001</v>
      </c>
      <c r="O633" s="4">
        <v>0.2</v>
      </c>
      <c r="P633" t="s">
        <v>38</v>
      </c>
      <c r="R633">
        <v>147</v>
      </c>
      <c r="S633" s="3">
        <v>10649.87</v>
      </c>
    </row>
    <row r="634" spans="1:19" x14ac:dyDescent="0.2">
      <c r="A634" t="s">
        <v>1164</v>
      </c>
      <c r="B634" s="2">
        <v>45960</v>
      </c>
      <c r="C634" s="2">
        <v>45995</v>
      </c>
      <c r="D634" t="s">
        <v>20</v>
      </c>
      <c r="E634" t="s">
        <v>62</v>
      </c>
      <c r="F634" t="s">
        <v>22</v>
      </c>
      <c r="G634" t="s">
        <v>92</v>
      </c>
      <c r="H634" t="s">
        <v>77</v>
      </c>
      <c r="I634" t="s">
        <v>25</v>
      </c>
      <c r="J634" t="s">
        <v>26</v>
      </c>
      <c r="K634" t="s">
        <v>50</v>
      </c>
      <c r="L634" t="s">
        <v>28</v>
      </c>
      <c r="M634" s="3">
        <v>53000</v>
      </c>
      <c r="N634" s="4">
        <v>0.19500000000000001</v>
      </c>
      <c r="O634" s="4">
        <v>0.95</v>
      </c>
      <c r="P634" t="s">
        <v>29</v>
      </c>
      <c r="R634">
        <v>35</v>
      </c>
      <c r="S634" s="3">
        <v>3556.41</v>
      </c>
    </row>
    <row r="635" spans="1:19" x14ac:dyDescent="0.2">
      <c r="A635" t="s">
        <v>1165</v>
      </c>
      <c r="B635" s="2">
        <v>46019</v>
      </c>
      <c r="C635" s="2">
        <v>46045</v>
      </c>
      <c r="D635" t="s">
        <v>1166</v>
      </c>
      <c r="E635" t="s">
        <v>82</v>
      </c>
      <c r="F635" t="s">
        <v>22</v>
      </c>
      <c r="G635" t="s">
        <v>92</v>
      </c>
      <c r="H635" t="s">
        <v>98</v>
      </c>
      <c r="I635" t="s">
        <v>25</v>
      </c>
      <c r="J635" t="s">
        <v>57</v>
      </c>
      <c r="K635" t="s">
        <v>78</v>
      </c>
      <c r="L635" t="s">
        <v>28</v>
      </c>
      <c r="M635" s="3">
        <v>65600</v>
      </c>
      <c r="N635" s="4">
        <v>0.183</v>
      </c>
      <c r="O635" s="4">
        <v>0.55000000000000004</v>
      </c>
      <c r="P635" t="s">
        <v>79</v>
      </c>
      <c r="R635">
        <v>26</v>
      </c>
      <c r="S635" s="3">
        <v>4465.88</v>
      </c>
    </row>
    <row r="636" spans="1:19" x14ac:dyDescent="0.2">
      <c r="A636" t="s">
        <v>1167</v>
      </c>
      <c r="B636" s="2">
        <v>46019</v>
      </c>
      <c r="C636" s="2">
        <v>46120</v>
      </c>
      <c r="D636" t="s">
        <v>1168</v>
      </c>
      <c r="E636" t="s">
        <v>33</v>
      </c>
      <c r="F636" t="s">
        <v>48</v>
      </c>
      <c r="G636" t="s">
        <v>23</v>
      </c>
      <c r="H636" t="s">
        <v>24</v>
      </c>
      <c r="I636" t="s">
        <v>84</v>
      </c>
      <c r="J636" t="s">
        <v>26</v>
      </c>
      <c r="K636" t="s">
        <v>37</v>
      </c>
      <c r="L636" t="s">
        <v>44</v>
      </c>
      <c r="M636" s="3">
        <v>23600</v>
      </c>
      <c r="N636" s="4">
        <v>0.159</v>
      </c>
      <c r="O636" s="4">
        <v>0.1</v>
      </c>
      <c r="P636" t="s">
        <v>38</v>
      </c>
      <c r="R636">
        <v>101</v>
      </c>
      <c r="S636" s="3">
        <v>1653.74</v>
      </c>
    </row>
    <row r="637" spans="1:19" x14ac:dyDescent="0.2">
      <c r="A637" t="s">
        <v>1169</v>
      </c>
      <c r="B637" s="2">
        <v>46166</v>
      </c>
      <c r="C637" s="2">
        <v>46277</v>
      </c>
      <c r="D637" t="s">
        <v>1170</v>
      </c>
      <c r="E637" t="s">
        <v>68</v>
      </c>
      <c r="F637" t="s">
        <v>48</v>
      </c>
      <c r="G637" t="s">
        <v>55</v>
      </c>
      <c r="H637" t="s">
        <v>77</v>
      </c>
      <c r="I637" t="s">
        <v>35</v>
      </c>
      <c r="J637" t="s">
        <v>36</v>
      </c>
      <c r="K637" t="s">
        <v>27</v>
      </c>
      <c r="L637" t="s">
        <v>44</v>
      </c>
      <c r="M637" s="3">
        <v>25900</v>
      </c>
      <c r="N637" s="4">
        <v>7.0000000000000007E-2</v>
      </c>
      <c r="O637" s="4">
        <v>0</v>
      </c>
      <c r="P637" t="s">
        <v>29</v>
      </c>
      <c r="Q637" t="s">
        <v>209</v>
      </c>
      <c r="R637">
        <v>111</v>
      </c>
      <c r="S637" s="3">
        <v>2006.23</v>
      </c>
    </row>
    <row r="638" spans="1:19" x14ac:dyDescent="0.2">
      <c r="A638" t="s">
        <v>1171</v>
      </c>
      <c r="B638" s="2">
        <v>46262</v>
      </c>
      <c r="C638" s="2">
        <v>46277</v>
      </c>
      <c r="D638" t="s">
        <v>1172</v>
      </c>
      <c r="E638" t="s">
        <v>54</v>
      </c>
      <c r="F638" t="s">
        <v>48</v>
      </c>
      <c r="G638" t="s">
        <v>23</v>
      </c>
      <c r="H638" t="s">
        <v>69</v>
      </c>
      <c r="I638" t="s">
        <v>42</v>
      </c>
      <c r="J638" t="s">
        <v>43</v>
      </c>
      <c r="K638" t="s">
        <v>50</v>
      </c>
      <c r="L638" t="s">
        <v>44</v>
      </c>
      <c r="M638" s="3">
        <v>14000</v>
      </c>
      <c r="N638" s="4">
        <v>0.11</v>
      </c>
      <c r="O638" s="4">
        <v>1</v>
      </c>
      <c r="P638" t="s">
        <v>29</v>
      </c>
      <c r="R638">
        <v>15</v>
      </c>
      <c r="S638" s="3">
        <v>1038.28</v>
      </c>
    </row>
    <row r="639" spans="1:19" x14ac:dyDescent="0.2">
      <c r="A639" t="s">
        <v>1173</v>
      </c>
      <c r="B639" s="2">
        <v>46058</v>
      </c>
      <c r="C639" s="2">
        <v>46161</v>
      </c>
      <c r="D639" t="s">
        <v>1174</v>
      </c>
      <c r="E639" t="s">
        <v>68</v>
      </c>
      <c r="F639" t="s">
        <v>48</v>
      </c>
      <c r="G639" t="s">
        <v>92</v>
      </c>
      <c r="H639" t="s">
        <v>77</v>
      </c>
      <c r="I639" t="s">
        <v>42</v>
      </c>
      <c r="J639" t="s">
        <v>43</v>
      </c>
      <c r="K639" t="s">
        <v>88</v>
      </c>
      <c r="L639" t="s">
        <v>44</v>
      </c>
      <c r="M639" s="3">
        <v>27300</v>
      </c>
      <c r="N639" s="4">
        <v>6.3E-2</v>
      </c>
      <c r="O639" s="4">
        <v>0.35</v>
      </c>
      <c r="P639" t="s">
        <v>38</v>
      </c>
      <c r="R639">
        <v>103</v>
      </c>
      <c r="S639" s="3">
        <v>2131.4499999999998</v>
      </c>
    </row>
    <row r="640" spans="1:19" x14ac:dyDescent="0.2">
      <c r="A640" t="s">
        <v>1175</v>
      </c>
      <c r="B640" s="2">
        <v>46260</v>
      </c>
      <c r="C640" s="2">
        <v>46314</v>
      </c>
      <c r="D640" t="s">
        <v>915</v>
      </c>
      <c r="E640" t="s">
        <v>33</v>
      </c>
      <c r="F640" t="s">
        <v>22</v>
      </c>
      <c r="G640" t="s">
        <v>34</v>
      </c>
      <c r="H640" t="s">
        <v>120</v>
      </c>
      <c r="I640" t="s">
        <v>35</v>
      </c>
      <c r="J640" t="s">
        <v>43</v>
      </c>
      <c r="K640" t="s">
        <v>78</v>
      </c>
      <c r="L640" t="s">
        <v>44</v>
      </c>
      <c r="M640" s="3">
        <v>85700</v>
      </c>
      <c r="N640" s="4">
        <v>2.1999999999999999E-2</v>
      </c>
      <c r="O640" s="4">
        <v>0.55000000000000004</v>
      </c>
      <c r="P640" t="s">
        <v>79</v>
      </c>
      <c r="R640">
        <v>54</v>
      </c>
      <c r="S640" s="3">
        <v>6983.51</v>
      </c>
    </row>
    <row r="641" spans="1:19" x14ac:dyDescent="0.2">
      <c r="A641" t="s">
        <v>1176</v>
      </c>
      <c r="B641" s="2">
        <v>46134</v>
      </c>
      <c r="C641" s="2">
        <v>46192</v>
      </c>
      <c r="D641" t="s">
        <v>1177</v>
      </c>
      <c r="E641" t="s">
        <v>21</v>
      </c>
      <c r="F641" t="s">
        <v>22</v>
      </c>
      <c r="G641" t="s">
        <v>92</v>
      </c>
      <c r="H641" t="s">
        <v>137</v>
      </c>
      <c r="I641" t="s">
        <v>25</v>
      </c>
      <c r="J641" t="s">
        <v>57</v>
      </c>
      <c r="K641" t="s">
        <v>88</v>
      </c>
      <c r="L641" t="s">
        <v>44</v>
      </c>
      <c r="M641" s="3">
        <v>33000</v>
      </c>
      <c r="N641" s="4">
        <v>6.3E-2</v>
      </c>
      <c r="O641" s="4">
        <v>0.3</v>
      </c>
      <c r="P641" t="s">
        <v>38</v>
      </c>
      <c r="R641">
        <v>58</v>
      </c>
      <c r="S641" s="3">
        <v>2576.54</v>
      </c>
    </row>
    <row r="642" spans="1:19" x14ac:dyDescent="0.2">
      <c r="A642" t="s">
        <v>1178</v>
      </c>
      <c r="B642" s="2">
        <v>46157</v>
      </c>
      <c r="C642" s="2">
        <v>46337</v>
      </c>
      <c r="D642" t="s">
        <v>1179</v>
      </c>
      <c r="E642" t="s">
        <v>82</v>
      </c>
      <c r="F642" t="s">
        <v>48</v>
      </c>
      <c r="G642" t="s">
        <v>23</v>
      </c>
      <c r="H642" t="s">
        <v>95</v>
      </c>
      <c r="I642" t="s">
        <v>65</v>
      </c>
      <c r="J642" t="s">
        <v>57</v>
      </c>
      <c r="K642" t="s">
        <v>88</v>
      </c>
      <c r="L642" t="s">
        <v>44</v>
      </c>
      <c r="M642" s="3">
        <v>9700</v>
      </c>
      <c r="N642" s="4">
        <v>0.24199999999999999</v>
      </c>
      <c r="O642" s="4">
        <v>0.35</v>
      </c>
      <c r="P642" t="s">
        <v>38</v>
      </c>
      <c r="R642">
        <v>180</v>
      </c>
      <c r="S642" s="3">
        <v>613.02</v>
      </c>
    </row>
    <row r="643" spans="1:19" x14ac:dyDescent="0.2">
      <c r="A643" t="s">
        <v>1180</v>
      </c>
      <c r="B643" s="2">
        <v>46188</v>
      </c>
      <c r="C643" s="2">
        <v>46277</v>
      </c>
      <c r="D643" t="s">
        <v>1120</v>
      </c>
      <c r="E643" t="s">
        <v>68</v>
      </c>
      <c r="F643" t="s">
        <v>22</v>
      </c>
      <c r="G643" t="s">
        <v>92</v>
      </c>
      <c r="H643" t="s">
        <v>41</v>
      </c>
      <c r="I643" t="s">
        <v>99</v>
      </c>
      <c r="J643" t="s">
        <v>57</v>
      </c>
      <c r="K643" t="s">
        <v>88</v>
      </c>
      <c r="L643" t="s">
        <v>44</v>
      </c>
      <c r="M643" s="3">
        <v>62000</v>
      </c>
      <c r="N643" s="4">
        <v>0.109</v>
      </c>
      <c r="O643" s="4">
        <v>0.4</v>
      </c>
      <c r="P643" t="s">
        <v>38</v>
      </c>
      <c r="R643">
        <v>89</v>
      </c>
      <c r="S643" s="3">
        <v>4602.13</v>
      </c>
    </row>
    <row r="644" spans="1:19" x14ac:dyDescent="0.2">
      <c r="A644" t="s">
        <v>1181</v>
      </c>
      <c r="B644" s="2">
        <v>46019</v>
      </c>
      <c r="C644" s="2">
        <v>46089</v>
      </c>
      <c r="D644" t="s">
        <v>959</v>
      </c>
      <c r="E644" t="s">
        <v>62</v>
      </c>
      <c r="F644" t="s">
        <v>74</v>
      </c>
      <c r="G644" t="s">
        <v>23</v>
      </c>
      <c r="H644" t="s">
        <v>41</v>
      </c>
      <c r="I644" t="s">
        <v>42</v>
      </c>
      <c r="J644" t="s">
        <v>85</v>
      </c>
      <c r="K644" t="s">
        <v>58</v>
      </c>
      <c r="L644" t="s">
        <v>51</v>
      </c>
      <c r="M644" s="3">
        <v>95600</v>
      </c>
      <c r="N644" s="4">
        <v>0.20300000000000001</v>
      </c>
      <c r="O644" s="4">
        <v>0.8</v>
      </c>
      <c r="P644" t="s">
        <v>59</v>
      </c>
      <c r="R644">
        <v>70</v>
      </c>
      <c r="S644" s="3">
        <v>6350.31</v>
      </c>
    </row>
    <row r="645" spans="1:19" x14ac:dyDescent="0.2">
      <c r="A645" t="s">
        <v>1182</v>
      </c>
      <c r="B645" s="2">
        <v>46252</v>
      </c>
      <c r="C645" s="2">
        <v>46321</v>
      </c>
      <c r="D645" t="s">
        <v>1183</v>
      </c>
      <c r="E645" t="s">
        <v>91</v>
      </c>
      <c r="F645" t="s">
        <v>22</v>
      </c>
      <c r="G645" t="s">
        <v>55</v>
      </c>
      <c r="H645" t="s">
        <v>64</v>
      </c>
      <c r="I645" t="s">
        <v>99</v>
      </c>
      <c r="J645" t="s">
        <v>36</v>
      </c>
      <c r="K645" t="s">
        <v>78</v>
      </c>
      <c r="L645" t="s">
        <v>28</v>
      </c>
      <c r="M645" s="3">
        <v>47900</v>
      </c>
      <c r="N645" s="4">
        <v>0.11</v>
      </c>
      <c r="O645" s="4">
        <v>0.55000000000000004</v>
      </c>
      <c r="P645" t="s">
        <v>79</v>
      </c>
      <c r="R645">
        <v>69</v>
      </c>
      <c r="S645" s="3">
        <v>3551.01</v>
      </c>
    </row>
    <row r="646" spans="1:19" x14ac:dyDescent="0.2">
      <c r="A646" t="s">
        <v>1184</v>
      </c>
      <c r="B646" s="2">
        <v>46026</v>
      </c>
      <c r="C646" s="2">
        <v>46136</v>
      </c>
      <c r="D646" t="s">
        <v>1185</v>
      </c>
      <c r="E646" t="s">
        <v>68</v>
      </c>
      <c r="F646" t="s">
        <v>48</v>
      </c>
      <c r="G646" t="s">
        <v>92</v>
      </c>
      <c r="H646" t="s">
        <v>98</v>
      </c>
      <c r="I646" t="s">
        <v>65</v>
      </c>
      <c r="J646" t="s">
        <v>43</v>
      </c>
      <c r="K646" t="s">
        <v>27</v>
      </c>
      <c r="L646" t="s">
        <v>28</v>
      </c>
      <c r="M646" s="3">
        <v>29000</v>
      </c>
      <c r="N646" s="4">
        <v>0.16300000000000001</v>
      </c>
      <c r="O646" s="4">
        <v>0</v>
      </c>
      <c r="P646" t="s">
        <v>29</v>
      </c>
      <c r="Q646" t="s">
        <v>126</v>
      </c>
      <c r="R646">
        <v>110</v>
      </c>
      <c r="S646" s="3">
        <v>2022.13</v>
      </c>
    </row>
    <row r="647" spans="1:19" x14ac:dyDescent="0.2">
      <c r="A647" t="s">
        <v>1186</v>
      </c>
      <c r="B647" s="2">
        <v>45970</v>
      </c>
      <c r="C647" s="2">
        <v>46018</v>
      </c>
      <c r="D647" t="s">
        <v>571</v>
      </c>
      <c r="E647" t="s">
        <v>82</v>
      </c>
      <c r="F647" t="s">
        <v>48</v>
      </c>
      <c r="G647" t="s">
        <v>63</v>
      </c>
      <c r="H647" t="s">
        <v>77</v>
      </c>
      <c r="I647" t="s">
        <v>84</v>
      </c>
      <c r="J647" t="s">
        <v>36</v>
      </c>
      <c r="K647" t="s">
        <v>88</v>
      </c>
      <c r="L647" t="s">
        <v>44</v>
      </c>
      <c r="M647" s="3">
        <v>14400</v>
      </c>
      <c r="N647" s="4">
        <v>9.5000000000000001E-2</v>
      </c>
      <c r="O647" s="4">
        <v>0.35</v>
      </c>
      <c r="P647" t="s">
        <v>38</v>
      </c>
      <c r="R647">
        <v>48</v>
      </c>
      <c r="S647" s="3">
        <v>1085.6199999999999</v>
      </c>
    </row>
    <row r="648" spans="1:19" x14ac:dyDescent="0.2">
      <c r="A648" t="s">
        <v>1187</v>
      </c>
      <c r="B648" s="2">
        <v>45973</v>
      </c>
      <c r="C648" s="2">
        <v>46030</v>
      </c>
      <c r="D648" t="s">
        <v>238</v>
      </c>
      <c r="E648" t="s">
        <v>21</v>
      </c>
      <c r="F648" t="s">
        <v>48</v>
      </c>
      <c r="G648" t="s">
        <v>55</v>
      </c>
      <c r="H648" t="s">
        <v>64</v>
      </c>
      <c r="I648" t="s">
        <v>35</v>
      </c>
      <c r="J648" t="s">
        <v>43</v>
      </c>
      <c r="K648" t="s">
        <v>88</v>
      </c>
      <c r="L648" t="s">
        <v>44</v>
      </c>
      <c r="M648" s="3">
        <v>23100</v>
      </c>
      <c r="N648" s="4">
        <v>0.14699999999999999</v>
      </c>
      <c r="O648" s="4">
        <v>0.35</v>
      </c>
      <c r="P648" t="s">
        <v>38</v>
      </c>
      <c r="R648">
        <v>57</v>
      </c>
      <c r="S648" s="3">
        <v>1641.5</v>
      </c>
    </row>
    <row r="649" spans="1:19" x14ac:dyDescent="0.2">
      <c r="A649" t="s">
        <v>1188</v>
      </c>
      <c r="B649" s="2">
        <v>45996</v>
      </c>
      <c r="C649" s="2">
        <v>46029</v>
      </c>
      <c r="D649" t="s">
        <v>1189</v>
      </c>
      <c r="E649" t="s">
        <v>82</v>
      </c>
      <c r="F649" t="s">
        <v>22</v>
      </c>
      <c r="G649" t="s">
        <v>23</v>
      </c>
      <c r="H649" t="s">
        <v>95</v>
      </c>
      <c r="I649" t="s">
        <v>25</v>
      </c>
      <c r="J649" t="s">
        <v>26</v>
      </c>
      <c r="K649" t="s">
        <v>106</v>
      </c>
      <c r="L649" t="s">
        <v>28</v>
      </c>
      <c r="M649" s="3">
        <v>60500</v>
      </c>
      <c r="N649" s="4">
        <v>0.189</v>
      </c>
      <c r="O649" s="4">
        <v>0.25</v>
      </c>
      <c r="P649" t="s">
        <v>38</v>
      </c>
      <c r="R649">
        <v>33</v>
      </c>
      <c r="S649" s="3">
        <v>4090.61</v>
      </c>
    </row>
    <row r="650" spans="1:19" x14ac:dyDescent="0.2">
      <c r="A650" t="s">
        <v>1190</v>
      </c>
      <c r="B650" s="2">
        <v>45995</v>
      </c>
      <c r="C650" s="2">
        <v>46119</v>
      </c>
      <c r="D650" t="s">
        <v>1191</v>
      </c>
      <c r="E650" t="s">
        <v>33</v>
      </c>
      <c r="F650" t="s">
        <v>48</v>
      </c>
      <c r="G650" t="s">
        <v>92</v>
      </c>
      <c r="H650" t="s">
        <v>120</v>
      </c>
      <c r="I650" t="s">
        <v>99</v>
      </c>
      <c r="J650" t="s">
        <v>26</v>
      </c>
      <c r="K650" t="s">
        <v>88</v>
      </c>
      <c r="L650" t="s">
        <v>28</v>
      </c>
      <c r="M650" s="3">
        <v>25500</v>
      </c>
      <c r="N650" s="4">
        <v>0.17799999999999999</v>
      </c>
      <c r="O650" s="4">
        <v>0.35</v>
      </c>
      <c r="P650" t="s">
        <v>38</v>
      </c>
      <c r="R650">
        <v>124</v>
      </c>
      <c r="S650" s="3">
        <v>1747.09</v>
      </c>
    </row>
    <row r="651" spans="1:19" x14ac:dyDescent="0.2">
      <c r="A651" t="s">
        <v>1192</v>
      </c>
      <c r="B651" s="2">
        <v>46119</v>
      </c>
      <c r="C651" s="2">
        <v>46161</v>
      </c>
      <c r="D651" t="s">
        <v>1094</v>
      </c>
      <c r="E651" t="s">
        <v>21</v>
      </c>
      <c r="F651" t="s">
        <v>48</v>
      </c>
      <c r="G651" t="s">
        <v>34</v>
      </c>
      <c r="H651" t="s">
        <v>41</v>
      </c>
      <c r="I651" t="s">
        <v>99</v>
      </c>
      <c r="J651" t="s">
        <v>43</v>
      </c>
      <c r="K651" t="s">
        <v>106</v>
      </c>
      <c r="L651" t="s">
        <v>51</v>
      </c>
      <c r="M651" s="3">
        <v>11600</v>
      </c>
      <c r="N651" s="4">
        <v>0.215</v>
      </c>
      <c r="O651" s="4">
        <v>0.25</v>
      </c>
      <c r="P651" t="s">
        <v>38</v>
      </c>
      <c r="R651">
        <v>42</v>
      </c>
      <c r="S651" s="3">
        <v>759.04</v>
      </c>
    </row>
    <row r="652" spans="1:19" x14ac:dyDescent="0.2">
      <c r="A652" t="s">
        <v>1193</v>
      </c>
      <c r="B652" s="2">
        <v>46259</v>
      </c>
      <c r="C652" s="2">
        <v>46325</v>
      </c>
      <c r="D652" t="s">
        <v>698</v>
      </c>
      <c r="E652" t="s">
        <v>111</v>
      </c>
      <c r="F652" t="s">
        <v>74</v>
      </c>
      <c r="G652" t="s">
        <v>63</v>
      </c>
      <c r="H652" t="s">
        <v>64</v>
      </c>
      <c r="I652" t="s">
        <v>25</v>
      </c>
      <c r="J652" t="s">
        <v>85</v>
      </c>
      <c r="K652" t="s">
        <v>78</v>
      </c>
      <c r="L652" t="s">
        <v>28</v>
      </c>
      <c r="M652" s="3">
        <v>157100</v>
      </c>
      <c r="N652" s="4">
        <v>0.16500000000000001</v>
      </c>
      <c r="O652" s="4">
        <v>0.55000000000000004</v>
      </c>
      <c r="P652" t="s">
        <v>79</v>
      </c>
      <c r="R652">
        <v>66</v>
      </c>
      <c r="S652" s="3">
        <v>10928.46</v>
      </c>
    </row>
    <row r="653" spans="1:19" x14ac:dyDescent="0.2">
      <c r="A653" t="s">
        <v>1194</v>
      </c>
      <c r="B653" s="2">
        <v>46032</v>
      </c>
      <c r="C653" s="2">
        <v>46117</v>
      </c>
      <c r="D653" t="s">
        <v>1195</v>
      </c>
      <c r="E653" t="s">
        <v>82</v>
      </c>
      <c r="F653" t="s">
        <v>48</v>
      </c>
      <c r="G653" t="s">
        <v>92</v>
      </c>
      <c r="H653" t="s">
        <v>64</v>
      </c>
      <c r="I653" t="s">
        <v>65</v>
      </c>
      <c r="J653" t="s">
        <v>36</v>
      </c>
      <c r="K653" t="s">
        <v>78</v>
      </c>
      <c r="L653" t="s">
        <v>51</v>
      </c>
      <c r="M653" s="3">
        <v>14900</v>
      </c>
      <c r="N653" s="4">
        <v>0.13300000000000001</v>
      </c>
      <c r="O653" s="4">
        <v>0.5</v>
      </c>
      <c r="P653" t="s">
        <v>79</v>
      </c>
      <c r="R653">
        <v>85</v>
      </c>
      <c r="S653" s="3">
        <v>1077.1300000000001</v>
      </c>
    </row>
    <row r="654" spans="1:19" x14ac:dyDescent="0.2">
      <c r="A654" t="s">
        <v>1196</v>
      </c>
      <c r="B654" s="2">
        <v>46127</v>
      </c>
      <c r="C654" s="2">
        <v>46221</v>
      </c>
      <c r="D654" t="s">
        <v>410</v>
      </c>
      <c r="E654" t="s">
        <v>62</v>
      </c>
      <c r="F654" t="s">
        <v>74</v>
      </c>
      <c r="G654" t="s">
        <v>63</v>
      </c>
      <c r="H654" t="s">
        <v>137</v>
      </c>
      <c r="I654" t="s">
        <v>42</v>
      </c>
      <c r="J654" t="s">
        <v>26</v>
      </c>
      <c r="K654" t="s">
        <v>58</v>
      </c>
      <c r="L654" t="s">
        <v>28</v>
      </c>
      <c r="M654" s="3">
        <v>348000</v>
      </c>
      <c r="N654" s="4">
        <v>3.1E-2</v>
      </c>
      <c r="O654" s="4">
        <v>0.75</v>
      </c>
      <c r="P654" t="s">
        <v>59</v>
      </c>
      <c r="R654">
        <v>94</v>
      </c>
      <c r="S654" s="3">
        <v>28099.46</v>
      </c>
    </row>
    <row r="655" spans="1:19" x14ac:dyDescent="0.2">
      <c r="A655" t="s">
        <v>1197</v>
      </c>
      <c r="B655" s="2">
        <v>46028</v>
      </c>
      <c r="C655" s="2">
        <v>46131</v>
      </c>
      <c r="D655" t="s">
        <v>1198</v>
      </c>
      <c r="E655" t="s">
        <v>91</v>
      </c>
      <c r="F655" t="s">
        <v>22</v>
      </c>
      <c r="G655" t="s">
        <v>63</v>
      </c>
      <c r="H655" t="s">
        <v>83</v>
      </c>
      <c r="I655" t="s">
        <v>25</v>
      </c>
      <c r="J655" t="s">
        <v>26</v>
      </c>
      <c r="K655" t="s">
        <v>50</v>
      </c>
      <c r="L655" t="s">
        <v>51</v>
      </c>
      <c r="M655" s="3">
        <v>99400</v>
      </c>
      <c r="N655" s="4">
        <v>6.8000000000000005E-2</v>
      </c>
      <c r="O655" s="4">
        <v>1</v>
      </c>
      <c r="P655" t="s">
        <v>29</v>
      </c>
      <c r="R655">
        <v>103</v>
      </c>
      <c r="S655" s="3">
        <v>7723.77</v>
      </c>
    </row>
    <row r="656" spans="1:19" x14ac:dyDescent="0.2">
      <c r="A656" t="s">
        <v>1199</v>
      </c>
      <c r="B656" s="2">
        <v>46242</v>
      </c>
      <c r="C656" s="2">
        <v>46337</v>
      </c>
      <c r="D656" t="s">
        <v>1200</v>
      </c>
      <c r="E656" t="s">
        <v>91</v>
      </c>
      <c r="F656" t="s">
        <v>74</v>
      </c>
      <c r="G656" t="s">
        <v>92</v>
      </c>
      <c r="H656" t="s">
        <v>120</v>
      </c>
      <c r="I656" t="s">
        <v>25</v>
      </c>
      <c r="J656" t="s">
        <v>43</v>
      </c>
      <c r="K656" t="s">
        <v>78</v>
      </c>
      <c r="L656" t="s">
        <v>51</v>
      </c>
      <c r="M656" s="3">
        <v>342400</v>
      </c>
      <c r="N656" s="4">
        <v>0.185</v>
      </c>
      <c r="O656" s="4">
        <v>0.55000000000000004</v>
      </c>
      <c r="P656" t="s">
        <v>79</v>
      </c>
      <c r="R656">
        <v>95</v>
      </c>
      <c r="S656" s="3">
        <v>23241.13</v>
      </c>
    </row>
    <row r="657" spans="1:19" x14ac:dyDescent="0.2">
      <c r="A657" t="s">
        <v>1201</v>
      </c>
      <c r="B657" s="2">
        <v>46055</v>
      </c>
      <c r="C657" s="2">
        <v>46178</v>
      </c>
      <c r="D657" t="s">
        <v>1202</v>
      </c>
      <c r="E657" t="s">
        <v>111</v>
      </c>
      <c r="F657" t="s">
        <v>48</v>
      </c>
      <c r="G657" t="s">
        <v>55</v>
      </c>
      <c r="H657" t="s">
        <v>77</v>
      </c>
      <c r="I657" t="s">
        <v>99</v>
      </c>
      <c r="J657" t="s">
        <v>57</v>
      </c>
      <c r="K657" t="s">
        <v>58</v>
      </c>
      <c r="L657" t="s">
        <v>44</v>
      </c>
      <c r="M657" s="3">
        <v>19700</v>
      </c>
      <c r="N657" s="4">
        <v>0.16</v>
      </c>
      <c r="O657" s="4">
        <v>0.8</v>
      </c>
      <c r="P657" t="s">
        <v>59</v>
      </c>
      <c r="R657">
        <v>123</v>
      </c>
      <c r="S657" s="3">
        <v>1379.7</v>
      </c>
    </row>
    <row r="658" spans="1:19" x14ac:dyDescent="0.2">
      <c r="A658" t="s">
        <v>1203</v>
      </c>
      <c r="B658" s="2">
        <v>46184</v>
      </c>
      <c r="C658" s="2">
        <v>46270</v>
      </c>
      <c r="D658" t="s">
        <v>1204</v>
      </c>
      <c r="E658" t="s">
        <v>91</v>
      </c>
      <c r="F658" t="s">
        <v>48</v>
      </c>
      <c r="G658" t="s">
        <v>92</v>
      </c>
      <c r="H658" t="s">
        <v>95</v>
      </c>
      <c r="I658" t="s">
        <v>42</v>
      </c>
      <c r="J658" t="s">
        <v>57</v>
      </c>
      <c r="K658" t="s">
        <v>50</v>
      </c>
      <c r="L658" t="s">
        <v>51</v>
      </c>
      <c r="M658" s="3">
        <v>25800</v>
      </c>
      <c r="N658" s="4">
        <v>6.5000000000000002E-2</v>
      </c>
      <c r="O658" s="4">
        <v>1</v>
      </c>
      <c r="P658" t="s">
        <v>29</v>
      </c>
      <c r="R658">
        <v>86</v>
      </c>
      <c r="S658" s="3">
        <v>2009.39</v>
      </c>
    </row>
    <row r="659" spans="1:19" x14ac:dyDescent="0.2">
      <c r="A659" t="s">
        <v>1205</v>
      </c>
      <c r="B659" s="2">
        <v>46129</v>
      </c>
      <c r="C659" s="2">
        <v>46153</v>
      </c>
      <c r="D659" t="s">
        <v>908</v>
      </c>
      <c r="E659" t="s">
        <v>82</v>
      </c>
      <c r="F659" t="s">
        <v>48</v>
      </c>
      <c r="G659" t="s">
        <v>34</v>
      </c>
      <c r="H659" t="s">
        <v>24</v>
      </c>
      <c r="I659" t="s">
        <v>84</v>
      </c>
      <c r="J659" t="s">
        <v>85</v>
      </c>
      <c r="K659" t="s">
        <v>50</v>
      </c>
      <c r="L659" t="s">
        <v>28</v>
      </c>
      <c r="M659" s="3">
        <v>18200</v>
      </c>
      <c r="N659" s="4">
        <v>0.20799999999999999</v>
      </c>
      <c r="O659" s="4">
        <v>1</v>
      </c>
      <c r="P659" t="s">
        <v>29</v>
      </c>
      <c r="R659">
        <v>24</v>
      </c>
      <c r="S659" s="3">
        <v>1200.7</v>
      </c>
    </row>
    <row r="660" spans="1:19" x14ac:dyDescent="0.2">
      <c r="A660" t="s">
        <v>1206</v>
      </c>
      <c r="B660" s="2">
        <v>46010</v>
      </c>
      <c r="C660" s="2">
        <v>46070</v>
      </c>
      <c r="D660" t="s">
        <v>1207</v>
      </c>
      <c r="E660" t="s">
        <v>82</v>
      </c>
      <c r="F660" t="s">
        <v>74</v>
      </c>
      <c r="G660" t="s">
        <v>23</v>
      </c>
      <c r="H660" t="s">
        <v>41</v>
      </c>
      <c r="I660" t="s">
        <v>65</v>
      </c>
      <c r="J660" t="s">
        <v>57</v>
      </c>
      <c r="K660" t="s">
        <v>37</v>
      </c>
      <c r="L660" t="s">
        <v>51</v>
      </c>
      <c r="M660" s="3">
        <v>277700</v>
      </c>
      <c r="N660" s="4">
        <v>0.13700000000000001</v>
      </c>
      <c r="O660" s="4">
        <v>0.15</v>
      </c>
      <c r="P660" t="s">
        <v>38</v>
      </c>
      <c r="R660">
        <v>60</v>
      </c>
      <c r="S660" s="3">
        <v>19972.439999999999</v>
      </c>
    </row>
    <row r="661" spans="1:19" x14ac:dyDescent="0.2">
      <c r="A661" t="s">
        <v>1208</v>
      </c>
      <c r="B661" s="2">
        <v>46037</v>
      </c>
      <c r="C661" s="2">
        <v>46087</v>
      </c>
      <c r="D661" t="s">
        <v>1209</v>
      </c>
      <c r="E661" t="s">
        <v>62</v>
      </c>
      <c r="F661" t="s">
        <v>22</v>
      </c>
      <c r="G661" t="s">
        <v>63</v>
      </c>
      <c r="H661" t="s">
        <v>95</v>
      </c>
      <c r="I661" t="s">
        <v>84</v>
      </c>
      <c r="J661" t="s">
        <v>85</v>
      </c>
      <c r="K661" t="s">
        <v>88</v>
      </c>
      <c r="L661" t="s">
        <v>51</v>
      </c>
      <c r="M661" s="3">
        <v>69300</v>
      </c>
      <c r="N661" s="4">
        <v>0.17199999999999999</v>
      </c>
      <c r="O661" s="4">
        <v>0.4</v>
      </c>
      <c r="P661" t="s">
        <v>38</v>
      </c>
      <c r="R661">
        <v>50</v>
      </c>
      <c r="S661" s="3">
        <v>4783.3500000000004</v>
      </c>
    </row>
    <row r="662" spans="1:19" x14ac:dyDescent="0.2">
      <c r="A662" t="s">
        <v>1210</v>
      </c>
      <c r="B662" s="2">
        <v>46110</v>
      </c>
      <c r="C662" s="2">
        <v>46158</v>
      </c>
      <c r="D662" t="s">
        <v>1211</v>
      </c>
      <c r="E662" t="s">
        <v>62</v>
      </c>
      <c r="F662" t="s">
        <v>22</v>
      </c>
      <c r="G662" t="s">
        <v>23</v>
      </c>
      <c r="H662" t="s">
        <v>98</v>
      </c>
      <c r="I662" t="s">
        <v>35</v>
      </c>
      <c r="J662" t="s">
        <v>85</v>
      </c>
      <c r="K662" t="s">
        <v>78</v>
      </c>
      <c r="L662" t="s">
        <v>28</v>
      </c>
      <c r="M662" s="3">
        <v>25900</v>
      </c>
      <c r="N662" s="4">
        <v>8.7999999999999995E-2</v>
      </c>
      <c r="O662" s="4">
        <v>0.55000000000000004</v>
      </c>
      <c r="P662" t="s">
        <v>79</v>
      </c>
      <c r="R662">
        <v>48</v>
      </c>
      <c r="S662" s="3">
        <v>1969.06</v>
      </c>
    </row>
    <row r="663" spans="1:19" x14ac:dyDescent="0.2">
      <c r="A663" t="s">
        <v>1212</v>
      </c>
      <c r="B663" s="2">
        <v>46151</v>
      </c>
      <c r="C663" s="2">
        <v>46287</v>
      </c>
      <c r="D663" t="s">
        <v>1213</v>
      </c>
      <c r="E663" t="s">
        <v>68</v>
      </c>
      <c r="F663" t="s">
        <v>22</v>
      </c>
      <c r="G663" t="s">
        <v>63</v>
      </c>
      <c r="H663" t="s">
        <v>98</v>
      </c>
      <c r="I663" t="s">
        <v>35</v>
      </c>
      <c r="J663" t="s">
        <v>43</v>
      </c>
      <c r="K663" t="s">
        <v>88</v>
      </c>
      <c r="L663" t="s">
        <v>28</v>
      </c>
      <c r="M663" s="3">
        <v>82800</v>
      </c>
      <c r="N663" s="4">
        <v>0.23300000000000001</v>
      </c>
      <c r="O663" s="4">
        <v>0.35</v>
      </c>
      <c r="P663" t="s">
        <v>38</v>
      </c>
      <c r="R663">
        <v>136</v>
      </c>
      <c r="S663" s="3">
        <v>5289.76</v>
      </c>
    </row>
    <row r="664" spans="1:19" x14ac:dyDescent="0.2">
      <c r="A664" t="s">
        <v>1214</v>
      </c>
      <c r="B664" s="2">
        <v>46211</v>
      </c>
      <c r="C664" s="2">
        <v>46311</v>
      </c>
      <c r="D664" t="s">
        <v>1215</v>
      </c>
      <c r="E664" t="s">
        <v>33</v>
      </c>
      <c r="F664" t="s">
        <v>48</v>
      </c>
      <c r="G664" t="s">
        <v>23</v>
      </c>
      <c r="H664" t="s">
        <v>41</v>
      </c>
      <c r="I664" t="s">
        <v>84</v>
      </c>
      <c r="J664" t="s">
        <v>43</v>
      </c>
      <c r="K664" t="s">
        <v>58</v>
      </c>
      <c r="L664" t="s">
        <v>44</v>
      </c>
      <c r="M664" s="3">
        <v>25700</v>
      </c>
      <c r="N664" s="4">
        <v>0.105</v>
      </c>
      <c r="O664" s="4">
        <v>0.75</v>
      </c>
      <c r="P664" t="s">
        <v>59</v>
      </c>
      <c r="R664">
        <v>100</v>
      </c>
      <c r="S664" s="3">
        <v>1917.49</v>
      </c>
    </row>
    <row r="665" spans="1:19" x14ac:dyDescent="0.2">
      <c r="A665" t="s">
        <v>1216</v>
      </c>
      <c r="B665" s="2">
        <v>46097</v>
      </c>
      <c r="C665" s="2">
        <v>46125</v>
      </c>
      <c r="D665" t="s">
        <v>1217</v>
      </c>
      <c r="E665" t="s">
        <v>91</v>
      </c>
      <c r="F665" t="s">
        <v>48</v>
      </c>
      <c r="G665" t="s">
        <v>34</v>
      </c>
      <c r="H665" t="s">
        <v>69</v>
      </c>
      <c r="I665" t="s">
        <v>65</v>
      </c>
      <c r="J665" t="s">
        <v>26</v>
      </c>
      <c r="K665" t="s">
        <v>106</v>
      </c>
      <c r="L665" t="s">
        <v>44</v>
      </c>
      <c r="M665" s="3">
        <v>17600</v>
      </c>
      <c r="N665" s="4">
        <v>9.9000000000000005E-2</v>
      </c>
      <c r="O665" s="4">
        <v>0.15</v>
      </c>
      <c r="P665" t="s">
        <v>38</v>
      </c>
      <c r="R665">
        <v>28</v>
      </c>
      <c r="S665" s="3">
        <v>1320.89</v>
      </c>
    </row>
    <row r="666" spans="1:19" x14ac:dyDescent="0.2">
      <c r="A666" t="s">
        <v>1218</v>
      </c>
      <c r="B666" s="2">
        <v>46266</v>
      </c>
      <c r="C666" s="2">
        <v>46277</v>
      </c>
      <c r="D666" t="s">
        <v>606</v>
      </c>
      <c r="E666" t="s">
        <v>111</v>
      </c>
      <c r="F666" t="s">
        <v>74</v>
      </c>
      <c r="G666" t="s">
        <v>34</v>
      </c>
      <c r="H666" t="s">
        <v>95</v>
      </c>
      <c r="I666" t="s">
        <v>25</v>
      </c>
      <c r="J666" t="s">
        <v>57</v>
      </c>
      <c r="K666" t="s">
        <v>50</v>
      </c>
      <c r="L666" t="s">
        <v>44</v>
      </c>
      <c r="M666" s="3">
        <v>129500</v>
      </c>
      <c r="N666" s="4">
        <v>0.14499999999999999</v>
      </c>
      <c r="O666" s="4">
        <v>0.95</v>
      </c>
      <c r="P666" t="s">
        <v>29</v>
      </c>
      <c r="R666">
        <v>11</v>
      </c>
      <c r="S666" s="3">
        <v>9224.57</v>
      </c>
    </row>
    <row r="667" spans="1:19" x14ac:dyDescent="0.2">
      <c r="A667" t="s">
        <v>1219</v>
      </c>
      <c r="B667" s="2">
        <v>46135</v>
      </c>
      <c r="C667" s="2">
        <v>46192</v>
      </c>
      <c r="D667" t="s">
        <v>1220</v>
      </c>
      <c r="E667" t="s">
        <v>68</v>
      </c>
      <c r="F667" t="s">
        <v>74</v>
      </c>
      <c r="G667" t="s">
        <v>34</v>
      </c>
      <c r="H667" t="s">
        <v>69</v>
      </c>
      <c r="I667" t="s">
        <v>84</v>
      </c>
      <c r="J667" t="s">
        <v>57</v>
      </c>
      <c r="K667" t="s">
        <v>88</v>
      </c>
      <c r="L667" t="s">
        <v>28</v>
      </c>
      <c r="M667" s="3">
        <v>225200</v>
      </c>
      <c r="N667" s="4">
        <v>5.0000000000000001E-3</v>
      </c>
      <c r="O667" s="4">
        <v>0.35</v>
      </c>
      <c r="P667" t="s">
        <v>38</v>
      </c>
      <c r="R667">
        <v>57</v>
      </c>
      <c r="S667" s="3">
        <v>18677.939999999999</v>
      </c>
    </row>
    <row r="668" spans="1:19" x14ac:dyDescent="0.2">
      <c r="A668" t="s">
        <v>1221</v>
      </c>
      <c r="B668" s="2">
        <v>45970</v>
      </c>
      <c r="C668" s="2">
        <v>46131</v>
      </c>
      <c r="D668" t="s">
        <v>443</v>
      </c>
      <c r="E668" t="s">
        <v>62</v>
      </c>
      <c r="F668" t="s">
        <v>48</v>
      </c>
      <c r="G668" t="s">
        <v>63</v>
      </c>
      <c r="H668" t="s">
        <v>56</v>
      </c>
      <c r="I668" t="s">
        <v>99</v>
      </c>
      <c r="J668" t="s">
        <v>36</v>
      </c>
      <c r="K668" t="s">
        <v>50</v>
      </c>
      <c r="L668" t="s">
        <v>44</v>
      </c>
      <c r="M668" s="3">
        <v>10500</v>
      </c>
      <c r="N668" s="4">
        <v>0.129</v>
      </c>
      <c r="O668" s="4">
        <v>0.95</v>
      </c>
      <c r="P668" t="s">
        <v>29</v>
      </c>
      <c r="R668">
        <v>161</v>
      </c>
      <c r="S668" s="3">
        <v>761.89</v>
      </c>
    </row>
    <row r="669" spans="1:19" x14ac:dyDescent="0.2">
      <c r="A669" t="s">
        <v>1222</v>
      </c>
      <c r="B669" s="2">
        <v>46136</v>
      </c>
      <c r="C669" s="2">
        <v>46260</v>
      </c>
      <c r="D669" t="s">
        <v>1041</v>
      </c>
      <c r="E669" t="s">
        <v>33</v>
      </c>
      <c r="F669" t="s">
        <v>48</v>
      </c>
      <c r="G669" t="s">
        <v>63</v>
      </c>
      <c r="H669" t="s">
        <v>49</v>
      </c>
      <c r="I669" t="s">
        <v>42</v>
      </c>
      <c r="J669" t="s">
        <v>43</v>
      </c>
      <c r="K669" t="s">
        <v>37</v>
      </c>
      <c r="L669" t="s">
        <v>44</v>
      </c>
      <c r="M669" s="3">
        <v>14000</v>
      </c>
      <c r="N669" s="4">
        <v>2.5999999999999999E-2</v>
      </c>
      <c r="O669" s="4">
        <v>0.1</v>
      </c>
      <c r="P669" t="s">
        <v>38</v>
      </c>
      <c r="R669">
        <v>124</v>
      </c>
      <c r="S669" s="3">
        <v>1135.8499999999999</v>
      </c>
    </row>
    <row r="670" spans="1:19" x14ac:dyDescent="0.2">
      <c r="A670" t="s">
        <v>1223</v>
      </c>
      <c r="B670" s="2">
        <v>46239</v>
      </c>
      <c r="C670" s="2">
        <v>46325</v>
      </c>
      <c r="D670" t="s">
        <v>1224</v>
      </c>
      <c r="E670" t="s">
        <v>21</v>
      </c>
      <c r="F670" t="s">
        <v>22</v>
      </c>
      <c r="G670" t="s">
        <v>34</v>
      </c>
      <c r="H670" t="s">
        <v>98</v>
      </c>
      <c r="I670" t="s">
        <v>42</v>
      </c>
      <c r="J670" t="s">
        <v>43</v>
      </c>
      <c r="K670" t="s">
        <v>78</v>
      </c>
      <c r="L670" t="s">
        <v>51</v>
      </c>
      <c r="M670" s="3">
        <v>40100</v>
      </c>
      <c r="N670" s="4">
        <v>0.13800000000000001</v>
      </c>
      <c r="O670" s="4">
        <v>0.55000000000000004</v>
      </c>
      <c r="P670" t="s">
        <v>79</v>
      </c>
      <c r="R670">
        <v>86</v>
      </c>
      <c r="S670" s="3">
        <v>2880.59</v>
      </c>
    </row>
    <row r="671" spans="1:19" x14ac:dyDescent="0.2">
      <c r="A671" t="s">
        <v>1225</v>
      </c>
      <c r="B671" s="2">
        <v>46113</v>
      </c>
      <c r="C671" s="2">
        <v>46157</v>
      </c>
      <c r="D671" t="s">
        <v>327</v>
      </c>
      <c r="E671" t="s">
        <v>68</v>
      </c>
      <c r="F671" t="s">
        <v>22</v>
      </c>
      <c r="G671" t="s">
        <v>55</v>
      </c>
      <c r="H671" t="s">
        <v>49</v>
      </c>
      <c r="I671" t="s">
        <v>42</v>
      </c>
      <c r="J671" t="s">
        <v>85</v>
      </c>
      <c r="K671" t="s">
        <v>58</v>
      </c>
      <c r="L671" t="s">
        <v>51</v>
      </c>
      <c r="M671" s="3">
        <v>45700</v>
      </c>
      <c r="N671" s="4">
        <v>2.8000000000000001E-2</v>
      </c>
      <c r="O671" s="4">
        <v>0.75</v>
      </c>
      <c r="P671" t="s">
        <v>59</v>
      </c>
      <c r="R671">
        <v>44</v>
      </c>
      <c r="S671" s="3">
        <v>3701.5</v>
      </c>
    </row>
    <row r="672" spans="1:19" x14ac:dyDescent="0.2">
      <c r="A672" t="s">
        <v>1226</v>
      </c>
      <c r="B672" s="2">
        <v>46198</v>
      </c>
      <c r="C672" s="2">
        <v>46308</v>
      </c>
      <c r="D672" t="s">
        <v>445</v>
      </c>
      <c r="E672" t="s">
        <v>68</v>
      </c>
      <c r="F672" t="s">
        <v>22</v>
      </c>
      <c r="G672" t="s">
        <v>92</v>
      </c>
      <c r="H672" t="s">
        <v>137</v>
      </c>
      <c r="I672" t="s">
        <v>84</v>
      </c>
      <c r="J672" t="s">
        <v>43</v>
      </c>
      <c r="K672" t="s">
        <v>78</v>
      </c>
      <c r="L672" t="s">
        <v>44</v>
      </c>
      <c r="M672" s="3">
        <v>78100</v>
      </c>
      <c r="N672" s="4">
        <v>0.126</v>
      </c>
      <c r="O672" s="4">
        <v>0.55000000000000004</v>
      </c>
      <c r="P672" t="s">
        <v>79</v>
      </c>
      <c r="R672">
        <v>110</v>
      </c>
      <c r="S672" s="3">
        <v>5685.06</v>
      </c>
    </row>
    <row r="673" spans="1:19" x14ac:dyDescent="0.2">
      <c r="A673" t="s">
        <v>1227</v>
      </c>
      <c r="B673" s="2">
        <v>45939</v>
      </c>
      <c r="C673" s="2">
        <v>46008</v>
      </c>
      <c r="D673" t="s">
        <v>1228</v>
      </c>
      <c r="E673" t="s">
        <v>68</v>
      </c>
      <c r="F673" t="s">
        <v>48</v>
      </c>
      <c r="G673" t="s">
        <v>92</v>
      </c>
      <c r="H673" t="s">
        <v>83</v>
      </c>
      <c r="I673" t="s">
        <v>99</v>
      </c>
      <c r="J673" t="s">
        <v>85</v>
      </c>
      <c r="K673" t="s">
        <v>88</v>
      </c>
      <c r="L673" t="s">
        <v>28</v>
      </c>
      <c r="M673" s="3">
        <v>19700</v>
      </c>
      <c r="N673" s="4">
        <v>0.254</v>
      </c>
      <c r="O673" s="4">
        <v>0.35</v>
      </c>
      <c r="P673" t="s">
        <v>38</v>
      </c>
      <c r="R673">
        <v>69</v>
      </c>
      <c r="S673" s="3">
        <v>1223.95</v>
      </c>
    </row>
    <row r="674" spans="1:19" x14ac:dyDescent="0.2">
      <c r="A674" t="s">
        <v>1229</v>
      </c>
      <c r="B674" s="2">
        <v>46254</v>
      </c>
      <c r="C674" s="2">
        <v>46304</v>
      </c>
      <c r="D674" t="s">
        <v>1230</v>
      </c>
      <c r="E674" t="s">
        <v>33</v>
      </c>
      <c r="F674" t="s">
        <v>22</v>
      </c>
      <c r="G674" t="s">
        <v>63</v>
      </c>
      <c r="H674" t="s">
        <v>49</v>
      </c>
      <c r="I674" t="s">
        <v>65</v>
      </c>
      <c r="J674" t="s">
        <v>85</v>
      </c>
      <c r="K674" t="s">
        <v>37</v>
      </c>
      <c r="L674" t="s">
        <v>44</v>
      </c>
      <c r="M674" s="3">
        <v>89500</v>
      </c>
      <c r="N674" s="4">
        <v>7.6999999999999999E-2</v>
      </c>
      <c r="O674" s="4">
        <v>0.15</v>
      </c>
      <c r="P674" t="s">
        <v>38</v>
      </c>
      <c r="R674">
        <v>50</v>
      </c>
      <c r="S674" s="3">
        <v>6885.86</v>
      </c>
    </row>
    <row r="675" spans="1:19" x14ac:dyDescent="0.2">
      <c r="A675" t="s">
        <v>1231</v>
      </c>
      <c r="B675" s="2">
        <v>45934</v>
      </c>
      <c r="C675" s="2">
        <v>46019</v>
      </c>
      <c r="D675" t="s">
        <v>982</v>
      </c>
      <c r="E675" t="s">
        <v>33</v>
      </c>
      <c r="F675" t="s">
        <v>48</v>
      </c>
      <c r="G675" t="s">
        <v>34</v>
      </c>
      <c r="H675" t="s">
        <v>77</v>
      </c>
      <c r="I675" t="s">
        <v>25</v>
      </c>
      <c r="J675" t="s">
        <v>85</v>
      </c>
      <c r="K675" t="s">
        <v>27</v>
      </c>
      <c r="L675" t="s">
        <v>51</v>
      </c>
      <c r="M675" s="3">
        <v>27300</v>
      </c>
      <c r="N675" s="4">
        <v>3.1E-2</v>
      </c>
      <c r="O675" s="4">
        <v>0</v>
      </c>
      <c r="P675" t="s">
        <v>29</v>
      </c>
      <c r="Q675" t="s">
        <v>126</v>
      </c>
      <c r="R675">
        <v>85</v>
      </c>
      <c r="S675" s="3">
        <v>2203.5100000000002</v>
      </c>
    </row>
    <row r="676" spans="1:19" x14ac:dyDescent="0.2">
      <c r="A676" t="s">
        <v>1232</v>
      </c>
      <c r="B676" s="2">
        <v>46254</v>
      </c>
      <c r="C676" s="2">
        <v>46329</v>
      </c>
      <c r="D676" t="s">
        <v>1233</v>
      </c>
      <c r="E676" t="s">
        <v>62</v>
      </c>
      <c r="F676" t="s">
        <v>48</v>
      </c>
      <c r="G676" t="s">
        <v>23</v>
      </c>
      <c r="H676" t="s">
        <v>77</v>
      </c>
      <c r="I676" t="s">
        <v>35</v>
      </c>
      <c r="J676" t="s">
        <v>43</v>
      </c>
      <c r="K676" t="s">
        <v>37</v>
      </c>
      <c r="L676" t="s">
        <v>44</v>
      </c>
      <c r="M676" s="3">
        <v>11800</v>
      </c>
      <c r="N676" s="4">
        <v>4.1000000000000002E-2</v>
      </c>
      <c r="O676" s="4">
        <v>0.05</v>
      </c>
      <c r="P676" t="s">
        <v>38</v>
      </c>
      <c r="R676">
        <v>75</v>
      </c>
      <c r="S676" s="3">
        <v>943.14</v>
      </c>
    </row>
    <row r="677" spans="1:19" x14ac:dyDescent="0.2">
      <c r="A677" t="s">
        <v>1234</v>
      </c>
      <c r="B677" s="2">
        <v>46130</v>
      </c>
      <c r="C677" s="2">
        <v>46251</v>
      </c>
      <c r="D677" t="s">
        <v>1235</v>
      </c>
      <c r="E677" t="s">
        <v>62</v>
      </c>
      <c r="F677" t="s">
        <v>22</v>
      </c>
      <c r="G677" t="s">
        <v>34</v>
      </c>
      <c r="H677" t="s">
        <v>41</v>
      </c>
      <c r="I677" t="s">
        <v>84</v>
      </c>
      <c r="J677" t="s">
        <v>26</v>
      </c>
      <c r="K677" t="s">
        <v>78</v>
      </c>
      <c r="L677" t="s">
        <v>28</v>
      </c>
      <c r="M677" s="3">
        <v>95000</v>
      </c>
      <c r="N677" s="4">
        <v>0.14799999999999999</v>
      </c>
      <c r="O677" s="4">
        <v>0.55000000000000004</v>
      </c>
      <c r="P677" t="s">
        <v>79</v>
      </c>
      <c r="R677">
        <v>121</v>
      </c>
      <c r="S677" s="3">
        <v>6747.18</v>
      </c>
    </row>
    <row r="678" spans="1:19" x14ac:dyDescent="0.2">
      <c r="A678" t="s">
        <v>1236</v>
      </c>
      <c r="B678" s="2">
        <v>46257</v>
      </c>
      <c r="C678" s="2">
        <v>46334</v>
      </c>
      <c r="D678" t="s">
        <v>1237</v>
      </c>
      <c r="E678" t="s">
        <v>21</v>
      </c>
      <c r="F678" t="s">
        <v>22</v>
      </c>
      <c r="G678" t="s">
        <v>23</v>
      </c>
      <c r="H678" t="s">
        <v>49</v>
      </c>
      <c r="I678" t="s">
        <v>42</v>
      </c>
      <c r="J678" t="s">
        <v>85</v>
      </c>
      <c r="K678" t="s">
        <v>88</v>
      </c>
      <c r="L678" t="s">
        <v>44</v>
      </c>
      <c r="M678" s="3">
        <v>95700</v>
      </c>
      <c r="N678" s="4">
        <v>0.157</v>
      </c>
      <c r="O678" s="4">
        <v>0.35</v>
      </c>
      <c r="P678" t="s">
        <v>38</v>
      </c>
      <c r="R678">
        <v>77</v>
      </c>
      <c r="S678" s="3">
        <v>6721.52</v>
      </c>
    </row>
    <row r="679" spans="1:19" x14ac:dyDescent="0.2">
      <c r="A679" t="s">
        <v>1238</v>
      </c>
      <c r="B679" s="2">
        <v>46162</v>
      </c>
      <c r="C679" s="2">
        <v>46245</v>
      </c>
      <c r="D679" t="s">
        <v>1239</v>
      </c>
      <c r="E679" t="s">
        <v>33</v>
      </c>
      <c r="F679" t="s">
        <v>22</v>
      </c>
      <c r="G679" t="s">
        <v>23</v>
      </c>
      <c r="H679" t="s">
        <v>41</v>
      </c>
      <c r="I679" t="s">
        <v>35</v>
      </c>
      <c r="J679" t="s">
        <v>43</v>
      </c>
      <c r="K679" t="s">
        <v>78</v>
      </c>
      <c r="L679" t="s">
        <v>51</v>
      </c>
      <c r="M679" s="3">
        <v>53900</v>
      </c>
      <c r="N679" s="4">
        <v>0.17299999999999999</v>
      </c>
      <c r="O679" s="4">
        <v>0.55000000000000004</v>
      </c>
      <c r="P679" t="s">
        <v>79</v>
      </c>
      <c r="R679">
        <v>83</v>
      </c>
      <c r="S679" s="3">
        <v>3712.5</v>
      </c>
    </row>
    <row r="680" spans="1:19" x14ac:dyDescent="0.2">
      <c r="A680" t="s">
        <v>1240</v>
      </c>
      <c r="B680" s="2">
        <v>46061</v>
      </c>
      <c r="C680" s="2">
        <v>46194</v>
      </c>
      <c r="D680" t="s">
        <v>1241</v>
      </c>
      <c r="E680" t="s">
        <v>91</v>
      </c>
      <c r="F680" t="s">
        <v>48</v>
      </c>
      <c r="G680" t="s">
        <v>63</v>
      </c>
      <c r="H680" t="s">
        <v>69</v>
      </c>
      <c r="I680" t="s">
        <v>84</v>
      </c>
      <c r="J680" t="s">
        <v>57</v>
      </c>
      <c r="K680" t="s">
        <v>27</v>
      </c>
      <c r="L680" t="s">
        <v>44</v>
      </c>
      <c r="M680" s="3">
        <v>15100</v>
      </c>
      <c r="N680" s="4">
        <v>0.14599999999999999</v>
      </c>
      <c r="O680" s="4">
        <v>0</v>
      </c>
      <c r="P680" t="s">
        <v>29</v>
      </c>
      <c r="Q680" t="s">
        <v>30</v>
      </c>
      <c r="R680">
        <v>133</v>
      </c>
      <c r="S680" s="3">
        <v>1075.19</v>
      </c>
    </row>
    <row r="681" spans="1:19" x14ac:dyDescent="0.2">
      <c r="A681" t="s">
        <v>1242</v>
      </c>
      <c r="B681" s="2">
        <v>46160</v>
      </c>
      <c r="C681" s="2">
        <v>46213</v>
      </c>
      <c r="D681" t="s">
        <v>47</v>
      </c>
      <c r="E681" t="s">
        <v>91</v>
      </c>
      <c r="F681" t="s">
        <v>22</v>
      </c>
      <c r="G681" t="s">
        <v>63</v>
      </c>
      <c r="H681" t="s">
        <v>49</v>
      </c>
      <c r="I681" t="s">
        <v>84</v>
      </c>
      <c r="J681" t="s">
        <v>85</v>
      </c>
      <c r="K681" t="s">
        <v>50</v>
      </c>
      <c r="L681" t="s">
        <v>51</v>
      </c>
      <c r="M681" s="3">
        <v>89500</v>
      </c>
      <c r="N681" s="4">
        <v>9.0999999999999998E-2</v>
      </c>
      <c r="O681" s="4">
        <v>1</v>
      </c>
      <c r="P681" t="s">
        <v>29</v>
      </c>
      <c r="R681">
        <v>53</v>
      </c>
      <c r="S681" s="3">
        <v>6777.56</v>
      </c>
    </row>
    <row r="682" spans="1:19" x14ac:dyDescent="0.2">
      <c r="A682" t="s">
        <v>1243</v>
      </c>
      <c r="B682" s="2">
        <v>46190</v>
      </c>
      <c r="C682" s="2">
        <v>46293</v>
      </c>
      <c r="D682" t="s">
        <v>1244</v>
      </c>
      <c r="E682" t="s">
        <v>62</v>
      </c>
      <c r="F682" t="s">
        <v>48</v>
      </c>
      <c r="G682" t="s">
        <v>63</v>
      </c>
      <c r="H682" t="s">
        <v>41</v>
      </c>
      <c r="I682" t="s">
        <v>99</v>
      </c>
      <c r="J682" t="s">
        <v>26</v>
      </c>
      <c r="K682" t="s">
        <v>58</v>
      </c>
      <c r="L682" t="s">
        <v>51</v>
      </c>
      <c r="M682" s="3">
        <v>24600</v>
      </c>
      <c r="N682" s="4">
        <v>7.1999999999999995E-2</v>
      </c>
      <c r="O682" s="4">
        <v>0.7</v>
      </c>
      <c r="P682" t="s">
        <v>59</v>
      </c>
      <c r="R682">
        <v>103</v>
      </c>
      <c r="S682" s="3">
        <v>1903.07</v>
      </c>
    </row>
    <row r="683" spans="1:19" x14ac:dyDescent="0.2">
      <c r="A683" t="s">
        <v>1245</v>
      </c>
      <c r="B683" s="2">
        <v>46198</v>
      </c>
      <c r="C683" s="2">
        <v>46299</v>
      </c>
      <c r="D683" t="s">
        <v>1246</v>
      </c>
      <c r="E683" t="s">
        <v>82</v>
      </c>
      <c r="F683" t="s">
        <v>48</v>
      </c>
      <c r="G683" t="s">
        <v>55</v>
      </c>
      <c r="H683" t="s">
        <v>41</v>
      </c>
      <c r="I683" t="s">
        <v>84</v>
      </c>
      <c r="J683" t="s">
        <v>26</v>
      </c>
      <c r="K683" t="s">
        <v>78</v>
      </c>
      <c r="L683" t="s">
        <v>44</v>
      </c>
      <c r="M683" s="3">
        <v>14600</v>
      </c>
      <c r="N683" s="4">
        <v>0.21299999999999999</v>
      </c>
      <c r="O683" s="4">
        <v>0.6</v>
      </c>
      <c r="P683" t="s">
        <v>79</v>
      </c>
      <c r="R683">
        <v>101</v>
      </c>
      <c r="S683" s="3">
        <v>957.57</v>
      </c>
    </row>
    <row r="684" spans="1:19" x14ac:dyDescent="0.2">
      <c r="A684" t="s">
        <v>1247</v>
      </c>
      <c r="B684" s="2">
        <v>46111</v>
      </c>
      <c r="C684" s="2">
        <v>46151</v>
      </c>
      <c r="D684" t="s">
        <v>974</v>
      </c>
      <c r="E684" t="s">
        <v>111</v>
      </c>
      <c r="F684" t="s">
        <v>22</v>
      </c>
      <c r="G684" t="s">
        <v>92</v>
      </c>
      <c r="H684" t="s">
        <v>64</v>
      </c>
      <c r="I684" t="s">
        <v>65</v>
      </c>
      <c r="J684" t="s">
        <v>43</v>
      </c>
      <c r="K684" t="s">
        <v>78</v>
      </c>
      <c r="L684" t="s">
        <v>44</v>
      </c>
      <c r="M684" s="3">
        <v>50200</v>
      </c>
      <c r="N684" s="4">
        <v>9.9000000000000005E-2</v>
      </c>
      <c r="O684" s="4">
        <v>0.6</v>
      </c>
      <c r="P684" t="s">
        <v>79</v>
      </c>
      <c r="R684">
        <v>40</v>
      </c>
      <c r="S684" s="3">
        <v>3770</v>
      </c>
    </row>
    <row r="685" spans="1:19" x14ac:dyDescent="0.2">
      <c r="A685" t="s">
        <v>1248</v>
      </c>
      <c r="B685" s="2">
        <v>46238</v>
      </c>
      <c r="C685" s="2">
        <v>46273</v>
      </c>
      <c r="D685" t="s">
        <v>1249</v>
      </c>
      <c r="E685" t="s">
        <v>33</v>
      </c>
      <c r="F685" t="s">
        <v>48</v>
      </c>
      <c r="G685" t="s">
        <v>55</v>
      </c>
      <c r="H685" t="s">
        <v>49</v>
      </c>
      <c r="I685" t="s">
        <v>99</v>
      </c>
      <c r="J685" t="s">
        <v>26</v>
      </c>
      <c r="K685" t="s">
        <v>78</v>
      </c>
      <c r="L685" t="s">
        <v>28</v>
      </c>
      <c r="M685" s="3">
        <v>29300</v>
      </c>
      <c r="N685" s="4">
        <v>7.0999999999999994E-2</v>
      </c>
      <c r="O685" s="4">
        <v>0.55000000000000004</v>
      </c>
      <c r="P685" t="s">
        <v>79</v>
      </c>
      <c r="R685">
        <v>35</v>
      </c>
      <c r="S685" s="3">
        <v>2267.9</v>
      </c>
    </row>
    <row r="686" spans="1:19" x14ac:dyDescent="0.2">
      <c r="A686" t="s">
        <v>1250</v>
      </c>
      <c r="B686" s="2">
        <v>46091</v>
      </c>
      <c r="C686" s="2">
        <v>46238</v>
      </c>
      <c r="D686" t="s">
        <v>1251</v>
      </c>
      <c r="E686" t="s">
        <v>21</v>
      </c>
      <c r="F686" t="s">
        <v>48</v>
      </c>
      <c r="G686" t="s">
        <v>23</v>
      </c>
      <c r="H686" t="s">
        <v>41</v>
      </c>
      <c r="I686" t="s">
        <v>84</v>
      </c>
      <c r="J686" t="s">
        <v>85</v>
      </c>
      <c r="K686" t="s">
        <v>58</v>
      </c>
      <c r="L686" t="s">
        <v>51</v>
      </c>
      <c r="M686" s="3">
        <v>17800</v>
      </c>
      <c r="N686" s="4">
        <v>0.152</v>
      </c>
      <c r="O686" s="4">
        <v>0.8</v>
      </c>
      <c r="P686" t="s">
        <v>59</v>
      </c>
      <c r="R686">
        <v>147</v>
      </c>
      <c r="S686" s="3">
        <v>1258.53</v>
      </c>
    </row>
    <row r="687" spans="1:19" x14ac:dyDescent="0.2">
      <c r="A687" t="s">
        <v>1252</v>
      </c>
      <c r="B687" s="2">
        <v>45960</v>
      </c>
      <c r="C687" s="2">
        <v>46077</v>
      </c>
      <c r="D687" t="s">
        <v>457</v>
      </c>
      <c r="E687" t="s">
        <v>62</v>
      </c>
      <c r="F687" t="s">
        <v>48</v>
      </c>
      <c r="G687" t="s">
        <v>23</v>
      </c>
      <c r="H687" t="s">
        <v>41</v>
      </c>
      <c r="I687" t="s">
        <v>35</v>
      </c>
      <c r="J687" t="s">
        <v>85</v>
      </c>
      <c r="K687" t="s">
        <v>106</v>
      </c>
      <c r="L687" t="s">
        <v>28</v>
      </c>
      <c r="M687" s="3">
        <v>8300</v>
      </c>
      <c r="N687" s="4">
        <v>5.0000000000000001E-3</v>
      </c>
      <c r="O687" s="4">
        <v>0.25</v>
      </c>
      <c r="P687" t="s">
        <v>38</v>
      </c>
      <c r="R687">
        <v>117</v>
      </c>
      <c r="S687" s="3">
        <v>688.26</v>
      </c>
    </row>
    <row r="688" spans="1:19" x14ac:dyDescent="0.2">
      <c r="A688" t="s">
        <v>1253</v>
      </c>
      <c r="B688" s="2">
        <v>46046</v>
      </c>
      <c r="C688" s="2">
        <v>46194</v>
      </c>
      <c r="D688" t="s">
        <v>370</v>
      </c>
      <c r="E688" t="s">
        <v>62</v>
      </c>
      <c r="F688" t="s">
        <v>48</v>
      </c>
      <c r="G688" t="s">
        <v>23</v>
      </c>
      <c r="H688" t="s">
        <v>98</v>
      </c>
      <c r="I688" t="s">
        <v>25</v>
      </c>
      <c r="J688" t="s">
        <v>36</v>
      </c>
      <c r="K688" t="s">
        <v>50</v>
      </c>
      <c r="L688" t="s">
        <v>44</v>
      </c>
      <c r="M688" s="3">
        <v>21900</v>
      </c>
      <c r="N688" s="4">
        <v>9.5000000000000001E-2</v>
      </c>
      <c r="O688" s="4">
        <v>0.95</v>
      </c>
      <c r="P688" t="s">
        <v>29</v>
      </c>
      <c r="R688">
        <v>148</v>
      </c>
      <c r="S688" s="3">
        <v>1652.42</v>
      </c>
    </row>
    <row r="689" spans="1:19" x14ac:dyDescent="0.2">
      <c r="A689" t="s">
        <v>1254</v>
      </c>
      <c r="B689" s="2">
        <v>46132</v>
      </c>
      <c r="C689" s="2">
        <v>46240</v>
      </c>
      <c r="D689" t="s">
        <v>110</v>
      </c>
      <c r="E689" t="s">
        <v>91</v>
      </c>
      <c r="F689" t="s">
        <v>48</v>
      </c>
      <c r="G689" t="s">
        <v>34</v>
      </c>
      <c r="H689" t="s">
        <v>49</v>
      </c>
      <c r="I689" t="s">
        <v>35</v>
      </c>
      <c r="J689" t="s">
        <v>85</v>
      </c>
      <c r="K689" t="s">
        <v>58</v>
      </c>
      <c r="L689" t="s">
        <v>28</v>
      </c>
      <c r="M689" s="3">
        <v>12500</v>
      </c>
      <c r="N689" s="4">
        <v>8.7999999999999995E-2</v>
      </c>
      <c r="O689" s="4">
        <v>0.75</v>
      </c>
      <c r="P689" t="s">
        <v>59</v>
      </c>
      <c r="R689">
        <v>108</v>
      </c>
      <c r="S689" s="3">
        <v>949.5</v>
      </c>
    </row>
    <row r="690" spans="1:19" x14ac:dyDescent="0.2">
      <c r="A690" t="s">
        <v>1255</v>
      </c>
      <c r="B690" s="2">
        <v>46055</v>
      </c>
      <c r="C690" s="2">
        <v>46180</v>
      </c>
      <c r="D690" t="s">
        <v>1088</v>
      </c>
      <c r="E690" t="s">
        <v>54</v>
      </c>
      <c r="F690" t="s">
        <v>74</v>
      </c>
      <c r="G690" t="s">
        <v>63</v>
      </c>
      <c r="H690" t="s">
        <v>120</v>
      </c>
      <c r="I690" t="s">
        <v>84</v>
      </c>
      <c r="J690" t="s">
        <v>43</v>
      </c>
      <c r="K690" t="s">
        <v>27</v>
      </c>
      <c r="L690" t="s">
        <v>51</v>
      </c>
      <c r="M690" s="3">
        <v>347300</v>
      </c>
      <c r="N690" s="4">
        <v>0.11700000000000001</v>
      </c>
      <c r="O690" s="4">
        <v>0</v>
      </c>
      <c r="P690" t="s">
        <v>29</v>
      </c>
      <c r="Q690" t="s">
        <v>126</v>
      </c>
      <c r="R690">
        <v>125</v>
      </c>
      <c r="S690" s="3">
        <v>25544.58</v>
      </c>
    </row>
    <row r="691" spans="1:19" x14ac:dyDescent="0.2">
      <c r="A691" t="s">
        <v>1256</v>
      </c>
      <c r="B691" s="2">
        <v>46254</v>
      </c>
      <c r="C691" s="2">
        <v>46294</v>
      </c>
      <c r="D691" t="s">
        <v>1257</v>
      </c>
      <c r="E691" t="s">
        <v>33</v>
      </c>
      <c r="F691" t="s">
        <v>48</v>
      </c>
      <c r="G691" t="s">
        <v>34</v>
      </c>
      <c r="H691" t="s">
        <v>49</v>
      </c>
      <c r="I691" t="s">
        <v>99</v>
      </c>
      <c r="J691" t="s">
        <v>57</v>
      </c>
      <c r="K691" t="s">
        <v>37</v>
      </c>
      <c r="L691" t="s">
        <v>28</v>
      </c>
      <c r="M691" s="3">
        <v>28200</v>
      </c>
      <c r="N691" s="4">
        <v>6.5000000000000002E-2</v>
      </c>
      <c r="O691" s="4">
        <v>0.15</v>
      </c>
      <c r="P691" t="s">
        <v>38</v>
      </c>
      <c r="R691">
        <v>40</v>
      </c>
      <c r="S691" s="3">
        <v>2196.81</v>
      </c>
    </row>
    <row r="692" spans="1:19" x14ac:dyDescent="0.2">
      <c r="A692" t="s">
        <v>1258</v>
      </c>
      <c r="B692" s="2">
        <v>46254</v>
      </c>
      <c r="C692" s="2">
        <v>46329</v>
      </c>
      <c r="D692" t="s">
        <v>1116</v>
      </c>
      <c r="E692" t="s">
        <v>68</v>
      </c>
      <c r="F692" t="s">
        <v>48</v>
      </c>
      <c r="G692" t="s">
        <v>23</v>
      </c>
      <c r="H692" t="s">
        <v>83</v>
      </c>
      <c r="I692" t="s">
        <v>65</v>
      </c>
      <c r="J692" t="s">
        <v>43</v>
      </c>
      <c r="K692" t="s">
        <v>37</v>
      </c>
      <c r="L692" t="s">
        <v>28</v>
      </c>
      <c r="M692" s="3">
        <v>16400</v>
      </c>
      <c r="N692" s="4">
        <v>0.14499999999999999</v>
      </c>
      <c r="O692" s="4">
        <v>0.05</v>
      </c>
      <c r="P692" t="s">
        <v>38</v>
      </c>
      <c r="R692">
        <v>75</v>
      </c>
      <c r="S692" s="3">
        <v>1168.5999999999999</v>
      </c>
    </row>
    <row r="693" spans="1:19" x14ac:dyDescent="0.2">
      <c r="A693" t="s">
        <v>1259</v>
      </c>
      <c r="B693" s="2">
        <v>45942</v>
      </c>
      <c r="C693" s="2">
        <v>46067</v>
      </c>
      <c r="D693" t="s">
        <v>1260</v>
      </c>
      <c r="E693" t="s">
        <v>111</v>
      </c>
      <c r="F693" t="s">
        <v>48</v>
      </c>
      <c r="G693" t="s">
        <v>34</v>
      </c>
      <c r="H693" t="s">
        <v>41</v>
      </c>
      <c r="I693" t="s">
        <v>84</v>
      </c>
      <c r="J693" t="s">
        <v>36</v>
      </c>
      <c r="K693" t="s">
        <v>37</v>
      </c>
      <c r="L693" t="s">
        <v>28</v>
      </c>
      <c r="M693" s="3">
        <v>29900</v>
      </c>
      <c r="N693" s="4">
        <v>5.3999999999999999E-2</v>
      </c>
      <c r="O693" s="4">
        <v>0.1</v>
      </c>
      <c r="P693" t="s">
        <v>38</v>
      </c>
      <c r="R693">
        <v>125</v>
      </c>
      <c r="S693" s="3">
        <v>2358.23</v>
      </c>
    </row>
    <row r="694" spans="1:19" x14ac:dyDescent="0.2">
      <c r="A694" t="s">
        <v>1261</v>
      </c>
      <c r="B694" s="2">
        <v>45942</v>
      </c>
      <c r="C694" s="2">
        <v>45995</v>
      </c>
      <c r="D694" t="s">
        <v>581</v>
      </c>
      <c r="E694" t="s">
        <v>62</v>
      </c>
      <c r="F694" t="s">
        <v>48</v>
      </c>
      <c r="G694" t="s">
        <v>92</v>
      </c>
      <c r="H694" t="s">
        <v>49</v>
      </c>
      <c r="I694" t="s">
        <v>42</v>
      </c>
      <c r="J694" t="s">
        <v>26</v>
      </c>
      <c r="K694" t="s">
        <v>37</v>
      </c>
      <c r="L694" t="s">
        <v>51</v>
      </c>
      <c r="M694" s="3">
        <v>23000</v>
      </c>
      <c r="N694" s="4">
        <v>6.3E-2</v>
      </c>
      <c r="O694" s="4">
        <v>0.1</v>
      </c>
      <c r="P694" t="s">
        <v>38</v>
      </c>
      <c r="R694">
        <v>53</v>
      </c>
      <c r="S694" s="3">
        <v>1795.17</v>
      </c>
    </row>
    <row r="695" spans="1:19" x14ac:dyDescent="0.2">
      <c r="A695" t="s">
        <v>1262</v>
      </c>
      <c r="B695" s="2">
        <v>46247</v>
      </c>
      <c r="C695" s="2">
        <v>46310</v>
      </c>
      <c r="D695" t="s">
        <v>1263</v>
      </c>
      <c r="E695" t="s">
        <v>111</v>
      </c>
      <c r="F695" t="s">
        <v>48</v>
      </c>
      <c r="G695" t="s">
        <v>92</v>
      </c>
      <c r="H695" t="s">
        <v>137</v>
      </c>
      <c r="I695" t="s">
        <v>84</v>
      </c>
      <c r="J695" t="s">
        <v>26</v>
      </c>
      <c r="K695" t="s">
        <v>88</v>
      </c>
      <c r="L695" t="s">
        <v>44</v>
      </c>
      <c r="M695" s="3">
        <v>22200</v>
      </c>
      <c r="N695" s="4">
        <v>0.129</v>
      </c>
      <c r="O695" s="4">
        <v>0.35</v>
      </c>
      <c r="P695" t="s">
        <v>38</v>
      </c>
      <c r="R695">
        <v>63</v>
      </c>
      <c r="S695" s="3">
        <v>1610.75</v>
      </c>
    </row>
    <row r="696" spans="1:19" x14ac:dyDescent="0.2">
      <c r="A696" t="s">
        <v>1264</v>
      </c>
      <c r="B696" s="2">
        <v>46065</v>
      </c>
      <c r="C696" s="2">
        <v>46097</v>
      </c>
      <c r="D696" t="s">
        <v>105</v>
      </c>
      <c r="E696" t="s">
        <v>62</v>
      </c>
      <c r="F696" t="s">
        <v>22</v>
      </c>
      <c r="G696" t="s">
        <v>63</v>
      </c>
      <c r="H696" t="s">
        <v>95</v>
      </c>
      <c r="I696" t="s">
        <v>99</v>
      </c>
      <c r="J696" t="s">
        <v>26</v>
      </c>
      <c r="K696" t="s">
        <v>78</v>
      </c>
      <c r="L696" t="s">
        <v>44</v>
      </c>
      <c r="M696" s="3">
        <v>93900</v>
      </c>
      <c r="N696" s="4">
        <v>7.6999999999999999E-2</v>
      </c>
      <c r="O696" s="4">
        <v>0.55000000000000004</v>
      </c>
      <c r="P696" t="s">
        <v>79</v>
      </c>
      <c r="R696">
        <v>32</v>
      </c>
      <c r="S696" s="3">
        <v>7220.67</v>
      </c>
    </row>
    <row r="697" spans="1:19" x14ac:dyDescent="0.2">
      <c r="A697" t="s">
        <v>1265</v>
      </c>
      <c r="B697" s="2">
        <v>46171</v>
      </c>
      <c r="C697" s="2">
        <v>46213</v>
      </c>
      <c r="D697" t="s">
        <v>1266</v>
      </c>
      <c r="E697" t="s">
        <v>21</v>
      </c>
      <c r="F697" t="s">
        <v>22</v>
      </c>
      <c r="G697" t="s">
        <v>55</v>
      </c>
      <c r="H697" t="s">
        <v>56</v>
      </c>
      <c r="I697" t="s">
        <v>42</v>
      </c>
      <c r="J697" t="s">
        <v>85</v>
      </c>
      <c r="K697" t="s">
        <v>88</v>
      </c>
      <c r="L697" t="s">
        <v>51</v>
      </c>
      <c r="M697" s="3">
        <v>82200</v>
      </c>
      <c r="N697" s="4">
        <v>0.31</v>
      </c>
      <c r="O697" s="4">
        <v>0.35</v>
      </c>
      <c r="P697" t="s">
        <v>38</v>
      </c>
      <c r="R697">
        <v>42</v>
      </c>
      <c r="S697" s="3">
        <v>4724.87</v>
      </c>
    </row>
    <row r="698" spans="1:19" x14ac:dyDescent="0.2">
      <c r="A698" t="s">
        <v>1267</v>
      </c>
      <c r="B698" s="2">
        <v>46185</v>
      </c>
      <c r="C698" s="2">
        <v>46242</v>
      </c>
      <c r="D698" t="s">
        <v>1268</v>
      </c>
      <c r="E698" t="s">
        <v>62</v>
      </c>
      <c r="F698" t="s">
        <v>48</v>
      </c>
      <c r="G698" t="s">
        <v>92</v>
      </c>
      <c r="H698" t="s">
        <v>41</v>
      </c>
      <c r="I698" t="s">
        <v>42</v>
      </c>
      <c r="J698" t="s">
        <v>85</v>
      </c>
      <c r="K698" t="s">
        <v>37</v>
      </c>
      <c r="L698" t="s">
        <v>51</v>
      </c>
      <c r="M698" s="3">
        <v>11000</v>
      </c>
      <c r="N698" s="4">
        <v>0.152</v>
      </c>
      <c r="O698" s="4">
        <v>0.1</v>
      </c>
      <c r="P698" t="s">
        <v>38</v>
      </c>
      <c r="R698">
        <v>57</v>
      </c>
      <c r="S698" s="3">
        <v>776.9</v>
      </c>
    </row>
    <row r="699" spans="1:19" x14ac:dyDescent="0.2">
      <c r="A699" t="s">
        <v>1269</v>
      </c>
      <c r="B699" s="2">
        <v>46159</v>
      </c>
      <c r="C699" s="2">
        <v>46205</v>
      </c>
      <c r="D699" t="s">
        <v>1270</v>
      </c>
      <c r="E699" t="s">
        <v>54</v>
      </c>
      <c r="F699" t="s">
        <v>48</v>
      </c>
      <c r="G699" t="s">
        <v>63</v>
      </c>
      <c r="H699" t="s">
        <v>137</v>
      </c>
      <c r="I699" t="s">
        <v>42</v>
      </c>
      <c r="J699" t="s">
        <v>57</v>
      </c>
      <c r="K699" t="s">
        <v>88</v>
      </c>
      <c r="L699" t="s">
        <v>51</v>
      </c>
      <c r="M699" s="3">
        <v>16500</v>
      </c>
      <c r="N699" s="4">
        <v>7.9000000000000001E-2</v>
      </c>
      <c r="O699" s="4">
        <v>0.35</v>
      </c>
      <c r="P699" t="s">
        <v>38</v>
      </c>
      <c r="R699">
        <v>46</v>
      </c>
      <c r="S699" s="3">
        <v>1266.25</v>
      </c>
    </row>
    <row r="700" spans="1:19" x14ac:dyDescent="0.2">
      <c r="A700" t="s">
        <v>1271</v>
      </c>
      <c r="B700" s="2">
        <v>46055</v>
      </c>
      <c r="C700" s="2">
        <v>46091</v>
      </c>
      <c r="D700" t="s">
        <v>700</v>
      </c>
      <c r="E700" t="s">
        <v>33</v>
      </c>
      <c r="F700" t="s">
        <v>48</v>
      </c>
      <c r="G700" t="s">
        <v>92</v>
      </c>
      <c r="H700" t="s">
        <v>64</v>
      </c>
      <c r="I700" t="s">
        <v>84</v>
      </c>
      <c r="J700" t="s">
        <v>85</v>
      </c>
      <c r="K700" t="s">
        <v>58</v>
      </c>
      <c r="L700" t="s">
        <v>44</v>
      </c>
      <c r="M700" s="3">
        <v>22800</v>
      </c>
      <c r="N700" s="4">
        <v>0.222</v>
      </c>
      <c r="O700" s="4">
        <v>0.7</v>
      </c>
      <c r="P700" t="s">
        <v>59</v>
      </c>
      <c r="R700">
        <v>36</v>
      </c>
      <c r="S700" s="3">
        <v>1479.04</v>
      </c>
    </row>
    <row r="701" spans="1:19" x14ac:dyDescent="0.2">
      <c r="A701" t="s">
        <v>1272</v>
      </c>
      <c r="B701" s="2">
        <v>46169</v>
      </c>
      <c r="C701" s="2">
        <v>46292</v>
      </c>
      <c r="D701" t="s">
        <v>616</v>
      </c>
      <c r="E701" t="s">
        <v>91</v>
      </c>
      <c r="F701" t="s">
        <v>48</v>
      </c>
      <c r="G701" t="s">
        <v>92</v>
      </c>
      <c r="H701" t="s">
        <v>95</v>
      </c>
      <c r="I701" t="s">
        <v>25</v>
      </c>
      <c r="J701" t="s">
        <v>26</v>
      </c>
      <c r="K701" t="s">
        <v>78</v>
      </c>
      <c r="L701" t="s">
        <v>28</v>
      </c>
      <c r="M701" s="3">
        <v>29200</v>
      </c>
      <c r="N701" s="4">
        <v>0.14799999999999999</v>
      </c>
      <c r="O701" s="4">
        <v>0.55000000000000004</v>
      </c>
      <c r="P701" t="s">
        <v>79</v>
      </c>
      <c r="R701">
        <v>123</v>
      </c>
      <c r="S701" s="3">
        <v>2073.3200000000002</v>
      </c>
    </row>
    <row r="702" spans="1:19" x14ac:dyDescent="0.2">
      <c r="A702" t="s">
        <v>1273</v>
      </c>
      <c r="B702" s="2">
        <v>46111</v>
      </c>
      <c r="C702" s="2">
        <v>46198</v>
      </c>
      <c r="D702" t="s">
        <v>740</v>
      </c>
      <c r="E702" t="s">
        <v>111</v>
      </c>
      <c r="F702" t="s">
        <v>74</v>
      </c>
      <c r="G702" t="s">
        <v>92</v>
      </c>
      <c r="H702" t="s">
        <v>69</v>
      </c>
      <c r="I702" t="s">
        <v>65</v>
      </c>
      <c r="J702" t="s">
        <v>43</v>
      </c>
      <c r="K702" t="s">
        <v>50</v>
      </c>
      <c r="L702" t="s">
        <v>51</v>
      </c>
      <c r="M702" s="3">
        <v>85700</v>
      </c>
      <c r="N702" s="4">
        <v>0.17399999999999999</v>
      </c>
      <c r="O702" s="4">
        <v>1</v>
      </c>
      <c r="P702" t="s">
        <v>29</v>
      </c>
      <c r="R702">
        <v>87</v>
      </c>
      <c r="S702" s="3">
        <v>5899.36</v>
      </c>
    </row>
    <row r="703" spans="1:19" x14ac:dyDescent="0.2">
      <c r="A703" t="s">
        <v>1274</v>
      </c>
      <c r="B703" s="2">
        <v>46122</v>
      </c>
      <c r="C703" s="2">
        <v>46190</v>
      </c>
      <c r="D703" t="s">
        <v>1275</v>
      </c>
      <c r="E703" t="s">
        <v>82</v>
      </c>
      <c r="F703" t="s">
        <v>48</v>
      </c>
      <c r="G703" t="s">
        <v>63</v>
      </c>
      <c r="H703" t="s">
        <v>41</v>
      </c>
      <c r="I703" t="s">
        <v>65</v>
      </c>
      <c r="J703" t="s">
        <v>26</v>
      </c>
      <c r="K703" t="s">
        <v>58</v>
      </c>
      <c r="L703" t="s">
        <v>44</v>
      </c>
      <c r="M703" s="3">
        <v>13000</v>
      </c>
      <c r="N703" s="4">
        <v>0.20200000000000001</v>
      </c>
      <c r="O703" s="4">
        <v>0.75</v>
      </c>
      <c r="P703" t="s">
        <v>59</v>
      </c>
      <c r="R703">
        <v>68</v>
      </c>
      <c r="S703" s="3">
        <v>865.03</v>
      </c>
    </row>
    <row r="704" spans="1:19" x14ac:dyDescent="0.2">
      <c r="A704" t="s">
        <v>1276</v>
      </c>
      <c r="B704" s="2">
        <v>46257</v>
      </c>
      <c r="C704" s="2">
        <v>46313</v>
      </c>
      <c r="D704" t="s">
        <v>1277</v>
      </c>
      <c r="E704" t="s">
        <v>54</v>
      </c>
      <c r="F704" t="s">
        <v>22</v>
      </c>
      <c r="G704" t="s">
        <v>63</v>
      </c>
      <c r="H704" t="s">
        <v>120</v>
      </c>
      <c r="I704" t="s">
        <v>25</v>
      </c>
      <c r="J704" t="s">
        <v>36</v>
      </c>
      <c r="K704" t="s">
        <v>37</v>
      </c>
      <c r="L704" t="s">
        <v>44</v>
      </c>
      <c r="M704" s="3">
        <v>62600</v>
      </c>
      <c r="N704" s="4">
        <v>0.13500000000000001</v>
      </c>
      <c r="O704" s="4">
        <v>0.1</v>
      </c>
      <c r="P704" t="s">
        <v>38</v>
      </c>
      <c r="R704">
        <v>56</v>
      </c>
      <c r="S704" s="3">
        <v>4510.8999999999996</v>
      </c>
    </row>
    <row r="705" spans="1:19" x14ac:dyDescent="0.2">
      <c r="A705" t="s">
        <v>1278</v>
      </c>
      <c r="B705" s="2">
        <v>46223</v>
      </c>
      <c r="C705" s="2">
        <v>46277</v>
      </c>
      <c r="D705" t="s">
        <v>1279</v>
      </c>
      <c r="E705" t="s">
        <v>91</v>
      </c>
      <c r="F705" t="s">
        <v>48</v>
      </c>
      <c r="G705" t="s">
        <v>55</v>
      </c>
      <c r="H705" t="s">
        <v>98</v>
      </c>
      <c r="I705" t="s">
        <v>35</v>
      </c>
      <c r="J705" t="s">
        <v>57</v>
      </c>
      <c r="K705" t="s">
        <v>50</v>
      </c>
      <c r="L705" t="s">
        <v>28</v>
      </c>
      <c r="M705" s="3">
        <v>26300</v>
      </c>
      <c r="N705" s="4">
        <v>0.11600000000000001</v>
      </c>
      <c r="O705" s="4">
        <v>1</v>
      </c>
      <c r="P705" t="s">
        <v>29</v>
      </c>
      <c r="R705">
        <v>54</v>
      </c>
      <c r="S705" s="3">
        <v>1937.38</v>
      </c>
    </row>
    <row r="706" spans="1:19" x14ac:dyDescent="0.2">
      <c r="A706" t="s">
        <v>1280</v>
      </c>
      <c r="B706" s="2">
        <v>46147</v>
      </c>
      <c r="C706" s="2">
        <v>46193</v>
      </c>
      <c r="D706" t="s">
        <v>1281</v>
      </c>
      <c r="E706" t="s">
        <v>68</v>
      </c>
      <c r="F706" t="s">
        <v>22</v>
      </c>
      <c r="G706" t="s">
        <v>34</v>
      </c>
      <c r="H706" t="s">
        <v>98</v>
      </c>
      <c r="I706" t="s">
        <v>25</v>
      </c>
      <c r="J706" t="s">
        <v>57</v>
      </c>
      <c r="K706" t="s">
        <v>58</v>
      </c>
      <c r="L706" t="s">
        <v>28</v>
      </c>
      <c r="M706" s="3">
        <v>73500</v>
      </c>
      <c r="N706" s="4">
        <v>0.18</v>
      </c>
      <c r="O706" s="4">
        <v>0.7</v>
      </c>
      <c r="P706" t="s">
        <v>59</v>
      </c>
      <c r="R706">
        <v>46</v>
      </c>
      <c r="S706" s="3">
        <v>5021.42</v>
      </c>
    </row>
    <row r="707" spans="1:19" x14ac:dyDescent="0.2">
      <c r="A707" t="s">
        <v>1282</v>
      </c>
      <c r="B707" s="2">
        <v>46263</v>
      </c>
      <c r="C707" s="2">
        <v>46314</v>
      </c>
      <c r="D707" t="s">
        <v>141</v>
      </c>
      <c r="E707" t="s">
        <v>21</v>
      </c>
      <c r="F707" t="s">
        <v>48</v>
      </c>
      <c r="G707" t="s">
        <v>92</v>
      </c>
      <c r="H707" t="s">
        <v>69</v>
      </c>
      <c r="I707" t="s">
        <v>42</v>
      </c>
      <c r="J707" t="s">
        <v>85</v>
      </c>
      <c r="K707" t="s">
        <v>88</v>
      </c>
      <c r="L707" t="s">
        <v>44</v>
      </c>
      <c r="M707" s="3">
        <v>14500</v>
      </c>
      <c r="N707" s="4">
        <v>4.0000000000000001E-3</v>
      </c>
      <c r="O707" s="4">
        <v>0.35</v>
      </c>
      <c r="P707" t="s">
        <v>38</v>
      </c>
      <c r="R707">
        <v>51</v>
      </c>
      <c r="S707" s="3">
        <v>1203.72</v>
      </c>
    </row>
    <row r="708" spans="1:19" x14ac:dyDescent="0.2">
      <c r="A708" t="s">
        <v>1283</v>
      </c>
      <c r="B708" s="2">
        <v>46078</v>
      </c>
      <c r="C708" s="2">
        <v>46244</v>
      </c>
      <c r="D708" t="s">
        <v>476</v>
      </c>
      <c r="E708" t="s">
        <v>54</v>
      </c>
      <c r="F708" t="s">
        <v>74</v>
      </c>
      <c r="G708" t="s">
        <v>34</v>
      </c>
      <c r="H708" t="s">
        <v>77</v>
      </c>
      <c r="I708" t="s">
        <v>84</v>
      </c>
      <c r="J708" t="s">
        <v>85</v>
      </c>
      <c r="K708" t="s">
        <v>27</v>
      </c>
      <c r="L708" t="s">
        <v>28</v>
      </c>
      <c r="M708" s="3">
        <v>165800</v>
      </c>
      <c r="N708" s="4">
        <v>9.2999999999999999E-2</v>
      </c>
      <c r="O708" s="4">
        <v>0</v>
      </c>
      <c r="P708" t="s">
        <v>29</v>
      </c>
      <c r="Q708" t="s">
        <v>30</v>
      </c>
      <c r="R708">
        <v>166</v>
      </c>
      <c r="S708" s="3">
        <v>12532.85</v>
      </c>
    </row>
    <row r="709" spans="1:19" x14ac:dyDescent="0.2">
      <c r="A709" t="s">
        <v>1284</v>
      </c>
      <c r="B709" s="2">
        <v>46068</v>
      </c>
      <c r="C709" s="2">
        <v>46111</v>
      </c>
      <c r="D709" t="s">
        <v>1285</v>
      </c>
      <c r="E709" t="s">
        <v>62</v>
      </c>
      <c r="F709" t="s">
        <v>74</v>
      </c>
      <c r="G709" t="s">
        <v>92</v>
      </c>
      <c r="H709" t="s">
        <v>24</v>
      </c>
      <c r="I709" t="s">
        <v>99</v>
      </c>
      <c r="J709" t="s">
        <v>36</v>
      </c>
      <c r="K709" t="s">
        <v>37</v>
      </c>
      <c r="L709" t="s">
        <v>44</v>
      </c>
      <c r="M709" s="3">
        <v>339000</v>
      </c>
      <c r="N709" s="4">
        <v>4.3999999999999997E-2</v>
      </c>
      <c r="O709" s="4">
        <v>0.05</v>
      </c>
      <c r="P709" t="s">
        <v>38</v>
      </c>
      <c r="R709">
        <v>43</v>
      </c>
      <c r="S709" s="3">
        <v>26994.73</v>
      </c>
    </row>
    <row r="710" spans="1:19" x14ac:dyDescent="0.2">
      <c r="A710" t="s">
        <v>1286</v>
      </c>
      <c r="B710" s="2">
        <v>46230</v>
      </c>
      <c r="C710" s="2">
        <v>46326</v>
      </c>
      <c r="D710" t="s">
        <v>1287</v>
      </c>
      <c r="E710" t="s">
        <v>111</v>
      </c>
      <c r="F710" t="s">
        <v>22</v>
      </c>
      <c r="G710" t="s">
        <v>23</v>
      </c>
      <c r="H710" t="s">
        <v>120</v>
      </c>
      <c r="I710" t="s">
        <v>35</v>
      </c>
      <c r="J710" t="s">
        <v>43</v>
      </c>
      <c r="K710" t="s">
        <v>37</v>
      </c>
      <c r="L710" t="s">
        <v>51</v>
      </c>
      <c r="M710" s="3">
        <v>87100</v>
      </c>
      <c r="N710" s="4">
        <v>0</v>
      </c>
      <c r="O710" s="4">
        <v>0.1</v>
      </c>
      <c r="P710" t="s">
        <v>38</v>
      </c>
      <c r="R710">
        <v>96</v>
      </c>
      <c r="S710" s="3">
        <v>7258.33</v>
      </c>
    </row>
    <row r="711" spans="1:19" x14ac:dyDescent="0.2">
      <c r="A711" t="s">
        <v>1288</v>
      </c>
      <c r="B711" s="2">
        <v>46090</v>
      </c>
      <c r="C711" s="2">
        <v>46165</v>
      </c>
      <c r="D711" t="s">
        <v>1289</v>
      </c>
      <c r="E711" t="s">
        <v>82</v>
      </c>
      <c r="F711" t="s">
        <v>48</v>
      </c>
      <c r="G711" t="s">
        <v>63</v>
      </c>
      <c r="H711" t="s">
        <v>24</v>
      </c>
      <c r="I711" t="s">
        <v>99</v>
      </c>
      <c r="J711" t="s">
        <v>43</v>
      </c>
      <c r="K711" t="s">
        <v>58</v>
      </c>
      <c r="L711" t="s">
        <v>28</v>
      </c>
      <c r="M711" s="3">
        <v>23100</v>
      </c>
      <c r="N711" s="4">
        <v>9.6000000000000002E-2</v>
      </c>
      <c r="O711" s="4">
        <v>0.75</v>
      </c>
      <c r="P711" t="s">
        <v>59</v>
      </c>
      <c r="R711">
        <v>75</v>
      </c>
      <c r="S711" s="3">
        <v>1739.85</v>
      </c>
    </row>
    <row r="712" spans="1:19" x14ac:dyDescent="0.2">
      <c r="A712" t="s">
        <v>1290</v>
      </c>
      <c r="B712" s="2">
        <v>45964</v>
      </c>
      <c r="C712" s="2">
        <v>46053</v>
      </c>
      <c r="D712" t="s">
        <v>474</v>
      </c>
      <c r="E712" t="s">
        <v>91</v>
      </c>
      <c r="F712" t="s">
        <v>48</v>
      </c>
      <c r="G712" t="s">
        <v>55</v>
      </c>
      <c r="H712" t="s">
        <v>64</v>
      </c>
      <c r="I712" t="s">
        <v>35</v>
      </c>
      <c r="J712" t="s">
        <v>57</v>
      </c>
      <c r="K712" t="s">
        <v>37</v>
      </c>
      <c r="L712" t="s">
        <v>28</v>
      </c>
      <c r="M712" s="3">
        <v>23200</v>
      </c>
      <c r="N712" s="4">
        <v>0.13800000000000001</v>
      </c>
      <c r="O712" s="4">
        <v>0.1</v>
      </c>
      <c r="P712" t="s">
        <v>38</v>
      </c>
      <c r="R712">
        <v>89</v>
      </c>
      <c r="S712" s="3">
        <v>1667.35</v>
      </c>
    </row>
    <row r="713" spans="1:19" x14ac:dyDescent="0.2">
      <c r="A713" t="s">
        <v>1291</v>
      </c>
      <c r="B713" s="2">
        <v>45994</v>
      </c>
      <c r="C713" s="2">
        <v>46095</v>
      </c>
      <c r="D713" t="s">
        <v>1292</v>
      </c>
      <c r="E713" t="s">
        <v>33</v>
      </c>
      <c r="F713" t="s">
        <v>22</v>
      </c>
      <c r="G713" t="s">
        <v>23</v>
      </c>
      <c r="H713" t="s">
        <v>83</v>
      </c>
      <c r="I713" t="s">
        <v>42</v>
      </c>
      <c r="J713" t="s">
        <v>26</v>
      </c>
      <c r="K713" t="s">
        <v>37</v>
      </c>
      <c r="L713" t="s">
        <v>28</v>
      </c>
      <c r="M713" s="3">
        <v>41700</v>
      </c>
      <c r="N713" s="4">
        <v>0.19400000000000001</v>
      </c>
      <c r="O713" s="4">
        <v>0.1</v>
      </c>
      <c r="P713" t="s">
        <v>38</v>
      </c>
      <c r="R713">
        <v>101</v>
      </c>
      <c r="S713" s="3">
        <v>2799.66</v>
      </c>
    </row>
    <row r="714" spans="1:19" x14ac:dyDescent="0.2">
      <c r="A714" t="s">
        <v>1293</v>
      </c>
      <c r="B714" s="2">
        <v>46137</v>
      </c>
      <c r="C714" s="2">
        <v>46175</v>
      </c>
      <c r="D714" t="s">
        <v>1294</v>
      </c>
      <c r="E714" t="s">
        <v>54</v>
      </c>
      <c r="F714" t="s">
        <v>48</v>
      </c>
      <c r="G714" t="s">
        <v>23</v>
      </c>
      <c r="H714" t="s">
        <v>69</v>
      </c>
      <c r="I714" t="s">
        <v>35</v>
      </c>
      <c r="J714" t="s">
        <v>57</v>
      </c>
      <c r="K714" t="s">
        <v>88</v>
      </c>
      <c r="L714" t="s">
        <v>51</v>
      </c>
      <c r="M714" s="3">
        <v>17600</v>
      </c>
      <c r="N714" s="4">
        <v>0.14799999999999999</v>
      </c>
      <c r="O714" s="4">
        <v>0.35</v>
      </c>
      <c r="P714" t="s">
        <v>38</v>
      </c>
      <c r="R714">
        <v>38</v>
      </c>
      <c r="S714" s="3">
        <v>1249.67</v>
      </c>
    </row>
    <row r="715" spans="1:19" x14ac:dyDescent="0.2">
      <c r="A715" t="s">
        <v>1295</v>
      </c>
      <c r="B715" s="2">
        <v>45940</v>
      </c>
      <c r="C715" s="2">
        <v>46043</v>
      </c>
      <c r="D715" t="s">
        <v>206</v>
      </c>
      <c r="E715" t="s">
        <v>33</v>
      </c>
      <c r="F715" t="s">
        <v>22</v>
      </c>
      <c r="G715" t="s">
        <v>23</v>
      </c>
      <c r="H715" t="s">
        <v>77</v>
      </c>
      <c r="I715" t="s">
        <v>42</v>
      </c>
      <c r="J715" t="s">
        <v>43</v>
      </c>
      <c r="K715" t="s">
        <v>106</v>
      </c>
      <c r="L715" t="s">
        <v>51</v>
      </c>
      <c r="M715" s="3">
        <v>76600</v>
      </c>
      <c r="N715" s="4">
        <v>0</v>
      </c>
      <c r="O715" s="4">
        <v>0.15</v>
      </c>
      <c r="P715" t="s">
        <v>38</v>
      </c>
      <c r="R715">
        <v>103</v>
      </c>
      <c r="S715" s="3">
        <v>6383.33</v>
      </c>
    </row>
    <row r="716" spans="1:19" x14ac:dyDescent="0.2">
      <c r="A716" t="s">
        <v>1296</v>
      </c>
      <c r="B716" s="2">
        <v>46152</v>
      </c>
      <c r="C716" s="2">
        <v>46260</v>
      </c>
      <c r="D716" t="s">
        <v>1297</v>
      </c>
      <c r="E716" t="s">
        <v>82</v>
      </c>
      <c r="F716" t="s">
        <v>22</v>
      </c>
      <c r="G716" t="s">
        <v>23</v>
      </c>
      <c r="H716" t="s">
        <v>137</v>
      </c>
      <c r="I716" t="s">
        <v>84</v>
      </c>
      <c r="J716" t="s">
        <v>26</v>
      </c>
      <c r="K716" t="s">
        <v>50</v>
      </c>
      <c r="L716" t="s">
        <v>51</v>
      </c>
      <c r="M716" s="3">
        <v>42900</v>
      </c>
      <c r="N716" s="4">
        <v>0.10299999999999999</v>
      </c>
      <c r="O716" s="4">
        <v>1</v>
      </c>
      <c r="P716" t="s">
        <v>29</v>
      </c>
      <c r="R716">
        <v>108</v>
      </c>
      <c r="S716" s="3">
        <v>3205.23</v>
      </c>
    </row>
    <row r="717" spans="1:19" x14ac:dyDescent="0.2">
      <c r="A717" t="s">
        <v>1298</v>
      </c>
      <c r="B717" s="2">
        <v>46045</v>
      </c>
      <c r="C717" s="2">
        <v>46138</v>
      </c>
      <c r="D717" t="s">
        <v>523</v>
      </c>
      <c r="E717" t="s">
        <v>111</v>
      </c>
      <c r="F717" t="s">
        <v>74</v>
      </c>
      <c r="G717" t="s">
        <v>23</v>
      </c>
      <c r="H717" t="s">
        <v>95</v>
      </c>
      <c r="I717" t="s">
        <v>84</v>
      </c>
      <c r="J717" t="s">
        <v>36</v>
      </c>
      <c r="K717" t="s">
        <v>50</v>
      </c>
      <c r="L717" t="s">
        <v>44</v>
      </c>
      <c r="M717" s="3">
        <v>221500</v>
      </c>
      <c r="N717" s="4">
        <v>0.16200000000000001</v>
      </c>
      <c r="O717" s="4">
        <v>1</v>
      </c>
      <c r="P717" t="s">
        <v>29</v>
      </c>
      <c r="R717">
        <v>93</v>
      </c>
      <c r="S717" s="3">
        <v>15466.92</v>
      </c>
    </row>
    <row r="718" spans="1:19" x14ac:dyDescent="0.2">
      <c r="A718" t="s">
        <v>1299</v>
      </c>
      <c r="B718" s="2">
        <v>46115</v>
      </c>
      <c r="C718" s="2">
        <v>46232</v>
      </c>
      <c r="D718" t="s">
        <v>487</v>
      </c>
      <c r="E718" t="s">
        <v>91</v>
      </c>
      <c r="F718" t="s">
        <v>48</v>
      </c>
      <c r="G718" t="s">
        <v>63</v>
      </c>
      <c r="H718" t="s">
        <v>56</v>
      </c>
      <c r="I718" t="s">
        <v>84</v>
      </c>
      <c r="J718" t="s">
        <v>57</v>
      </c>
      <c r="K718" t="s">
        <v>37</v>
      </c>
      <c r="L718" t="s">
        <v>51</v>
      </c>
      <c r="M718" s="3">
        <v>7300</v>
      </c>
      <c r="N718" s="4">
        <v>0.107</v>
      </c>
      <c r="O718" s="4">
        <v>0.1</v>
      </c>
      <c r="P718" t="s">
        <v>38</v>
      </c>
      <c r="R718">
        <v>117</v>
      </c>
      <c r="S718" s="3">
        <v>543.34</v>
      </c>
    </row>
    <row r="719" spans="1:19" x14ac:dyDescent="0.2">
      <c r="A719" t="s">
        <v>1300</v>
      </c>
      <c r="B719" s="2">
        <v>46101</v>
      </c>
      <c r="C719" s="2">
        <v>46237</v>
      </c>
      <c r="D719" t="s">
        <v>882</v>
      </c>
      <c r="E719" t="s">
        <v>33</v>
      </c>
      <c r="F719" t="s">
        <v>48</v>
      </c>
      <c r="G719" t="s">
        <v>92</v>
      </c>
      <c r="H719" t="s">
        <v>95</v>
      </c>
      <c r="I719" t="s">
        <v>42</v>
      </c>
      <c r="J719" t="s">
        <v>36</v>
      </c>
      <c r="K719" t="s">
        <v>50</v>
      </c>
      <c r="L719" t="s">
        <v>51</v>
      </c>
      <c r="M719" s="3">
        <v>26900</v>
      </c>
      <c r="N719" s="4">
        <v>0</v>
      </c>
      <c r="O719" s="4">
        <v>0.95</v>
      </c>
      <c r="P719" t="s">
        <v>29</v>
      </c>
      <c r="R719">
        <v>136</v>
      </c>
      <c r="S719" s="3">
        <v>2241.67</v>
      </c>
    </row>
    <row r="720" spans="1:19" x14ac:dyDescent="0.2">
      <c r="A720" t="s">
        <v>1301</v>
      </c>
      <c r="B720" s="2">
        <v>46164</v>
      </c>
      <c r="C720" s="2">
        <v>46277</v>
      </c>
      <c r="D720" t="s">
        <v>429</v>
      </c>
      <c r="E720" t="s">
        <v>54</v>
      </c>
      <c r="F720" t="s">
        <v>22</v>
      </c>
      <c r="G720" t="s">
        <v>23</v>
      </c>
      <c r="H720" t="s">
        <v>56</v>
      </c>
      <c r="I720" t="s">
        <v>84</v>
      </c>
      <c r="J720" t="s">
        <v>85</v>
      </c>
      <c r="K720" t="s">
        <v>27</v>
      </c>
      <c r="L720" t="s">
        <v>51</v>
      </c>
      <c r="M720" s="3">
        <v>87300</v>
      </c>
      <c r="N720" s="4">
        <v>0.106</v>
      </c>
      <c r="O720" s="4">
        <v>0</v>
      </c>
      <c r="P720" t="s">
        <v>29</v>
      </c>
      <c r="Q720" t="s">
        <v>209</v>
      </c>
      <c r="R720">
        <v>113</v>
      </c>
      <c r="S720" s="3">
        <v>6507.4</v>
      </c>
    </row>
    <row r="721" spans="1:19" x14ac:dyDescent="0.2">
      <c r="A721" t="s">
        <v>1302</v>
      </c>
      <c r="B721" s="2">
        <v>46103</v>
      </c>
      <c r="C721" s="2">
        <v>46163</v>
      </c>
      <c r="D721" t="s">
        <v>1303</v>
      </c>
      <c r="E721" t="s">
        <v>21</v>
      </c>
      <c r="F721" t="s">
        <v>22</v>
      </c>
      <c r="G721" t="s">
        <v>55</v>
      </c>
      <c r="H721" t="s">
        <v>98</v>
      </c>
      <c r="I721" t="s">
        <v>65</v>
      </c>
      <c r="J721" t="s">
        <v>36</v>
      </c>
      <c r="K721" t="s">
        <v>88</v>
      </c>
      <c r="L721" t="s">
        <v>44</v>
      </c>
      <c r="M721" s="3">
        <v>36600</v>
      </c>
      <c r="N721" s="4">
        <v>0.22500000000000001</v>
      </c>
      <c r="O721" s="4">
        <v>0.35</v>
      </c>
      <c r="P721" t="s">
        <v>38</v>
      </c>
      <c r="R721">
        <v>60</v>
      </c>
      <c r="S721" s="3">
        <v>2362.4499999999998</v>
      </c>
    </row>
    <row r="722" spans="1:19" x14ac:dyDescent="0.2">
      <c r="A722" t="s">
        <v>1304</v>
      </c>
      <c r="B722" s="2">
        <v>46207</v>
      </c>
      <c r="C722" s="2">
        <v>46250</v>
      </c>
      <c r="D722" t="s">
        <v>1305</v>
      </c>
      <c r="E722" t="s">
        <v>21</v>
      </c>
      <c r="F722" t="s">
        <v>48</v>
      </c>
      <c r="G722" t="s">
        <v>34</v>
      </c>
      <c r="H722" t="s">
        <v>120</v>
      </c>
      <c r="I722" t="s">
        <v>65</v>
      </c>
      <c r="J722" t="s">
        <v>26</v>
      </c>
      <c r="K722" t="s">
        <v>106</v>
      </c>
      <c r="L722" t="s">
        <v>28</v>
      </c>
      <c r="M722" s="3">
        <v>20300</v>
      </c>
      <c r="N722" s="4">
        <v>0.155</v>
      </c>
      <c r="O722" s="4">
        <v>0.15</v>
      </c>
      <c r="P722" t="s">
        <v>38</v>
      </c>
      <c r="R722">
        <v>43</v>
      </c>
      <c r="S722" s="3">
        <v>1429.22</v>
      </c>
    </row>
    <row r="723" spans="1:19" x14ac:dyDescent="0.2">
      <c r="A723" t="s">
        <v>1306</v>
      </c>
      <c r="B723" s="2">
        <v>45984</v>
      </c>
      <c r="C723" s="2">
        <v>46131</v>
      </c>
      <c r="D723" t="s">
        <v>1058</v>
      </c>
      <c r="E723" t="s">
        <v>54</v>
      </c>
      <c r="F723" t="s">
        <v>48</v>
      </c>
      <c r="G723" t="s">
        <v>55</v>
      </c>
      <c r="H723" t="s">
        <v>120</v>
      </c>
      <c r="I723" t="s">
        <v>35</v>
      </c>
      <c r="J723" t="s">
        <v>36</v>
      </c>
      <c r="K723" t="s">
        <v>78</v>
      </c>
      <c r="L723" t="s">
        <v>28</v>
      </c>
      <c r="M723" s="3">
        <v>16800</v>
      </c>
      <c r="N723" s="4">
        <v>0.11600000000000001</v>
      </c>
      <c r="O723" s="4">
        <v>0.55000000000000004</v>
      </c>
      <c r="P723" t="s">
        <v>79</v>
      </c>
      <c r="R723">
        <v>147</v>
      </c>
      <c r="S723" s="3">
        <v>1238.1099999999999</v>
      </c>
    </row>
    <row r="724" spans="1:19" x14ac:dyDescent="0.2">
      <c r="A724" t="s">
        <v>1307</v>
      </c>
      <c r="B724" s="2">
        <v>46057</v>
      </c>
      <c r="C724" s="2">
        <v>46199</v>
      </c>
      <c r="D724" t="s">
        <v>1308</v>
      </c>
      <c r="E724" t="s">
        <v>82</v>
      </c>
      <c r="F724" t="s">
        <v>48</v>
      </c>
      <c r="G724" t="s">
        <v>34</v>
      </c>
      <c r="H724" t="s">
        <v>83</v>
      </c>
      <c r="I724" t="s">
        <v>42</v>
      </c>
      <c r="J724" t="s">
        <v>36</v>
      </c>
      <c r="K724" t="s">
        <v>78</v>
      </c>
      <c r="L724" t="s">
        <v>44</v>
      </c>
      <c r="M724" s="3">
        <v>18900</v>
      </c>
      <c r="N724" s="4">
        <v>0.125</v>
      </c>
      <c r="O724" s="4">
        <v>0.55000000000000004</v>
      </c>
      <c r="P724" t="s">
        <v>79</v>
      </c>
      <c r="R724">
        <v>142</v>
      </c>
      <c r="S724" s="3">
        <v>1377.79</v>
      </c>
    </row>
    <row r="725" spans="1:19" x14ac:dyDescent="0.2">
      <c r="A725" t="s">
        <v>1309</v>
      </c>
      <c r="B725" s="2">
        <v>46263</v>
      </c>
      <c r="C725" s="2">
        <v>46335</v>
      </c>
      <c r="D725" t="s">
        <v>631</v>
      </c>
      <c r="E725" t="s">
        <v>54</v>
      </c>
      <c r="F725" t="s">
        <v>48</v>
      </c>
      <c r="G725" t="s">
        <v>92</v>
      </c>
      <c r="H725" t="s">
        <v>64</v>
      </c>
      <c r="I725" t="s">
        <v>25</v>
      </c>
      <c r="J725" t="s">
        <v>43</v>
      </c>
      <c r="K725" t="s">
        <v>37</v>
      </c>
      <c r="L725" t="s">
        <v>44</v>
      </c>
      <c r="M725" s="3">
        <v>23100</v>
      </c>
      <c r="N725" s="4">
        <v>0</v>
      </c>
      <c r="O725" s="4">
        <v>0.15</v>
      </c>
      <c r="P725" t="s">
        <v>38</v>
      </c>
      <c r="R725">
        <v>72</v>
      </c>
      <c r="S725" s="3">
        <v>1925</v>
      </c>
    </row>
    <row r="726" spans="1:19" x14ac:dyDescent="0.2">
      <c r="A726" t="s">
        <v>1310</v>
      </c>
      <c r="B726" s="2">
        <v>46148</v>
      </c>
      <c r="C726" s="2">
        <v>46184</v>
      </c>
      <c r="D726" t="s">
        <v>183</v>
      </c>
      <c r="E726" t="s">
        <v>111</v>
      </c>
      <c r="F726" t="s">
        <v>74</v>
      </c>
      <c r="G726" t="s">
        <v>55</v>
      </c>
      <c r="H726" t="s">
        <v>69</v>
      </c>
      <c r="I726" t="s">
        <v>35</v>
      </c>
      <c r="J726" t="s">
        <v>36</v>
      </c>
      <c r="K726" t="s">
        <v>37</v>
      </c>
      <c r="L726" t="s">
        <v>28</v>
      </c>
      <c r="M726" s="3">
        <v>177200</v>
      </c>
      <c r="N726" s="4">
        <v>6.6000000000000003E-2</v>
      </c>
      <c r="O726" s="4">
        <v>0.15</v>
      </c>
      <c r="P726" t="s">
        <v>38</v>
      </c>
      <c r="R726">
        <v>36</v>
      </c>
      <c r="S726" s="3">
        <v>13791.55</v>
      </c>
    </row>
    <row r="727" spans="1:19" x14ac:dyDescent="0.2">
      <c r="A727" t="s">
        <v>1311</v>
      </c>
      <c r="B727" s="2">
        <v>46125</v>
      </c>
      <c r="C727" s="2">
        <v>46170</v>
      </c>
      <c r="D727" t="s">
        <v>777</v>
      </c>
      <c r="E727" t="s">
        <v>21</v>
      </c>
      <c r="F727" t="s">
        <v>22</v>
      </c>
      <c r="G727" t="s">
        <v>34</v>
      </c>
      <c r="H727" t="s">
        <v>49</v>
      </c>
      <c r="I727" t="s">
        <v>35</v>
      </c>
      <c r="J727" t="s">
        <v>36</v>
      </c>
      <c r="K727" t="s">
        <v>50</v>
      </c>
      <c r="L727" t="s">
        <v>51</v>
      </c>
      <c r="M727" s="3">
        <v>69400</v>
      </c>
      <c r="N727" s="4">
        <v>0.214</v>
      </c>
      <c r="O727" s="4">
        <v>1</v>
      </c>
      <c r="P727" t="s">
        <v>29</v>
      </c>
      <c r="R727">
        <v>45</v>
      </c>
      <c r="S727" s="3">
        <v>4544.37</v>
      </c>
    </row>
    <row r="728" spans="1:19" x14ac:dyDescent="0.2">
      <c r="A728" t="s">
        <v>1312</v>
      </c>
      <c r="B728" s="2">
        <v>46160</v>
      </c>
      <c r="C728" s="2">
        <v>46268</v>
      </c>
      <c r="D728" t="s">
        <v>1313</v>
      </c>
      <c r="E728" t="s">
        <v>111</v>
      </c>
      <c r="F728" t="s">
        <v>48</v>
      </c>
      <c r="G728" t="s">
        <v>34</v>
      </c>
      <c r="H728" t="s">
        <v>137</v>
      </c>
      <c r="I728" t="s">
        <v>84</v>
      </c>
      <c r="J728" t="s">
        <v>85</v>
      </c>
      <c r="K728" t="s">
        <v>37</v>
      </c>
      <c r="L728" t="s">
        <v>51</v>
      </c>
      <c r="M728" s="3">
        <v>11300</v>
      </c>
      <c r="N728" s="4">
        <v>7.9000000000000001E-2</v>
      </c>
      <c r="O728" s="4">
        <v>0.15</v>
      </c>
      <c r="P728" t="s">
        <v>38</v>
      </c>
      <c r="R728">
        <v>108</v>
      </c>
      <c r="S728" s="3">
        <v>867.56</v>
      </c>
    </row>
    <row r="729" spans="1:19" x14ac:dyDescent="0.2">
      <c r="A729" t="s">
        <v>1314</v>
      </c>
      <c r="B729" s="2">
        <v>46195</v>
      </c>
      <c r="C729" s="2">
        <v>46277</v>
      </c>
      <c r="D729" t="s">
        <v>1315</v>
      </c>
      <c r="E729" t="s">
        <v>54</v>
      </c>
      <c r="F729" t="s">
        <v>74</v>
      </c>
      <c r="G729" t="s">
        <v>92</v>
      </c>
      <c r="H729" t="s">
        <v>49</v>
      </c>
      <c r="I729" t="s">
        <v>42</v>
      </c>
      <c r="J729" t="s">
        <v>57</v>
      </c>
      <c r="K729" t="s">
        <v>50</v>
      </c>
      <c r="L729" t="s">
        <v>28</v>
      </c>
      <c r="M729" s="3">
        <v>213000</v>
      </c>
      <c r="N729" s="4">
        <v>2.1999999999999999E-2</v>
      </c>
      <c r="O729" s="4">
        <v>1</v>
      </c>
      <c r="P729" t="s">
        <v>29</v>
      </c>
      <c r="R729">
        <v>82</v>
      </c>
      <c r="S729" s="3">
        <v>17354.55</v>
      </c>
    </row>
    <row r="730" spans="1:19" x14ac:dyDescent="0.2">
      <c r="A730" t="s">
        <v>1316</v>
      </c>
      <c r="B730" s="2">
        <v>46099</v>
      </c>
      <c r="C730" s="2">
        <v>46227</v>
      </c>
      <c r="D730" t="s">
        <v>1317</v>
      </c>
      <c r="E730" t="s">
        <v>91</v>
      </c>
      <c r="F730" t="s">
        <v>74</v>
      </c>
      <c r="G730" t="s">
        <v>34</v>
      </c>
      <c r="H730" t="s">
        <v>49</v>
      </c>
      <c r="I730" t="s">
        <v>65</v>
      </c>
      <c r="J730" t="s">
        <v>43</v>
      </c>
      <c r="K730" t="s">
        <v>58</v>
      </c>
      <c r="L730" t="s">
        <v>28</v>
      </c>
      <c r="M730" s="3">
        <v>182100</v>
      </c>
      <c r="N730" s="4">
        <v>0.18099999999999999</v>
      </c>
      <c r="O730" s="4">
        <v>0.8</v>
      </c>
      <c r="P730" t="s">
        <v>59</v>
      </c>
      <c r="R730">
        <v>128</v>
      </c>
      <c r="S730" s="3">
        <v>12426.86</v>
      </c>
    </row>
    <row r="731" spans="1:19" x14ac:dyDescent="0.2">
      <c r="A731" t="s">
        <v>1318</v>
      </c>
      <c r="B731" s="2">
        <v>45953</v>
      </c>
      <c r="C731" s="2">
        <v>46066</v>
      </c>
      <c r="D731" t="s">
        <v>1319</v>
      </c>
      <c r="E731" t="s">
        <v>68</v>
      </c>
      <c r="F731" t="s">
        <v>48</v>
      </c>
      <c r="G731" t="s">
        <v>34</v>
      </c>
      <c r="H731" t="s">
        <v>98</v>
      </c>
      <c r="I731" t="s">
        <v>84</v>
      </c>
      <c r="J731" t="s">
        <v>36</v>
      </c>
      <c r="K731" t="s">
        <v>37</v>
      </c>
      <c r="L731" t="s">
        <v>51</v>
      </c>
      <c r="M731" s="3">
        <v>17100</v>
      </c>
      <c r="N731" s="4">
        <v>9.7000000000000003E-2</v>
      </c>
      <c r="O731" s="4">
        <v>0.05</v>
      </c>
      <c r="P731" t="s">
        <v>38</v>
      </c>
      <c r="R731">
        <v>113</v>
      </c>
      <c r="S731" s="3">
        <v>1287.4100000000001</v>
      </c>
    </row>
    <row r="732" spans="1:19" x14ac:dyDescent="0.2">
      <c r="A732" t="s">
        <v>1320</v>
      </c>
      <c r="B732" s="2">
        <v>46195</v>
      </c>
      <c r="C732" s="2">
        <v>46300</v>
      </c>
      <c r="D732" t="s">
        <v>309</v>
      </c>
      <c r="E732" t="s">
        <v>33</v>
      </c>
      <c r="F732" t="s">
        <v>48</v>
      </c>
      <c r="G732" t="s">
        <v>23</v>
      </c>
      <c r="H732" t="s">
        <v>69</v>
      </c>
      <c r="I732" t="s">
        <v>84</v>
      </c>
      <c r="J732" t="s">
        <v>85</v>
      </c>
      <c r="K732" t="s">
        <v>37</v>
      </c>
      <c r="L732" t="s">
        <v>51</v>
      </c>
      <c r="M732" s="3">
        <v>25300</v>
      </c>
      <c r="N732" s="4">
        <v>0.23400000000000001</v>
      </c>
      <c r="O732" s="4">
        <v>0.1</v>
      </c>
      <c r="P732" t="s">
        <v>38</v>
      </c>
      <c r="R732">
        <v>105</v>
      </c>
      <c r="S732" s="3">
        <v>1614.54</v>
      </c>
    </row>
    <row r="733" spans="1:19" x14ac:dyDescent="0.2">
      <c r="A733" t="s">
        <v>1321</v>
      </c>
      <c r="B733" s="2">
        <v>46251</v>
      </c>
      <c r="C733" s="2">
        <v>46277</v>
      </c>
      <c r="D733" t="s">
        <v>1322</v>
      </c>
      <c r="E733" t="s">
        <v>21</v>
      </c>
      <c r="F733" t="s">
        <v>22</v>
      </c>
      <c r="G733" t="s">
        <v>23</v>
      </c>
      <c r="H733" t="s">
        <v>24</v>
      </c>
      <c r="I733" t="s">
        <v>25</v>
      </c>
      <c r="J733" t="s">
        <v>36</v>
      </c>
      <c r="K733" t="s">
        <v>27</v>
      </c>
      <c r="L733" t="s">
        <v>28</v>
      </c>
      <c r="M733" s="3">
        <v>78800</v>
      </c>
      <c r="N733" s="4">
        <v>7.5999999999999998E-2</v>
      </c>
      <c r="O733" s="4">
        <v>0</v>
      </c>
      <c r="P733" t="s">
        <v>29</v>
      </c>
      <c r="Q733" t="s">
        <v>126</v>
      </c>
      <c r="R733">
        <v>26</v>
      </c>
      <c r="S733" s="3">
        <v>6066.99</v>
      </c>
    </row>
    <row r="734" spans="1:19" x14ac:dyDescent="0.2">
      <c r="A734" t="s">
        <v>1323</v>
      </c>
      <c r="B734" s="2">
        <v>46209</v>
      </c>
      <c r="C734" s="2">
        <v>46323</v>
      </c>
      <c r="D734" t="s">
        <v>1324</v>
      </c>
      <c r="E734" t="s">
        <v>33</v>
      </c>
      <c r="F734" t="s">
        <v>74</v>
      </c>
      <c r="G734" t="s">
        <v>63</v>
      </c>
      <c r="H734" t="s">
        <v>64</v>
      </c>
      <c r="I734" t="s">
        <v>42</v>
      </c>
      <c r="J734" t="s">
        <v>26</v>
      </c>
      <c r="K734" t="s">
        <v>37</v>
      </c>
      <c r="L734" t="s">
        <v>28</v>
      </c>
      <c r="M734" s="3">
        <v>281100</v>
      </c>
      <c r="N734" s="4">
        <v>0.11</v>
      </c>
      <c r="O734" s="4">
        <v>0.1</v>
      </c>
      <c r="P734" t="s">
        <v>38</v>
      </c>
      <c r="R734">
        <v>114</v>
      </c>
      <c r="S734" s="3">
        <v>20849.150000000001</v>
      </c>
    </row>
    <row r="735" spans="1:19" x14ac:dyDescent="0.2">
      <c r="A735" t="s">
        <v>1325</v>
      </c>
      <c r="B735" s="2">
        <v>46064</v>
      </c>
      <c r="C735" s="2">
        <v>46116</v>
      </c>
      <c r="D735" t="s">
        <v>1326</v>
      </c>
      <c r="E735" t="s">
        <v>33</v>
      </c>
      <c r="F735" t="s">
        <v>48</v>
      </c>
      <c r="G735" t="s">
        <v>92</v>
      </c>
      <c r="H735" t="s">
        <v>64</v>
      </c>
      <c r="I735" t="s">
        <v>65</v>
      </c>
      <c r="J735" t="s">
        <v>57</v>
      </c>
      <c r="K735" t="s">
        <v>50</v>
      </c>
      <c r="L735" t="s">
        <v>51</v>
      </c>
      <c r="M735" s="3">
        <v>29000</v>
      </c>
      <c r="N735" s="4">
        <v>0.15</v>
      </c>
      <c r="O735" s="4">
        <v>1</v>
      </c>
      <c r="P735" t="s">
        <v>29</v>
      </c>
      <c r="R735">
        <v>52</v>
      </c>
      <c r="S735" s="3">
        <v>2054.88</v>
      </c>
    </row>
    <row r="736" spans="1:19" x14ac:dyDescent="0.2">
      <c r="A736" t="s">
        <v>1327</v>
      </c>
      <c r="B736" s="2">
        <v>46139</v>
      </c>
      <c r="C736" s="2">
        <v>46227</v>
      </c>
      <c r="D736" t="s">
        <v>1328</v>
      </c>
      <c r="E736" t="s">
        <v>54</v>
      </c>
      <c r="F736" t="s">
        <v>48</v>
      </c>
      <c r="G736" t="s">
        <v>63</v>
      </c>
      <c r="H736" t="s">
        <v>56</v>
      </c>
      <c r="I736" t="s">
        <v>25</v>
      </c>
      <c r="J736" t="s">
        <v>26</v>
      </c>
      <c r="K736" t="s">
        <v>88</v>
      </c>
      <c r="L736" t="s">
        <v>28</v>
      </c>
      <c r="M736" s="3">
        <v>10000</v>
      </c>
      <c r="N736" s="4">
        <v>8.7999999999999995E-2</v>
      </c>
      <c r="O736" s="4">
        <v>0.35</v>
      </c>
      <c r="P736" t="s">
        <v>38</v>
      </c>
      <c r="R736">
        <v>88</v>
      </c>
      <c r="S736" s="3">
        <v>760.22</v>
      </c>
    </row>
    <row r="737" spans="1:19" x14ac:dyDescent="0.2">
      <c r="A737" t="s">
        <v>1329</v>
      </c>
      <c r="B737" s="2">
        <v>46037</v>
      </c>
      <c r="C737" s="2">
        <v>46168</v>
      </c>
      <c r="D737" t="s">
        <v>1330</v>
      </c>
      <c r="E737" t="s">
        <v>33</v>
      </c>
      <c r="F737" t="s">
        <v>74</v>
      </c>
      <c r="G737" t="s">
        <v>63</v>
      </c>
      <c r="H737" t="s">
        <v>41</v>
      </c>
      <c r="I737" t="s">
        <v>42</v>
      </c>
      <c r="J737" t="s">
        <v>85</v>
      </c>
      <c r="K737" t="s">
        <v>27</v>
      </c>
      <c r="L737" t="s">
        <v>51</v>
      </c>
      <c r="M737" s="3">
        <v>207900</v>
      </c>
      <c r="N737" s="4">
        <v>0</v>
      </c>
      <c r="O737" s="4">
        <v>0.05</v>
      </c>
      <c r="P737" t="s">
        <v>29</v>
      </c>
      <c r="Q737" t="s">
        <v>126</v>
      </c>
      <c r="R737">
        <v>131</v>
      </c>
      <c r="S737" s="3">
        <v>17325</v>
      </c>
    </row>
    <row r="738" spans="1:19" x14ac:dyDescent="0.2">
      <c r="A738" t="s">
        <v>1331</v>
      </c>
      <c r="B738" s="2">
        <v>46095</v>
      </c>
      <c r="C738" s="2">
        <v>46242</v>
      </c>
      <c r="D738" t="s">
        <v>1332</v>
      </c>
      <c r="E738" t="s">
        <v>91</v>
      </c>
      <c r="F738" t="s">
        <v>22</v>
      </c>
      <c r="G738" t="s">
        <v>63</v>
      </c>
      <c r="H738" t="s">
        <v>137</v>
      </c>
      <c r="I738" t="s">
        <v>42</v>
      </c>
      <c r="J738" t="s">
        <v>57</v>
      </c>
      <c r="K738" t="s">
        <v>88</v>
      </c>
      <c r="L738" t="s">
        <v>28</v>
      </c>
      <c r="M738" s="3">
        <v>78100</v>
      </c>
      <c r="N738" s="4">
        <v>5.6000000000000001E-2</v>
      </c>
      <c r="O738" s="4">
        <v>0.35</v>
      </c>
      <c r="P738" t="s">
        <v>38</v>
      </c>
      <c r="R738">
        <v>147</v>
      </c>
      <c r="S738" s="3">
        <v>6144.94</v>
      </c>
    </row>
    <row r="739" spans="1:19" x14ac:dyDescent="0.2">
      <c r="A739" t="s">
        <v>1333</v>
      </c>
      <c r="B739" s="2">
        <v>46181</v>
      </c>
      <c r="C739" s="2">
        <v>46217</v>
      </c>
      <c r="D739" t="s">
        <v>1334</v>
      </c>
      <c r="E739" t="s">
        <v>54</v>
      </c>
      <c r="F739" t="s">
        <v>74</v>
      </c>
      <c r="G739" t="s">
        <v>63</v>
      </c>
      <c r="H739" t="s">
        <v>98</v>
      </c>
      <c r="I739" t="s">
        <v>25</v>
      </c>
      <c r="J739" t="s">
        <v>57</v>
      </c>
      <c r="K739" t="s">
        <v>78</v>
      </c>
      <c r="L739" t="s">
        <v>51</v>
      </c>
      <c r="M739" s="3">
        <v>148200</v>
      </c>
      <c r="N739" s="4">
        <v>0.11700000000000001</v>
      </c>
      <c r="O739" s="4">
        <v>0.6</v>
      </c>
      <c r="P739" t="s">
        <v>79</v>
      </c>
      <c r="R739">
        <v>36</v>
      </c>
      <c r="S739" s="3">
        <v>10910.2</v>
      </c>
    </row>
    <row r="740" spans="1:19" x14ac:dyDescent="0.2">
      <c r="A740" t="s">
        <v>1335</v>
      </c>
      <c r="B740" s="2">
        <v>45999</v>
      </c>
      <c r="C740" s="2">
        <v>46098</v>
      </c>
      <c r="D740" t="s">
        <v>1336</v>
      </c>
      <c r="E740" t="s">
        <v>62</v>
      </c>
      <c r="F740" t="s">
        <v>22</v>
      </c>
      <c r="G740" t="s">
        <v>23</v>
      </c>
      <c r="H740" t="s">
        <v>77</v>
      </c>
      <c r="I740" t="s">
        <v>65</v>
      </c>
      <c r="J740" t="s">
        <v>26</v>
      </c>
      <c r="K740" t="s">
        <v>88</v>
      </c>
      <c r="L740" t="s">
        <v>51</v>
      </c>
      <c r="M740" s="3">
        <v>67900</v>
      </c>
      <c r="N740" s="4">
        <v>1.9E-2</v>
      </c>
      <c r="O740" s="4">
        <v>0.35</v>
      </c>
      <c r="P740" t="s">
        <v>38</v>
      </c>
      <c r="R740">
        <v>99</v>
      </c>
      <c r="S740" s="3">
        <v>5552.54</v>
      </c>
    </row>
    <row r="741" spans="1:19" x14ac:dyDescent="0.2">
      <c r="A741" t="s">
        <v>1337</v>
      </c>
      <c r="B741" s="2">
        <v>46136</v>
      </c>
      <c r="C741" s="2">
        <v>46252</v>
      </c>
      <c r="D741" t="s">
        <v>1338</v>
      </c>
      <c r="E741" t="s">
        <v>21</v>
      </c>
      <c r="F741" t="s">
        <v>48</v>
      </c>
      <c r="G741" t="s">
        <v>34</v>
      </c>
      <c r="H741" t="s">
        <v>137</v>
      </c>
      <c r="I741" t="s">
        <v>35</v>
      </c>
      <c r="J741" t="s">
        <v>43</v>
      </c>
      <c r="K741" t="s">
        <v>88</v>
      </c>
      <c r="L741" t="s">
        <v>28</v>
      </c>
      <c r="M741" s="3">
        <v>7800</v>
      </c>
      <c r="N741" s="4">
        <v>6.2E-2</v>
      </c>
      <c r="O741" s="4">
        <v>0.35</v>
      </c>
      <c r="P741" t="s">
        <v>38</v>
      </c>
      <c r="R741">
        <v>116</v>
      </c>
      <c r="S741" s="3">
        <v>609.53</v>
      </c>
    </row>
    <row r="742" spans="1:19" x14ac:dyDescent="0.2">
      <c r="A742" t="s">
        <v>1339</v>
      </c>
      <c r="B742" s="2">
        <v>45994</v>
      </c>
      <c r="C742" s="2">
        <v>46033</v>
      </c>
      <c r="D742" t="s">
        <v>571</v>
      </c>
      <c r="E742" t="s">
        <v>33</v>
      </c>
      <c r="F742" t="s">
        <v>48</v>
      </c>
      <c r="G742" t="s">
        <v>23</v>
      </c>
      <c r="H742" t="s">
        <v>41</v>
      </c>
      <c r="I742" t="s">
        <v>42</v>
      </c>
      <c r="J742" t="s">
        <v>43</v>
      </c>
      <c r="K742" t="s">
        <v>88</v>
      </c>
      <c r="L742" t="s">
        <v>44</v>
      </c>
      <c r="M742" s="3">
        <v>18800</v>
      </c>
      <c r="N742" s="4">
        <v>0.156</v>
      </c>
      <c r="O742" s="4">
        <v>0.4</v>
      </c>
      <c r="P742" t="s">
        <v>38</v>
      </c>
      <c r="R742">
        <v>39</v>
      </c>
      <c r="S742" s="3">
        <v>1321.6</v>
      </c>
    </row>
    <row r="743" spans="1:19" x14ac:dyDescent="0.2">
      <c r="A743" t="s">
        <v>1340</v>
      </c>
      <c r="B743" s="2">
        <v>46179</v>
      </c>
      <c r="C743" s="2">
        <v>46213</v>
      </c>
      <c r="D743" t="s">
        <v>1341</v>
      </c>
      <c r="E743" t="s">
        <v>62</v>
      </c>
      <c r="F743" t="s">
        <v>48</v>
      </c>
      <c r="G743" t="s">
        <v>34</v>
      </c>
      <c r="H743" t="s">
        <v>120</v>
      </c>
      <c r="I743" t="s">
        <v>65</v>
      </c>
      <c r="J743" t="s">
        <v>43</v>
      </c>
      <c r="K743" t="s">
        <v>78</v>
      </c>
      <c r="L743" t="s">
        <v>28</v>
      </c>
      <c r="M743" s="3">
        <v>17600</v>
      </c>
      <c r="N743" s="4">
        <v>0.114</v>
      </c>
      <c r="O743" s="4">
        <v>0.55000000000000004</v>
      </c>
      <c r="P743" t="s">
        <v>79</v>
      </c>
      <c r="R743">
        <v>34</v>
      </c>
      <c r="S743" s="3">
        <v>1299.18</v>
      </c>
    </row>
    <row r="744" spans="1:19" x14ac:dyDescent="0.2">
      <c r="A744" t="s">
        <v>1342</v>
      </c>
      <c r="B744" s="2">
        <v>45996</v>
      </c>
      <c r="C744" s="2">
        <v>46091</v>
      </c>
      <c r="D744" t="s">
        <v>1343</v>
      </c>
      <c r="E744" t="s">
        <v>21</v>
      </c>
      <c r="F744" t="s">
        <v>48</v>
      </c>
      <c r="G744" t="s">
        <v>34</v>
      </c>
      <c r="H744" t="s">
        <v>83</v>
      </c>
      <c r="I744" t="s">
        <v>84</v>
      </c>
      <c r="J744" t="s">
        <v>36</v>
      </c>
      <c r="K744" t="s">
        <v>37</v>
      </c>
      <c r="L744" t="s">
        <v>44</v>
      </c>
      <c r="M744" s="3">
        <v>25600</v>
      </c>
      <c r="N744" s="4">
        <v>0.153</v>
      </c>
      <c r="O744" s="4">
        <v>0.1</v>
      </c>
      <c r="P744" t="s">
        <v>38</v>
      </c>
      <c r="R744">
        <v>95</v>
      </c>
      <c r="S744" s="3">
        <v>1806.76</v>
      </c>
    </row>
    <row r="745" spans="1:19" x14ac:dyDescent="0.2">
      <c r="A745" t="s">
        <v>1344</v>
      </c>
      <c r="B745" s="2">
        <v>46119</v>
      </c>
      <c r="C745" s="2">
        <v>46244</v>
      </c>
      <c r="D745" t="s">
        <v>1345</v>
      </c>
      <c r="E745" t="s">
        <v>62</v>
      </c>
      <c r="F745" t="s">
        <v>22</v>
      </c>
      <c r="G745" t="s">
        <v>23</v>
      </c>
      <c r="H745" t="s">
        <v>49</v>
      </c>
      <c r="I745" t="s">
        <v>99</v>
      </c>
      <c r="J745" t="s">
        <v>85</v>
      </c>
      <c r="K745" t="s">
        <v>27</v>
      </c>
      <c r="L745" t="s">
        <v>28</v>
      </c>
      <c r="M745" s="3">
        <v>66800</v>
      </c>
      <c r="N745" s="4">
        <v>7.6999999999999999E-2</v>
      </c>
      <c r="O745" s="4">
        <v>0.05</v>
      </c>
      <c r="P745" t="s">
        <v>29</v>
      </c>
      <c r="Q745" t="s">
        <v>152</v>
      </c>
      <c r="R745">
        <v>125</v>
      </c>
      <c r="S745" s="3">
        <v>5138.9799999999996</v>
      </c>
    </row>
    <row r="746" spans="1:19" x14ac:dyDescent="0.2">
      <c r="A746" t="s">
        <v>1346</v>
      </c>
      <c r="B746" s="2">
        <v>46246</v>
      </c>
      <c r="C746" s="2">
        <v>46277</v>
      </c>
      <c r="D746" t="s">
        <v>1347</v>
      </c>
      <c r="E746" t="s">
        <v>91</v>
      </c>
      <c r="F746" t="s">
        <v>74</v>
      </c>
      <c r="G746" t="s">
        <v>63</v>
      </c>
      <c r="H746" t="s">
        <v>24</v>
      </c>
      <c r="I746" t="s">
        <v>99</v>
      </c>
      <c r="J746" t="s">
        <v>26</v>
      </c>
      <c r="K746" t="s">
        <v>106</v>
      </c>
      <c r="L746" t="s">
        <v>44</v>
      </c>
      <c r="M746" s="3">
        <v>178500</v>
      </c>
      <c r="N746" s="4">
        <v>2.7E-2</v>
      </c>
      <c r="O746" s="4">
        <v>0.25</v>
      </c>
      <c r="P746" t="s">
        <v>38</v>
      </c>
      <c r="R746">
        <v>31</v>
      </c>
      <c r="S746" s="3">
        <v>14468.53</v>
      </c>
    </row>
    <row r="747" spans="1:19" x14ac:dyDescent="0.2">
      <c r="A747" t="s">
        <v>1348</v>
      </c>
      <c r="B747" s="2">
        <v>45961</v>
      </c>
      <c r="C747" s="2">
        <v>46071</v>
      </c>
      <c r="D747" t="s">
        <v>1349</v>
      </c>
      <c r="E747" t="s">
        <v>82</v>
      </c>
      <c r="F747" t="s">
        <v>48</v>
      </c>
      <c r="G747" t="s">
        <v>92</v>
      </c>
      <c r="H747" t="s">
        <v>120</v>
      </c>
      <c r="I747" t="s">
        <v>65</v>
      </c>
      <c r="J747" t="s">
        <v>85</v>
      </c>
      <c r="K747" t="s">
        <v>50</v>
      </c>
      <c r="L747" t="s">
        <v>51</v>
      </c>
      <c r="M747" s="3">
        <v>16000</v>
      </c>
      <c r="N747" s="4">
        <v>0.123</v>
      </c>
      <c r="O747" s="4">
        <v>1</v>
      </c>
      <c r="P747" t="s">
        <v>29</v>
      </c>
      <c r="R747">
        <v>110</v>
      </c>
      <c r="S747" s="3">
        <v>1168.9000000000001</v>
      </c>
    </row>
    <row r="748" spans="1:19" x14ac:dyDescent="0.2">
      <c r="A748" t="s">
        <v>1350</v>
      </c>
      <c r="B748" s="2">
        <v>46119</v>
      </c>
      <c r="C748" s="2">
        <v>46161</v>
      </c>
      <c r="D748" t="s">
        <v>1088</v>
      </c>
      <c r="E748" t="s">
        <v>54</v>
      </c>
      <c r="F748" t="s">
        <v>22</v>
      </c>
      <c r="G748" t="s">
        <v>34</v>
      </c>
      <c r="H748" t="s">
        <v>120</v>
      </c>
      <c r="I748" t="s">
        <v>25</v>
      </c>
      <c r="J748" t="s">
        <v>43</v>
      </c>
      <c r="K748" t="s">
        <v>50</v>
      </c>
      <c r="L748" t="s">
        <v>51</v>
      </c>
      <c r="M748" s="3">
        <v>89100</v>
      </c>
      <c r="N748" s="4">
        <v>0.13800000000000001</v>
      </c>
      <c r="O748" s="4">
        <v>1</v>
      </c>
      <c r="P748" t="s">
        <v>29</v>
      </c>
      <c r="R748">
        <v>42</v>
      </c>
      <c r="S748" s="3">
        <v>6402.88</v>
      </c>
    </row>
    <row r="749" spans="1:19" x14ac:dyDescent="0.2">
      <c r="A749" t="s">
        <v>1351</v>
      </c>
      <c r="B749" s="2">
        <v>45971</v>
      </c>
      <c r="C749" s="2">
        <v>46056</v>
      </c>
      <c r="D749" t="s">
        <v>1352</v>
      </c>
      <c r="E749" t="s">
        <v>62</v>
      </c>
      <c r="F749" t="s">
        <v>22</v>
      </c>
      <c r="G749" t="s">
        <v>55</v>
      </c>
      <c r="H749" t="s">
        <v>77</v>
      </c>
      <c r="I749" t="s">
        <v>99</v>
      </c>
      <c r="J749" t="s">
        <v>43</v>
      </c>
      <c r="K749" t="s">
        <v>37</v>
      </c>
      <c r="L749" t="s">
        <v>44</v>
      </c>
      <c r="M749" s="3">
        <v>95000</v>
      </c>
      <c r="N749" s="4">
        <v>2.5000000000000001E-2</v>
      </c>
      <c r="O749" s="4">
        <v>0.1</v>
      </c>
      <c r="P749" t="s">
        <v>38</v>
      </c>
      <c r="R749">
        <v>85</v>
      </c>
      <c r="S749" s="3">
        <v>7721</v>
      </c>
    </row>
    <row r="750" spans="1:19" x14ac:dyDescent="0.2">
      <c r="A750" t="s">
        <v>1353</v>
      </c>
      <c r="B750" s="2">
        <v>46020</v>
      </c>
      <c r="C750" s="2">
        <v>46106</v>
      </c>
      <c r="D750" t="s">
        <v>608</v>
      </c>
      <c r="E750" t="s">
        <v>68</v>
      </c>
      <c r="F750" t="s">
        <v>74</v>
      </c>
      <c r="G750" t="s">
        <v>23</v>
      </c>
      <c r="H750" t="s">
        <v>64</v>
      </c>
      <c r="I750" t="s">
        <v>25</v>
      </c>
      <c r="J750" t="s">
        <v>85</v>
      </c>
      <c r="K750" t="s">
        <v>88</v>
      </c>
      <c r="L750" t="s">
        <v>51</v>
      </c>
      <c r="M750" s="3">
        <v>187800</v>
      </c>
      <c r="N750" s="4">
        <v>0.11899999999999999</v>
      </c>
      <c r="O750" s="4">
        <v>0.4</v>
      </c>
      <c r="P750" t="s">
        <v>38</v>
      </c>
      <c r="R750">
        <v>86</v>
      </c>
      <c r="S750" s="3">
        <v>13784.89</v>
      </c>
    </row>
    <row r="751" spans="1:19" x14ac:dyDescent="0.2">
      <c r="A751" t="s">
        <v>1354</v>
      </c>
      <c r="B751" s="2">
        <v>45970</v>
      </c>
      <c r="C751" s="2">
        <v>46066</v>
      </c>
      <c r="D751" t="s">
        <v>431</v>
      </c>
      <c r="E751" t="s">
        <v>91</v>
      </c>
      <c r="F751" t="s">
        <v>48</v>
      </c>
      <c r="G751" t="s">
        <v>63</v>
      </c>
      <c r="H751" t="s">
        <v>98</v>
      </c>
      <c r="I751" t="s">
        <v>65</v>
      </c>
      <c r="J751" t="s">
        <v>85</v>
      </c>
      <c r="K751" t="s">
        <v>50</v>
      </c>
      <c r="L751" t="s">
        <v>44</v>
      </c>
      <c r="M751" s="3">
        <v>8100</v>
      </c>
      <c r="N751" s="4">
        <v>0.157</v>
      </c>
      <c r="O751" s="4">
        <v>1</v>
      </c>
      <c r="P751" t="s">
        <v>29</v>
      </c>
      <c r="R751">
        <v>96</v>
      </c>
      <c r="S751" s="3">
        <v>569.16</v>
      </c>
    </row>
    <row r="752" spans="1:19" x14ac:dyDescent="0.2">
      <c r="A752" t="s">
        <v>1355</v>
      </c>
      <c r="B752" s="2">
        <v>46123</v>
      </c>
      <c r="C752" s="2">
        <v>46191</v>
      </c>
      <c r="D752" t="s">
        <v>243</v>
      </c>
      <c r="E752" t="s">
        <v>68</v>
      </c>
      <c r="F752" t="s">
        <v>48</v>
      </c>
      <c r="G752" t="s">
        <v>63</v>
      </c>
      <c r="H752" t="s">
        <v>95</v>
      </c>
      <c r="I752" t="s">
        <v>99</v>
      </c>
      <c r="J752" t="s">
        <v>57</v>
      </c>
      <c r="K752" t="s">
        <v>106</v>
      </c>
      <c r="L752" t="s">
        <v>44</v>
      </c>
      <c r="M752" s="3">
        <v>22600</v>
      </c>
      <c r="N752" s="4">
        <v>0</v>
      </c>
      <c r="O752" s="4">
        <v>0.2</v>
      </c>
      <c r="P752" t="s">
        <v>38</v>
      </c>
      <c r="R752">
        <v>68</v>
      </c>
      <c r="S752" s="3">
        <v>1883.33</v>
      </c>
    </row>
    <row r="753" spans="1:19" x14ac:dyDescent="0.2">
      <c r="A753" t="s">
        <v>1356</v>
      </c>
      <c r="B753" s="2">
        <v>46225</v>
      </c>
      <c r="C753" s="2">
        <v>46294</v>
      </c>
      <c r="D753" t="s">
        <v>1357</v>
      </c>
      <c r="E753" t="s">
        <v>82</v>
      </c>
      <c r="F753" t="s">
        <v>48</v>
      </c>
      <c r="G753" t="s">
        <v>92</v>
      </c>
      <c r="H753" t="s">
        <v>24</v>
      </c>
      <c r="I753" t="s">
        <v>25</v>
      </c>
      <c r="J753" t="s">
        <v>26</v>
      </c>
      <c r="K753" t="s">
        <v>37</v>
      </c>
      <c r="L753" t="s">
        <v>51</v>
      </c>
      <c r="M753" s="3">
        <v>25000</v>
      </c>
      <c r="N753" s="4">
        <v>0.13200000000000001</v>
      </c>
      <c r="O753" s="4">
        <v>0.1</v>
      </c>
      <c r="P753" t="s">
        <v>38</v>
      </c>
      <c r="R753">
        <v>69</v>
      </c>
      <c r="S753" s="3">
        <v>1808.26</v>
      </c>
    </row>
    <row r="754" spans="1:19" x14ac:dyDescent="0.2">
      <c r="A754" t="s">
        <v>1358</v>
      </c>
      <c r="B754" s="2">
        <v>46103</v>
      </c>
      <c r="C754" s="2">
        <v>46131</v>
      </c>
      <c r="D754" t="s">
        <v>190</v>
      </c>
      <c r="E754" t="s">
        <v>62</v>
      </c>
      <c r="F754" t="s">
        <v>48</v>
      </c>
      <c r="G754" t="s">
        <v>23</v>
      </c>
      <c r="H754" t="s">
        <v>69</v>
      </c>
      <c r="I754" t="s">
        <v>84</v>
      </c>
      <c r="J754" t="s">
        <v>85</v>
      </c>
      <c r="K754" t="s">
        <v>37</v>
      </c>
      <c r="L754" t="s">
        <v>51</v>
      </c>
      <c r="M754" s="3">
        <v>16000</v>
      </c>
      <c r="N754" s="4">
        <v>1.2E-2</v>
      </c>
      <c r="O754" s="4">
        <v>0.15</v>
      </c>
      <c r="P754" t="s">
        <v>38</v>
      </c>
      <c r="R754">
        <v>28</v>
      </c>
      <c r="S754" s="3">
        <v>1317.34</v>
      </c>
    </row>
    <row r="755" spans="1:19" x14ac:dyDescent="0.2">
      <c r="A755" t="s">
        <v>1359</v>
      </c>
      <c r="B755" s="2">
        <v>46186</v>
      </c>
      <c r="C755" s="2">
        <v>46249</v>
      </c>
      <c r="D755" t="s">
        <v>494</v>
      </c>
      <c r="E755" t="s">
        <v>68</v>
      </c>
      <c r="F755" t="s">
        <v>22</v>
      </c>
      <c r="G755" t="s">
        <v>92</v>
      </c>
      <c r="H755" t="s">
        <v>64</v>
      </c>
      <c r="I755" t="s">
        <v>42</v>
      </c>
      <c r="J755" t="s">
        <v>57</v>
      </c>
      <c r="K755" t="s">
        <v>106</v>
      </c>
      <c r="L755" t="s">
        <v>51</v>
      </c>
      <c r="M755" s="3">
        <v>54500</v>
      </c>
      <c r="N755" s="4">
        <v>0.154</v>
      </c>
      <c r="O755" s="4">
        <v>0.2</v>
      </c>
      <c r="P755" t="s">
        <v>38</v>
      </c>
      <c r="R755">
        <v>63</v>
      </c>
      <c r="S755" s="3">
        <v>3842.15</v>
      </c>
    </row>
    <row r="756" spans="1:19" x14ac:dyDescent="0.2">
      <c r="A756" t="s">
        <v>1360</v>
      </c>
      <c r="B756" s="2">
        <v>46007</v>
      </c>
      <c r="C756" s="2">
        <v>46054</v>
      </c>
      <c r="D756" t="s">
        <v>259</v>
      </c>
      <c r="E756" t="s">
        <v>62</v>
      </c>
      <c r="F756" t="s">
        <v>48</v>
      </c>
      <c r="G756" t="s">
        <v>92</v>
      </c>
      <c r="H756" t="s">
        <v>98</v>
      </c>
      <c r="I756" t="s">
        <v>99</v>
      </c>
      <c r="J756" t="s">
        <v>57</v>
      </c>
      <c r="K756" t="s">
        <v>78</v>
      </c>
      <c r="L756" t="s">
        <v>44</v>
      </c>
      <c r="M756" s="3">
        <v>27100</v>
      </c>
      <c r="N756" s="4">
        <v>0.13800000000000001</v>
      </c>
      <c r="O756" s="4">
        <v>0.55000000000000004</v>
      </c>
      <c r="P756" t="s">
        <v>79</v>
      </c>
      <c r="R756">
        <v>47</v>
      </c>
      <c r="S756" s="3">
        <v>1946.98</v>
      </c>
    </row>
    <row r="757" spans="1:19" x14ac:dyDescent="0.2">
      <c r="A757" t="s">
        <v>1361</v>
      </c>
      <c r="B757" s="2">
        <v>46131</v>
      </c>
      <c r="C757" s="2">
        <v>46186</v>
      </c>
      <c r="D757" t="s">
        <v>955</v>
      </c>
      <c r="E757" t="s">
        <v>68</v>
      </c>
      <c r="F757" t="s">
        <v>48</v>
      </c>
      <c r="G757" t="s">
        <v>92</v>
      </c>
      <c r="H757" t="s">
        <v>95</v>
      </c>
      <c r="I757" t="s">
        <v>25</v>
      </c>
      <c r="J757" t="s">
        <v>57</v>
      </c>
      <c r="K757" t="s">
        <v>78</v>
      </c>
      <c r="L757" t="s">
        <v>51</v>
      </c>
      <c r="M757" s="3">
        <v>29200</v>
      </c>
      <c r="N757" s="4">
        <v>7.5999999999999998E-2</v>
      </c>
      <c r="O757" s="4">
        <v>0.55000000000000004</v>
      </c>
      <c r="P757" t="s">
        <v>79</v>
      </c>
      <c r="R757">
        <v>55</v>
      </c>
      <c r="S757" s="3">
        <v>2247.64</v>
      </c>
    </row>
    <row r="758" spans="1:19" x14ac:dyDescent="0.2">
      <c r="A758" t="s">
        <v>1362</v>
      </c>
      <c r="B758" s="2">
        <v>46036</v>
      </c>
      <c r="C758" s="2">
        <v>46100</v>
      </c>
      <c r="D758" t="s">
        <v>829</v>
      </c>
      <c r="E758" t="s">
        <v>21</v>
      </c>
      <c r="F758" t="s">
        <v>48</v>
      </c>
      <c r="G758" t="s">
        <v>92</v>
      </c>
      <c r="H758" t="s">
        <v>56</v>
      </c>
      <c r="I758" t="s">
        <v>35</v>
      </c>
      <c r="J758" t="s">
        <v>85</v>
      </c>
      <c r="K758" t="s">
        <v>106</v>
      </c>
      <c r="L758" t="s">
        <v>28</v>
      </c>
      <c r="M758" s="3">
        <v>25300</v>
      </c>
      <c r="N758" s="4">
        <v>0.153</v>
      </c>
      <c r="O758" s="4">
        <v>0.2</v>
      </c>
      <c r="P758" t="s">
        <v>38</v>
      </c>
      <c r="R758">
        <v>64</v>
      </c>
      <c r="S758" s="3">
        <v>1785.34</v>
      </c>
    </row>
    <row r="759" spans="1:19" x14ac:dyDescent="0.2">
      <c r="A759" t="s">
        <v>1363</v>
      </c>
      <c r="B759" s="2">
        <v>45954</v>
      </c>
      <c r="C759" s="2">
        <v>46037</v>
      </c>
      <c r="D759" t="s">
        <v>1364</v>
      </c>
      <c r="E759" t="s">
        <v>33</v>
      </c>
      <c r="F759" t="s">
        <v>22</v>
      </c>
      <c r="G759" t="s">
        <v>63</v>
      </c>
      <c r="H759" t="s">
        <v>41</v>
      </c>
      <c r="I759" t="s">
        <v>65</v>
      </c>
      <c r="J759" t="s">
        <v>36</v>
      </c>
      <c r="K759" t="s">
        <v>37</v>
      </c>
      <c r="L759" t="s">
        <v>44</v>
      </c>
      <c r="M759" s="3">
        <v>42500</v>
      </c>
      <c r="N759" s="4">
        <v>7.0000000000000001E-3</v>
      </c>
      <c r="O759" s="4">
        <v>0.1</v>
      </c>
      <c r="P759" t="s">
        <v>38</v>
      </c>
      <c r="R759">
        <v>83</v>
      </c>
      <c r="S759" s="3">
        <v>3516.95</v>
      </c>
    </row>
    <row r="760" spans="1:19" x14ac:dyDescent="0.2">
      <c r="A760" t="s">
        <v>1365</v>
      </c>
      <c r="B760" s="2">
        <v>46055</v>
      </c>
      <c r="C760" s="2">
        <v>46177</v>
      </c>
      <c r="D760" t="s">
        <v>1366</v>
      </c>
      <c r="E760" t="s">
        <v>33</v>
      </c>
      <c r="F760" t="s">
        <v>48</v>
      </c>
      <c r="G760" t="s">
        <v>55</v>
      </c>
      <c r="H760" t="s">
        <v>77</v>
      </c>
      <c r="I760" t="s">
        <v>35</v>
      </c>
      <c r="J760" t="s">
        <v>85</v>
      </c>
      <c r="K760" t="s">
        <v>58</v>
      </c>
      <c r="L760" t="s">
        <v>44</v>
      </c>
      <c r="M760" s="3">
        <v>17000</v>
      </c>
      <c r="N760" s="4">
        <v>0</v>
      </c>
      <c r="O760" s="4">
        <v>0.75</v>
      </c>
      <c r="P760" t="s">
        <v>59</v>
      </c>
      <c r="R760">
        <v>122</v>
      </c>
      <c r="S760" s="3">
        <v>1416.67</v>
      </c>
    </row>
    <row r="761" spans="1:19" x14ac:dyDescent="0.2">
      <c r="A761" t="s">
        <v>1367</v>
      </c>
      <c r="B761" s="2">
        <v>46165</v>
      </c>
      <c r="C761" s="2">
        <v>46241</v>
      </c>
      <c r="D761" t="s">
        <v>1368</v>
      </c>
      <c r="E761" t="s">
        <v>82</v>
      </c>
      <c r="F761" t="s">
        <v>74</v>
      </c>
      <c r="G761" t="s">
        <v>23</v>
      </c>
      <c r="H761" t="s">
        <v>95</v>
      </c>
      <c r="I761" t="s">
        <v>65</v>
      </c>
      <c r="J761" t="s">
        <v>85</v>
      </c>
      <c r="K761" t="s">
        <v>37</v>
      </c>
      <c r="L761" t="s">
        <v>28</v>
      </c>
      <c r="M761" s="3">
        <v>219800</v>
      </c>
      <c r="N761" s="4">
        <v>7.4999999999999997E-2</v>
      </c>
      <c r="O761" s="4">
        <v>0.1</v>
      </c>
      <c r="P761" t="s">
        <v>38</v>
      </c>
      <c r="R761">
        <v>76</v>
      </c>
      <c r="S761" s="3">
        <v>16951.53</v>
      </c>
    </row>
    <row r="762" spans="1:19" x14ac:dyDescent="0.2">
      <c r="A762" t="s">
        <v>1369</v>
      </c>
      <c r="B762" s="2">
        <v>46094</v>
      </c>
      <c r="C762" s="2">
        <v>46154</v>
      </c>
      <c r="D762" t="s">
        <v>1370</v>
      </c>
      <c r="E762" t="s">
        <v>21</v>
      </c>
      <c r="F762" t="s">
        <v>22</v>
      </c>
      <c r="G762" t="s">
        <v>55</v>
      </c>
      <c r="H762" t="s">
        <v>49</v>
      </c>
      <c r="I762" t="s">
        <v>35</v>
      </c>
      <c r="J762" t="s">
        <v>85</v>
      </c>
      <c r="K762" t="s">
        <v>37</v>
      </c>
      <c r="L762" t="s">
        <v>51</v>
      </c>
      <c r="M762" s="3">
        <v>67000</v>
      </c>
      <c r="N762" s="4">
        <v>5.0999999999999997E-2</v>
      </c>
      <c r="O762" s="4">
        <v>0.1</v>
      </c>
      <c r="P762" t="s">
        <v>38</v>
      </c>
      <c r="R762">
        <v>60</v>
      </c>
      <c r="S762" s="3">
        <v>5297.78</v>
      </c>
    </row>
    <row r="763" spans="1:19" x14ac:dyDescent="0.2">
      <c r="A763" t="s">
        <v>1371</v>
      </c>
      <c r="B763" s="2">
        <v>45978</v>
      </c>
      <c r="C763" s="2">
        <v>46104</v>
      </c>
      <c r="D763" t="s">
        <v>1372</v>
      </c>
      <c r="E763" t="s">
        <v>54</v>
      </c>
      <c r="F763" t="s">
        <v>74</v>
      </c>
      <c r="G763" t="s">
        <v>63</v>
      </c>
      <c r="H763" t="s">
        <v>120</v>
      </c>
      <c r="I763" t="s">
        <v>84</v>
      </c>
      <c r="J763" t="s">
        <v>26</v>
      </c>
      <c r="K763" t="s">
        <v>27</v>
      </c>
      <c r="L763" t="s">
        <v>28</v>
      </c>
      <c r="M763" s="3">
        <v>131500</v>
      </c>
      <c r="N763" s="4">
        <v>2.5999999999999999E-2</v>
      </c>
      <c r="O763" s="4">
        <v>0</v>
      </c>
      <c r="P763" t="s">
        <v>29</v>
      </c>
      <c r="Q763" t="s">
        <v>222</v>
      </c>
      <c r="R763">
        <v>126</v>
      </c>
      <c r="S763" s="3">
        <v>10678.05</v>
      </c>
    </row>
    <row r="764" spans="1:19" x14ac:dyDescent="0.2">
      <c r="A764" t="s">
        <v>1373</v>
      </c>
      <c r="B764" s="2">
        <v>46054</v>
      </c>
      <c r="C764" s="2">
        <v>46167</v>
      </c>
      <c r="D764" t="s">
        <v>1324</v>
      </c>
      <c r="E764" t="s">
        <v>82</v>
      </c>
      <c r="F764" t="s">
        <v>22</v>
      </c>
      <c r="G764" t="s">
        <v>55</v>
      </c>
      <c r="H764" t="s">
        <v>69</v>
      </c>
      <c r="I764" t="s">
        <v>84</v>
      </c>
      <c r="J764" t="s">
        <v>43</v>
      </c>
      <c r="K764" t="s">
        <v>27</v>
      </c>
      <c r="L764" t="s">
        <v>51</v>
      </c>
      <c r="M764" s="3">
        <v>34000</v>
      </c>
      <c r="N764" s="4">
        <v>7.8E-2</v>
      </c>
      <c r="O764" s="4">
        <v>0</v>
      </c>
      <c r="P764" t="s">
        <v>29</v>
      </c>
      <c r="Q764" t="s">
        <v>188</v>
      </c>
      <c r="R764">
        <v>113</v>
      </c>
      <c r="S764" s="3">
        <v>2611.0700000000002</v>
      </c>
    </row>
    <row r="765" spans="1:19" x14ac:dyDescent="0.2">
      <c r="A765" t="s">
        <v>1374</v>
      </c>
      <c r="B765" s="2">
        <v>46210</v>
      </c>
      <c r="C765" s="2">
        <v>46307</v>
      </c>
      <c r="D765" t="s">
        <v>1375</v>
      </c>
      <c r="E765" t="s">
        <v>111</v>
      </c>
      <c r="F765" t="s">
        <v>22</v>
      </c>
      <c r="G765" t="s">
        <v>55</v>
      </c>
      <c r="H765" t="s">
        <v>69</v>
      </c>
      <c r="I765" t="s">
        <v>84</v>
      </c>
      <c r="J765" t="s">
        <v>36</v>
      </c>
      <c r="K765" t="s">
        <v>58</v>
      </c>
      <c r="L765" t="s">
        <v>44</v>
      </c>
      <c r="M765" s="3">
        <v>74600</v>
      </c>
      <c r="N765" s="4">
        <v>0.154</v>
      </c>
      <c r="O765" s="4">
        <v>0.75</v>
      </c>
      <c r="P765" t="s">
        <v>59</v>
      </c>
      <c r="R765">
        <v>97</v>
      </c>
      <c r="S765" s="3">
        <v>5258.96</v>
      </c>
    </row>
    <row r="766" spans="1:19" x14ac:dyDescent="0.2">
      <c r="A766" t="s">
        <v>1376</v>
      </c>
      <c r="B766" s="2">
        <v>46250</v>
      </c>
      <c r="C766" s="2">
        <v>46302</v>
      </c>
      <c r="D766" t="s">
        <v>523</v>
      </c>
      <c r="E766" t="s">
        <v>33</v>
      </c>
      <c r="F766" t="s">
        <v>22</v>
      </c>
      <c r="G766" t="s">
        <v>55</v>
      </c>
      <c r="H766" t="s">
        <v>77</v>
      </c>
      <c r="I766" t="s">
        <v>84</v>
      </c>
      <c r="J766" t="s">
        <v>57</v>
      </c>
      <c r="K766" t="s">
        <v>37</v>
      </c>
      <c r="L766" t="s">
        <v>51</v>
      </c>
      <c r="M766" s="3">
        <v>39900</v>
      </c>
      <c r="N766" s="4">
        <v>0.11799999999999999</v>
      </c>
      <c r="O766" s="4">
        <v>0.1</v>
      </c>
      <c r="P766" t="s">
        <v>38</v>
      </c>
      <c r="R766">
        <v>52</v>
      </c>
      <c r="S766" s="3">
        <v>2932.18</v>
      </c>
    </row>
    <row r="767" spans="1:19" x14ac:dyDescent="0.2">
      <c r="A767" t="s">
        <v>1377</v>
      </c>
      <c r="B767" s="2">
        <v>45988</v>
      </c>
      <c r="C767" s="2">
        <v>46026</v>
      </c>
      <c r="D767" t="s">
        <v>130</v>
      </c>
      <c r="E767" t="s">
        <v>33</v>
      </c>
      <c r="F767" t="s">
        <v>48</v>
      </c>
      <c r="G767" t="s">
        <v>92</v>
      </c>
      <c r="H767" t="s">
        <v>69</v>
      </c>
      <c r="I767" t="s">
        <v>65</v>
      </c>
      <c r="J767" t="s">
        <v>85</v>
      </c>
      <c r="K767" t="s">
        <v>78</v>
      </c>
      <c r="L767" t="s">
        <v>51</v>
      </c>
      <c r="M767" s="3">
        <v>25900</v>
      </c>
      <c r="N767" s="4">
        <v>0.13800000000000001</v>
      </c>
      <c r="O767" s="4">
        <v>0.55000000000000004</v>
      </c>
      <c r="P767" t="s">
        <v>79</v>
      </c>
      <c r="R767">
        <v>38</v>
      </c>
      <c r="S767" s="3">
        <v>1861.13</v>
      </c>
    </row>
    <row r="768" spans="1:19" x14ac:dyDescent="0.2">
      <c r="A768" t="s">
        <v>1378</v>
      </c>
      <c r="B768" s="2">
        <v>45953</v>
      </c>
      <c r="C768" s="2">
        <v>46019</v>
      </c>
      <c r="D768" t="s">
        <v>1139</v>
      </c>
      <c r="E768" t="s">
        <v>33</v>
      </c>
      <c r="F768" t="s">
        <v>22</v>
      </c>
      <c r="G768" t="s">
        <v>55</v>
      </c>
      <c r="H768" t="s">
        <v>24</v>
      </c>
      <c r="I768" t="s">
        <v>99</v>
      </c>
      <c r="J768" t="s">
        <v>26</v>
      </c>
      <c r="K768" t="s">
        <v>50</v>
      </c>
      <c r="L768" t="s">
        <v>44</v>
      </c>
      <c r="M768" s="3">
        <v>99300</v>
      </c>
      <c r="N768" s="4">
        <v>0.106</v>
      </c>
      <c r="O768" s="4">
        <v>1</v>
      </c>
      <c r="P768" t="s">
        <v>29</v>
      </c>
      <c r="R768">
        <v>66</v>
      </c>
      <c r="S768" s="3">
        <v>7399.73</v>
      </c>
    </row>
    <row r="769" spans="1:19" x14ac:dyDescent="0.2">
      <c r="A769" t="s">
        <v>1379</v>
      </c>
      <c r="B769" s="2">
        <v>45935</v>
      </c>
      <c r="C769" s="2">
        <v>46026</v>
      </c>
      <c r="D769" t="s">
        <v>427</v>
      </c>
      <c r="E769" t="s">
        <v>111</v>
      </c>
      <c r="F769" t="s">
        <v>22</v>
      </c>
      <c r="G769" t="s">
        <v>34</v>
      </c>
      <c r="H769" t="s">
        <v>98</v>
      </c>
      <c r="I769" t="s">
        <v>25</v>
      </c>
      <c r="J769" t="s">
        <v>43</v>
      </c>
      <c r="K769" t="s">
        <v>58</v>
      </c>
      <c r="L769" t="s">
        <v>51</v>
      </c>
      <c r="M769" s="3">
        <v>79600</v>
      </c>
      <c r="N769" s="4">
        <v>5.8000000000000003E-2</v>
      </c>
      <c r="O769" s="4">
        <v>0.75</v>
      </c>
      <c r="P769" t="s">
        <v>59</v>
      </c>
      <c r="R769">
        <v>91</v>
      </c>
      <c r="S769" s="3">
        <v>6247.08</v>
      </c>
    </row>
    <row r="770" spans="1:19" x14ac:dyDescent="0.2">
      <c r="A770" t="s">
        <v>1380</v>
      </c>
      <c r="B770" s="2">
        <v>46175</v>
      </c>
      <c r="C770" s="2">
        <v>46310</v>
      </c>
      <c r="D770" t="s">
        <v>1381</v>
      </c>
      <c r="E770" t="s">
        <v>54</v>
      </c>
      <c r="F770" t="s">
        <v>74</v>
      </c>
      <c r="G770" t="s">
        <v>34</v>
      </c>
      <c r="H770" t="s">
        <v>24</v>
      </c>
      <c r="I770" t="s">
        <v>65</v>
      </c>
      <c r="J770" t="s">
        <v>36</v>
      </c>
      <c r="K770" t="s">
        <v>106</v>
      </c>
      <c r="L770" t="s">
        <v>51</v>
      </c>
      <c r="M770" s="3">
        <v>231500</v>
      </c>
      <c r="N770" s="4">
        <v>0.13900000000000001</v>
      </c>
      <c r="O770" s="4">
        <v>0.2</v>
      </c>
      <c r="P770" t="s">
        <v>38</v>
      </c>
      <c r="R770">
        <v>135</v>
      </c>
      <c r="S770" s="3">
        <v>16613.43</v>
      </c>
    </row>
    <row r="771" spans="1:19" x14ac:dyDescent="0.2">
      <c r="A771" t="s">
        <v>1382</v>
      </c>
      <c r="B771" s="2">
        <v>46249</v>
      </c>
      <c r="C771" s="2">
        <v>46311</v>
      </c>
      <c r="D771" t="s">
        <v>1383</v>
      </c>
      <c r="E771" t="s">
        <v>54</v>
      </c>
      <c r="F771" t="s">
        <v>74</v>
      </c>
      <c r="G771" t="s">
        <v>55</v>
      </c>
      <c r="H771" t="s">
        <v>56</v>
      </c>
      <c r="I771" t="s">
        <v>65</v>
      </c>
      <c r="J771" t="s">
        <v>36</v>
      </c>
      <c r="K771" t="s">
        <v>58</v>
      </c>
      <c r="L771" t="s">
        <v>44</v>
      </c>
      <c r="M771" s="3">
        <v>171700</v>
      </c>
      <c r="N771" s="4">
        <v>0.182</v>
      </c>
      <c r="O771" s="4">
        <v>0.7</v>
      </c>
      <c r="P771" t="s">
        <v>59</v>
      </c>
      <c r="R771">
        <v>62</v>
      </c>
      <c r="S771" s="3">
        <v>11710.63</v>
      </c>
    </row>
    <row r="772" spans="1:19" x14ac:dyDescent="0.2">
      <c r="A772" t="s">
        <v>1384</v>
      </c>
      <c r="B772" s="2">
        <v>45969</v>
      </c>
      <c r="C772" s="2">
        <v>46000</v>
      </c>
      <c r="D772" t="s">
        <v>1385</v>
      </c>
      <c r="E772" t="s">
        <v>111</v>
      </c>
      <c r="F772" t="s">
        <v>22</v>
      </c>
      <c r="G772" t="s">
        <v>92</v>
      </c>
      <c r="H772" t="s">
        <v>98</v>
      </c>
      <c r="I772" t="s">
        <v>42</v>
      </c>
      <c r="J772" t="s">
        <v>43</v>
      </c>
      <c r="K772" t="s">
        <v>78</v>
      </c>
      <c r="L772" t="s">
        <v>51</v>
      </c>
      <c r="M772" s="3">
        <v>63800</v>
      </c>
      <c r="N772" s="4">
        <v>2.1999999999999999E-2</v>
      </c>
      <c r="O772" s="4">
        <v>0.55000000000000004</v>
      </c>
      <c r="P772" t="s">
        <v>79</v>
      </c>
      <c r="R772">
        <v>31</v>
      </c>
      <c r="S772" s="3">
        <v>5197.87</v>
      </c>
    </row>
    <row r="773" spans="1:19" x14ac:dyDescent="0.2">
      <c r="A773" t="s">
        <v>1386</v>
      </c>
      <c r="B773" s="2">
        <v>46089</v>
      </c>
      <c r="C773" s="2">
        <v>46193</v>
      </c>
      <c r="D773" t="s">
        <v>1126</v>
      </c>
      <c r="E773" t="s">
        <v>62</v>
      </c>
      <c r="F773" t="s">
        <v>48</v>
      </c>
      <c r="G773" t="s">
        <v>63</v>
      </c>
      <c r="H773" t="s">
        <v>56</v>
      </c>
      <c r="I773" t="s">
        <v>35</v>
      </c>
      <c r="J773" t="s">
        <v>85</v>
      </c>
      <c r="K773" t="s">
        <v>50</v>
      </c>
      <c r="L773" t="s">
        <v>28</v>
      </c>
      <c r="M773" s="3">
        <v>10700</v>
      </c>
      <c r="N773" s="4">
        <v>0.115</v>
      </c>
      <c r="O773" s="4">
        <v>1</v>
      </c>
      <c r="P773" t="s">
        <v>29</v>
      </c>
      <c r="R773">
        <v>104</v>
      </c>
      <c r="S773" s="3">
        <v>789.38</v>
      </c>
    </row>
    <row r="774" spans="1:19" x14ac:dyDescent="0.2">
      <c r="A774" t="s">
        <v>1387</v>
      </c>
      <c r="B774" s="2">
        <v>46045</v>
      </c>
      <c r="C774" s="2">
        <v>46121</v>
      </c>
      <c r="D774" t="s">
        <v>1388</v>
      </c>
      <c r="E774" t="s">
        <v>21</v>
      </c>
      <c r="F774" t="s">
        <v>48</v>
      </c>
      <c r="G774" t="s">
        <v>34</v>
      </c>
      <c r="H774" t="s">
        <v>98</v>
      </c>
      <c r="I774" t="s">
        <v>84</v>
      </c>
      <c r="J774" t="s">
        <v>57</v>
      </c>
      <c r="K774" t="s">
        <v>50</v>
      </c>
      <c r="L774" t="s">
        <v>44</v>
      </c>
      <c r="M774" s="3">
        <v>8700</v>
      </c>
      <c r="N774" s="4">
        <v>0.14199999999999999</v>
      </c>
      <c r="O774" s="4">
        <v>0.95</v>
      </c>
      <c r="P774" t="s">
        <v>29</v>
      </c>
      <c r="R774">
        <v>76</v>
      </c>
      <c r="S774" s="3">
        <v>622.29999999999995</v>
      </c>
    </row>
    <row r="775" spans="1:19" x14ac:dyDescent="0.2">
      <c r="A775" t="s">
        <v>1389</v>
      </c>
      <c r="B775" s="2">
        <v>45967</v>
      </c>
      <c r="C775" s="2">
        <v>46013</v>
      </c>
      <c r="D775" t="s">
        <v>623</v>
      </c>
      <c r="E775" t="s">
        <v>111</v>
      </c>
      <c r="F775" t="s">
        <v>74</v>
      </c>
      <c r="G775" t="s">
        <v>92</v>
      </c>
      <c r="H775" t="s">
        <v>98</v>
      </c>
      <c r="I775" t="s">
        <v>42</v>
      </c>
      <c r="J775" t="s">
        <v>26</v>
      </c>
      <c r="K775" t="s">
        <v>88</v>
      </c>
      <c r="L775" t="s">
        <v>51</v>
      </c>
      <c r="M775" s="3">
        <v>152100</v>
      </c>
      <c r="N775" s="4">
        <v>0.13200000000000001</v>
      </c>
      <c r="O775" s="4">
        <v>0.35</v>
      </c>
      <c r="P775" t="s">
        <v>38</v>
      </c>
      <c r="R775">
        <v>46</v>
      </c>
      <c r="S775" s="3">
        <v>11001.61</v>
      </c>
    </row>
    <row r="776" spans="1:19" x14ac:dyDescent="0.2">
      <c r="A776" t="s">
        <v>1390</v>
      </c>
      <c r="B776" s="2">
        <v>46169</v>
      </c>
      <c r="C776" s="2">
        <v>46299</v>
      </c>
      <c r="D776" t="s">
        <v>394</v>
      </c>
      <c r="E776" t="s">
        <v>54</v>
      </c>
      <c r="F776" t="s">
        <v>22</v>
      </c>
      <c r="G776" t="s">
        <v>23</v>
      </c>
      <c r="H776" t="s">
        <v>98</v>
      </c>
      <c r="I776" t="s">
        <v>84</v>
      </c>
      <c r="J776" t="s">
        <v>57</v>
      </c>
      <c r="K776" t="s">
        <v>58</v>
      </c>
      <c r="L776" t="s">
        <v>51</v>
      </c>
      <c r="M776" s="3">
        <v>88700</v>
      </c>
      <c r="N776" s="4">
        <v>0.14299999999999999</v>
      </c>
      <c r="O776" s="4">
        <v>0.8</v>
      </c>
      <c r="P776" t="s">
        <v>59</v>
      </c>
      <c r="R776">
        <v>130</v>
      </c>
      <c r="S776" s="3">
        <v>6332.91</v>
      </c>
    </row>
    <row r="777" spans="1:19" x14ac:dyDescent="0.2">
      <c r="A777" t="s">
        <v>1391</v>
      </c>
      <c r="B777" s="2">
        <v>46222</v>
      </c>
      <c r="C777" s="2">
        <v>46276</v>
      </c>
      <c r="D777" t="s">
        <v>447</v>
      </c>
      <c r="E777" t="s">
        <v>54</v>
      </c>
      <c r="F777" t="s">
        <v>48</v>
      </c>
      <c r="G777" t="s">
        <v>92</v>
      </c>
      <c r="H777" t="s">
        <v>83</v>
      </c>
      <c r="I777" t="s">
        <v>25</v>
      </c>
      <c r="J777" t="s">
        <v>36</v>
      </c>
      <c r="K777" t="s">
        <v>106</v>
      </c>
      <c r="L777" t="s">
        <v>44</v>
      </c>
      <c r="M777" s="3">
        <v>27200</v>
      </c>
      <c r="N777" s="4">
        <v>0.112</v>
      </c>
      <c r="O777" s="4">
        <v>0.2</v>
      </c>
      <c r="P777" t="s">
        <v>38</v>
      </c>
      <c r="R777">
        <v>54</v>
      </c>
      <c r="S777" s="3">
        <v>2012.43</v>
      </c>
    </row>
    <row r="778" spans="1:19" x14ac:dyDescent="0.2">
      <c r="A778" t="s">
        <v>1392</v>
      </c>
      <c r="B778" s="2">
        <v>46181</v>
      </c>
      <c r="C778" s="2">
        <v>46230</v>
      </c>
      <c r="D778" t="s">
        <v>1393</v>
      </c>
      <c r="E778" t="s">
        <v>111</v>
      </c>
      <c r="F778" t="s">
        <v>22</v>
      </c>
      <c r="G778" t="s">
        <v>92</v>
      </c>
      <c r="H778" t="s">
        <v>83</v>
      </c>
      <c r="I778" t="s">
        <v>25</v>
      </c>
      <c r="J778" t="s">
        <v>85</v>
      </c>
      <c r="K778" t="s">
        <v>50</v>
      </c>
      <c r="L778" t="s">
        <v>28</v>
      </c>
      <c r="M778" s="3">
        <v>42800</v>
      </c>
      <c r="N778" s="4">
        <v>0.217</v>
      </c>
      <c r="O778" s="4">
        <v>1</v>
      </c>
      <c r="P778" t="s">
        <v>29</v>
      </c>
      <c r="R778">
        <v>49</v>
      </c>
      <c r="S778" s="3">
        <v>2793.75</v>
      </c>
    </row>
    <row r="779" spans="1:19" x14ac:dyDescent="0.2">
      <c r="A779" t="s">
        <v>1394</v>
      </c>
      <c r="B779" s="2">
        <v>46194</v>
      </c>
      <c r="C779" s="2">
        <v>46249</v>
      </c>
      <c r="D779" t="s">
        <v>1120</v>
      </c>
      <c r="E779" t="s">
        <v>21</v>
      </c>
      <c r="F779" t="s">
        <v>48</v>
      </c>
      <c r="G779" t="s">
        <v>63</v>
      </c>
      <c r="H779" t="s">
        <v>137</v>
      </c>
      <c r="I779" t="s">
        <v>35</v>
      </c>
      <c r="J779" t="s">
        <v>26</v>
      </c>
      <c r="K779" t="s">
        <v>106</v>
      </c>
      <c r="L779" t="s">
        <v>28</v>
      </c>
      <c r="M779" s="3">
        <v>13400</v>
      </c>
      <c r="N779" s="4">
        <v>0.1</v>
      </c>
      <c r="O779" s="4">
        <v>0.2</v>
      </c>
      <c r="P779" t="s">
        <v>38</v>
      </c>
      <c r="R779">
        <v>55</v>
      </c>
      <c r="S779" s="3">
        <v>1005.3</v>
      </c>
    </row>
    <row r="780" spans="1:19" x14ac:dyDescent="0.2">
      <c r="A780" t="s">
        <v>1395</v>
      </c>
      <c r="B780" s="2">
        <v>45939</v>
      </c>
      <c r="C780" s="2">
        <v>46013</v>
      </c>
      <c r="D780" t="s">
        <v>1039</v>
      </c>
      <c r="E780" t="s">
        <v>62</v>
      </c>
      <c r="F780" t="s">
        <v>48</v>
      </c>
      <c r="G780" t="s">
        <v>92</v>
      </c>
      <c r="H780" t="s">
        <v>56</v>
      </c>
      <c r="I780" t="s">
        <v>84</v>
      </c>
      <c r="J780" t="s">
        <v>26</v>
      </c>
      <c r="K780" t="s">
        <v>37</v>
      </c>
      <c r="L780" t="s">
        <v>44</v>
      </c>
      <c r="M780" s="3">
        <v>7000</v>
      </c>
      <c r="N780" s="4">
        <v>0.13200000000000001</v>
      </c>
      <c r="O780" s="4">
        <v>0.1</v>
      </c>
      <c r="P780" t="s">
        <v>38</v>
      </c>
      <c r="R780">
        <v>74</v>
      </c>
      <c r="S780" s="3">
        <v>506.34</v>
      </c>
    </row>
    <row r="781" spans="1:19" x14ac:dyDescent="0.2">
      <c r="A781" t="s">
        <v>1396</v>
      </c>
      <c r="B781" s="2">
        <v>46070</v>
      </c>
      <c r="C781" s="2">
        <v>46146</v>
      </c>
      <c r="D781" t="s">
        <v>729</v>
      </c>
      <c r="E781" t="s">
        <v>62</v>
      </c>
      <c r="F781" t="s">
        <v>74</v>
      </c>
      <c r="G781" t="s">
        <v>34</v>
      </c>
      <c r="H781" t="s">
        <v>98</v>
      </c>
      <c r="I781" t="s">
        <v>25</v>
      </c>
      <c r="J781" t="s">
        <v>43</v>
      </c>
      <c r="K781" t="s">
        <v>106</v>
      </c>
      <c r="L781" t="s">
        <v>44</v>
      </c>
      <c r="M781" s="3">
        <v>262400</v>
      </c>
      <c r="N781" s="4">
        <v>0.23599999999999999</v>
      </c>
      <c r="O781" s="4">
        <v>0.15</v>
      </c>
      <c r="P781" t="s">
        <v>38</v>
      </c>
      <c r="R781">
        <v>76</v>
      </c>
      <c r="S781" s="3">
        <v>16713.150000000001</v>
      </c>
    </row>
    <row r="782" spans="1:19" x14ac:dyDescent="0.2">
      <c r="A782" t="s">
        <v>1397</v>
      </c>
      <c r="B782" s="2">
        <v>45972</v>
      </c>
      <c r="C782" s="2">
        <v>46111</v>
      </c>
      <c r="D782" t="s">
        <v>788</v>
      </c>
      <c r="E782" t="s">
        <v>54</v>
      </c>
      <c r="F782" t="s">
        <v>48</v>
      </c>
      <c r="G782" t="s">
        <v>23</v>
      </c>
      <c r="H782" t="s">
        <v>77</v>
      </c>
      <c r="I782" t="s">
        <v>65</v>
      </c>
      <c r="J782" t="s">
        <v>43</v>
      </c>
      <c r="K782" t="s">
        <v>37</v>
      </c>
      <c r="L782" t="s">
        <v>44</v>
      </c>
      <c r="M782" s="3">
        <v>7700</v>
      </c>
      <c r="N782" s="4">
        <v>0.10100000000000001</v>
      </c>
      <c r="O782" s="4">
        <v>0.1</v>
      </c>
      <c r="P782" t="s">
        <v>38</v>
      </c>
      <c r="R782">
        <v>139</v>
      </c>
      <c r="S782" s="3">
        <v>576.6</v>
      </c>
    </row>
    <row r="783" spans="1:19" x14ac:dyDescent="0.2">
      <c r="A783" t="s">
        <v>1398</v>
      </c>
      <c r="B783" s="2">
        <v>46255</v>
      </c>
      <c r="C783" s="2">
        <v>46277</v>
      </c>
      <c r="D783" t="s">
        <v>640</v>
      </c>
      <c r="E783" t="s">
        <v>62</v>
      </c>
      <c r="F783" t="s">
        <v>48</v>
      </c>
      <c r="G783" t="s">
        <v>55</v>
      </c>
      <c r="H783" t="s">
        <v>98</v>
      </c>
      <c r="I783" t="s">
        <v>65</v>
      </c>
      <c r="J783" t="s">
        <v>85</v>
      </c>
      <c r="K783" t="s">
        <v>50</v>
      </c>
      <c r="L783" t="s">
        <v>44</v>
      </c>
      <c r="M783" s="3">
        <v>24500</v>
      </c>
      <c r="N783" s="4">
        <v>0.113</v>
      </c>
      <c r="O783" s="4">
        <v>0.95</v>
      </c>
      <c r="P783" t="s">
        <v>29</v>
      </c>
      <c r="R783">
        <v>22</v>
      </c>
      <c r="S783" s="3">
        <v>1810.29</v>
      </c>
    </row>
    <row r="784" spans="1:19" x14ac:dyDescent="0.2">
      <c r="A784" t="s">
        <v>1399</v>
      </c>
      <c r="B784" s="2">
        <v>45942</v>
      </c>
      <c r="C784" s="2">
        <v>45997</v>
      </c>
      <c r="D784" t="s">
        <v>1336</v>
      </c>
      <c r="E784" t="s">
        <v>111</v>
      </c>
      <c r="F784" t="s">
        <v>48</v>
      </c>
      <c r="G784" t="s">
        <v>55</v>
      </c>
      <c r="H784" t="s">
        <v>98</v>
      </c>
      <c r="I784" t="s">
        <v>65</v>
      </c>
      <c r="J784" t="s">
        <v>26</v>
      </c>
      <c r="K784" t="s">
        <v>106</v>
      </c>
      <c r="L784" t="s">
        <v>44</v>
      </c>
      <c r="M784" s="3">
        <v>6900</v>
      </c>
      <c r="N784" s="4">
        <v>1.6E-2</v>
      </c>
      <c r="O784" s="4">
        <v>0.2</v>
      </c>
      <c r="P784" t="s">
        <v>38</v>
      </c>
      <c r="R784">
        <v>55</v>
      </c>
      <c r="S784" s="3">
        <v>565.57000000000005</v>
      </c>
    </row>
    <row r="785" spans="1:19" x14ac:dyDescent="0.2">
      <c r="A785" t="s">
        <v>1400</v>
      </c>
      <c r="B785" s="2">
        <v>46122</v>
      </c>
      <c r="C785" s="2">
        <v>46148</v>
      </c>
      <c r="D785" t="s">
        <v>775</v>
      </c>
      <c r="E785" t="s">
        <v>91</v>
      </c>
      <c r="F785" t="s">
        <v>48</v>
      </c>
      <c r="G785" t="s">
        <v>34</v>
      </c>
      <c r="H785" t="s">
        <v>98</v>
      </c>
      <c r="I785" t="s">
        <v>35</v>
      </c>
      <c r="J785" t="s">
        <v>43</v>
      </c>
      <c r="K785" t="s">
        <v>106</v>
      </c>
      <c r="L785" t="s">
        <v>51</v>
      </c>
      <c r="M785" s="3">
        <v>9200</v>
      </c>
      <c r="N785" s="4">
        <v>0.111</v>
      </c>
      <c r="O785" s="4">
        <v>0.2</v>
      </c>
      <c r="P785" t="s">
        <v>38</v>
      </c>
      <c r="R785">
        <v>26</v>
      </c>
      <c r="S785" s="3">
        <v>681.54</v>
      </c>
    </row>
    <row r="786" spans="1:19" x14ac:dyDescent="0.2">
      <c r="A786" t="s">
        <v>1401</v>
      </c>
      <c r="B786" s="2">
        <v>45967</v>
      </c>
      <c r="C786" s="2">
        <v>46079</v>
      </c>
      <c r="D786" t="s">
        <v>316</v>
      </c>
      <c r="E786" t="s">
        <v>21</v>
      </c>
      <c r="F786" t="s">
        <v>74</v>
      </c>
      <c r="G786" t="s">
        <v>92</v>
      </c>
      <c r="H786" t="s">
        <v>95</v>
      </c>
      <c r="I786" t="s">
        <v>99</v>
      </c>
      <c r="J786" t="s">
        <v>85</v>
      </c>
      <c r="K786" t="s">
        <v>106</v>
      </c>
      <c r="L786" t="s">
        <v>51</v>
      </c>
      <c r="M786" s="3">
        <v>326700</v>
      </c>
      <c r="N786" s="4">
        <v>0.14399999999999999</v>
      </c>
      <c r="O786" s="4">
        <v>0.25</v>
      </c>
      <c r="P786" t="s">
        <v>38</v>
      </c>
      <c r="R786">
        <v>112</v>
      </c>
      <c r="S786" s="3">
        <v>23291.52</v>
      </c>
    </row>
    <row r="787" spans="1:19" x14ac:dyDescent="0.2">
      <c r="A787" t="s">
        <v>1402</v>
      </c>
      <c r="B787" s="2">
        <v>46256</v>
      </c>
      <c r="C787" s="2">
        <v>46329</v>
      </c>
      <c r="D787" t="s">
        <v>1403</v>
      </c>
      <c r="E787" t="s">
        <v>82</v>
      </c>
      <c r="F787" t="s">
        <v>22</v>
      </c>
      <c r="G787" t="s">
        <v>92</v>
      </c>
      <c r="H787" t="s">
        <v>49</v>
      </c>
      <c r="I787" t="s">
        <v>25</v>
      </c>
      <c r="J787" t="s">
        <v>26</v>
      </c>
      <c r="K787" t="s">
        <v>78</v>
      </c>
      <c r="L787" t="s">
        <v>44</v>
      </c>
      <c r="M787" s="3">
        <v>87400</v>
      </c>
      <c r="N787" s="4">
        <v>6.9000000000000006E-2</v>
      </c>
      <c r="O787" s="4">
        <v>0.6</v>
      </c>
      <c r="P787" t="s">
        <v>79</v>
      </c>
      <c r="R787">
        <v>73</v>
      </c>
      <c r="S787" s="3">
        <v>6781.72</v>
      </c>
    </row>
    <row r="788" spans="1:19" x14ac:dyDescent="0.2">
      <c r="A788" t="s">
        <v>1404</v>
      </c>
      <c r="B788" s="2">
        <v>46156</v>
      </c>
      <c r="C788" s="2">
        <v>46230</v>
      </c>
      <c r="D788" t="s">
        <v>1405</v>
      </c>
      <c r="E788" t="s">
        <v>54</v>
      </c>
      <c r="F788" t="s">
        <v>48</v>
      </c>
      <c r="G788" t="s">
        <v>92</v>
      </c>
      <c r="H788" t="s">
        <v>120</v>
      </c>
      <c r="I788" t="s">
        <v>25</v>
      </c>
      <c r="J788" t="s">
        <v>43</v>
      </c>
      <c r="K788" t="s">
        <v>50</v>
      </c>
      <c r="L788" t="s">
        <v>44</v>
      </c>
      <c r="M788" s="3">
        <v>21600</v>
      </c>
      <c r="N788" s="4">
        <v>0.17499999999999999</v>
      </c>
      <c r="O788" s="4">
        <v>1</v>
      </c>
      <c r="P788" t="s">
        <v>29</v>
      </c>
      <c r="R788">
        <v>74</v>
      </c>
      <c r="S788" s="3">
        <v>1484.8</v>
      </c>
    </row>
    <row r="789" spans="1:19" x14ac:dyDescent="0.2">
      <c r="A789" t="s">
        <v>1406</v>
      </c>
      <c r="B789" s="2">
        <v>46103</v>
      </c>
      <c r="C789" s="2">
        <v>46250</v>
      </c>
      <c r="D789" t="s">
        <v>738</v>
      </c>
      <c r="E789" t="s">
        <v>33</v>
      </c>
      <c r="F789" t="s">
        <v>22</v>
      </c>
      <c r="G789" t="s">
        <v>23</v>
      </c>
      <c r="H789" t="s">
        <v>98</v>
      </c>
      <c r="I789" t="s">
        <v>25</v>
      </c>
      <c r="J789" t="s">
        <v>26</v>
      </c>
      <c r="K789" t="s">
        <v>58</v>
      </c>
      <c r="L789" t="s">
        <v>51</v>
      </c>
      <c r="M789" s="3">
        <v>87100</v>
      </c>
      <c r="N789" s="4">
        <v>8.2000000000000003E-2</v>
      </c>
      <c r="O789" s="4">
        <v>0.8</v>
      </c>
      <c r="P789" t="s">
        <v>59</v>
      </c>
      <c r="R789">
        <v>147</v>
      </c>
      <c r="S789" s="3">
        <v>6660.83</v>
      </c>
    </row>
    <row r="790" spans="1:19" x14ac:dyDescent="0.2">
      <c r="A790" t="s">
        <v>1407</v>
      </c>
      <c r="B790" s="2">
        <v>46131</v>
      </c>
      <c r="C790" s="2">
        <v>46149</v>
      </c>
      <c r="D790" t="s">
        <v>1220</v>
      </c>
      <c r="E790" t="s">
        <v>91</v>
      </c>
      <c r="F790" t="s">
        <v>22</v>
      </c>
      <c r="G790" t="s">
        <v>23</v>
      </c>
      <c r="H790" t="s">
        <v>98</v>
      </c>
      <c r="I790" t="s">
        <v>35</v>
      </c>
      <c r="J790" t="s">
        <v>85</v>
      </c>
      <c r="K790" t="s">
        <v>50</v>
      </c>
      <c r="L790" t="s">
        <v>44</v>
      </c>
      <c r="M790" s="3">
        <v>35400</v>
      </c>
      <c r="N790" s="4">
        <v>1.6E-2</v>
      </c>
      <c r="O790" s="4">
        <v>1</v>
      </c>
      <c r="P790" t="s">
        <v>29</v>
      </c>
      <c r="R790">
        <v>18</v>
      </c>
      <c r="S790" s="3">
        <v>2903.07</v>
      </c>
    </row>
    <row r="791" spans="1:19" x14ac:dyDescent="0.2">
      <c r="A791" t="s">
        <v>1408</v>
      </c>
      <c r="B791" s="2">
        <v>46277</v>
      </c>
      <c r="C791" s="2">
        <v>46292</v>
      </c>
      <c r="D791" t="s">
        <v>1009</v>
      </c>
      <c r="E791" t="s">
        <v>33</v>
      </c>
      <c r="F791" t="s">
        <v>48</v>
      </c>
      <c r="G791" t="s">
        <v>92</v>
      </c>
      <c r="H791" t="s">
        <v>77</v>
      </c>
      <c r="I791" t="s">
        <v>99</v>
      </c>
      <c r="J791" t="s">
        <v>43</v>
      </c>
      <c r="K791" t="s">
        <v>58</v>
      </c>
      <c r="L791" t="s">
        <v>28</v>
      </c>
      <c r="M791" s="3">
        <v>26400</v>
      </c>
      <c r="N791" s="4">
        <v>0.182</v>
      </c>
      <c r="O791" s="4">
        <v>0.75</v>
      </c>
      <c r="P791" t="s">
        <v>59</v>
      </c>
      <c r="R791">
        <v>15</v>
      </c>
      <c r="S791" s="3">
        <v>1800.14</v>
      </c>
    </row>
    <row r="792" spans="1:19" x14ac:dyDescent="0.2">
      <c r="A792" t="s">
        <v>1409</v>
      </c>
      <c r="B792" s="2">
        <v>46242</v>
      </c>
      <c r="C792" s="2">
        <v>46327</v>
      </c>
      <c r="D792" t="s">
        <v>97</v>
      </c>
      <c r="E792" t="s">
        <v>91</v>
      </c>
      <c r="F792" t="s">
        <v>22</v>
      </c>
      <c r="G792" t="s">
        <v>55</v>
      </c>
      <c r="H792" t="s">
        <v>83</v>
      </c>
      <c r="I792" t="s">
        <v>35</v>
      </c>
      <c r="J792" t="s">
        <v>26</v>
      </c>
      <c r="K792" t="s">
        <v>106</v>
      </c>
      <c r="L792" t="s">
        <v>44</v>
      </c>
      <c r="M792" s="3">
        <v>87700</v>
      </c>
      <c r="N792" s="4">
        <v>0.11899999999999999</v>
      </c>
      <c r="O792" s="4">
        <v>0.2</v>
      </c>
      <c r="P792" t="s">
        <v>38</v>
      </c>
      <c r="R792">
        <v>85</v>
      </c>
      <c r="S792" s="3">
        <v>6440.75</v>
      </c>
    </row>
    <row r="793" spans="1:19" x14ac:dyDescent="0.2">
      <c r="A793" t="s">
        <v>1410</v>
      </c>
      <c r="B793" s="2">
        <v>46161</v>
      </c>
      <c r="C793" s="2">
        <v>46262</v>
      </c>
      <c r="D793" t="s">
        <v>314</v>
      </c>
      <c r="E793" t="s">
        <v>54</v>
      </c>
      <c r="F793" t="s">
        <v>22</v>
      </c>
      <c r="G793" t="s">
        <v>92</v>
      </c>
      <c r="H793" t="s">
        <v>98</v>
      </c>
      <c r="I793" t="s">
        <v>65</v>
      </c>
      <c r="J793" t="s">
        <v>43</v>
      </c>
      <c r="K793" t="s">
        <v>88</v>
      </c>
      <c r="L793" t="s">
        <v>51</v>
      </c>
      <c r="M793" s="3">
        <v>47500</v>
      </c>
      <c r="N793" s="4">
        <v>9.8000000000000004E-2</v>
      </c>
      <c r="O793" s="4">
        <v>0.35</v>
      </c>
      <c r="P793" t="s">
        <v>38</v>
      </c>
      <c r="R793">
        <v>101</v>
      </c>
      <c r="S793" s="3">
        <v>3568.56</v>
      </c>
    </row>
    <row r="794" spans="1:19" x14ac:dyDescent="0.2">
      <c r="A794" t="s">
        <v>1411</v>
      </c>
      <c r="B794" s="2">
        <v>45931</v>
      </c>
      <c r="C794" s="2">
        <v>46001</v>
      </c>
      <c r="D794" t="s">
        <v>1071</v>
      </c>
      <c r="E794" t="s">
        <v>111</v>
      </c>
      <c r="F794" t="s">
        <v>48</v>
      </c>
      <c r="G794" t="s">
        <v>34</v>
      </c>
      <c r="H794" t="s">
        <v>24</v>
      </c>
      <c r="I794" t="s">
        <v>42</v>
      </c>
      <c r="J794" t="s">
        <v>36</v>
      </c>
      <c r="K794" t="s">
        <v>58</v>
      </c>
      <c r="L794" t="s">
        <v>28</v>
      </c>
      <c r="M794" s="3">
        <v>23100</v>
      </c>
      <c r="N794" s="4">
        <v>0.26600000000000001</v>
      </c>
      <c r="O794" s="4">
        <v>0.75</v>
      </c>
      <c r="P794" t="s">
        <v>59</v>
      </c>
      <c r="R794">
        <v>70</v>
      </c>
      <c r="S794" s="3">
        <v>1412.69</v>
      </c>
    </row>
    <row r="795" spans="1:19" x14ac:dyDescent="0.2">
      <c r="A795" t="s">
        <v>1412</v>
      </c>
      <c r="B795" s="2">
        <v>46270</v>
      </c>
      <c r="C795" s="2">
        <v>46334</v>
      </c>
      <c r="D795" t="s">
        <v>829</v>
      </c>
      <c r="E795" t="s">
        <v>62</v>
      </c>
      <c r="F795" t="s">
        <v>74</v>
      </c>
      <c r="G795" t="s">
        <v>63</v>
      </c>
      <c r="H795" t="s">
        <v>56</v>
      </c>
      <c r="I795" t="s">
        <v>25</v>
      </c>
      <c r="J795" t="s">
        <v>43</v>
      </c>
      <c r="K795" t="s">
        <v>88</v>
      </c>
      <c r="L795" t="s">
        <v>51</v>
      </c>
      <c r="M795" s="3">
        <v>216600</v>
      </c>
      <c r="N795" s="4">
        <v>0.17299999999999999</v>
      </c>
      <c r="O795" s="4">
        <v>0.3</v>
      </c>
      <c r="P795" t="s">
        <v>38</v>
      </c>
      <c r="R795">
        <v>64</v>
      </c>
      <c r="S795" s="3">
        <v>14927.49</v>
      </c>
    </row>
    <row r="796" spans="1:19" x14ac:dyDescent="0.2">
      <c r="A796" t="s">
        <v>1413</v>
      </c>
      <c r="B796" s="2">
        <v>46193</v>
      </c>
      <c r="C796" s="2">
        <v>46273</v>
      </c>
      <c r="D796" t="s">
        <v>1084</v>
      </c>
      <c r="E796" t="s">
        <v>54</v>
      </c>
      <c r="F796" t="s">
        <v>48</v>
      </c>
      <c r="G796" t="s">
        <v>92</v>
      </c>
      <c r="H796" t="s">
        <v>56</v>
      </c>
      <c r="I796" t="s">
        <v>65</v>
      </c>
      <c r="J796" t="s">
        <v>26</v>
      </c>
      <c r="K796" t="s">
        <v>58</v>
      </c>
      <c r="L796" t="s">
        <v>44</v>
      </c>
      <c r="M796" s="3">
        <v>6300</v>
      </c>
      <c r="N796" s="4">
        <v>9.5000000000000001E-2</v>
      </c>
      <c r="O796" s="4">
        <v>0.75</v>
      </c>
      <c r="P796" t="s">
        <v>59</v>
      </c>
      <c r="R796">
        <v>80</v>
      </c>
      <c r="S796" s="3">
        <v>474.96</v>
      </c>
    </row>
    <row r="797" spans="1:19" x14ac:dyDescent="0.2">
      <c r="A797" t="s">
        <v>1414</v>
      </c>
      <c r="B797" s="2">
        <v>46147</v>
      </c>
      <c r="C797" s="2">
        <v>46246</v>
      </c>
      <c r="D797" t="s">
        <v>1183</v>
      </c>
      <c r="E797" t="s">
        <v>68</v>
      </c>
      <c r="F797" t="s">
        <v>22</v>
      </c>
      <c r="G797" t="s">
        <v>63</v>
      </c>
      <c r="H797" t="s">
        <v>120</v>
      </c>
      <c r="I797" t="s">
        <v>25</v>
      </c>
      <c r="J797" t="s">
        <v>36</v>
      </c>
      <c r="K797" t="s">
        <v>37</v>
      </c>
      <c r="L797" t="s">
        <v>28</v>
      </c>
      <c r="M797" s="3">
        <v>86100</v>
      </c>
      <c r="N797" s="4">
        <v>9.7000000000000003E-2</v>
      </c>
      <c r="O797" s="4">
        <v>0.15</v>
      </c>
      <c r="P797" t="s">
        <v>38</v>
      </c>
      <c r="R797">
        <v>99</v>
      </c>
      <c r="S797" s="3">
        <v>6482.41</v>
      </c>
    </row>
    <row r="798" spans="1:19" x14ac:dyDescent="0.2">
      <c r="A798" t="s">
        <v>1415</v>
      </c>
      <c r="B798" s="2">
        <v>46220</v>
      </c>
      <c r="C798" s="2">
        <v>46277</v>
      </c>
      <c r="D798" t="s">
        <v>1416</v>
      </c>
      <c r="E798" t="s">
        <v>33</v>
      </c>
      <c r="F798" t="s">
        <v>48</v>
      </c>
      <c r="G798" t="s">
        <v>34</v>
      </c>
      <c r="H798" t="s">
        <v>24</v>
      </c>
      <c r="I798" t="s">
        <v>65</v>
      </c>
      <c r="J798" t="s">
        <v>57</v>
      </c>
      <c r="K798" t="s">
        <v>50</v>
      </c>
      <c r="L798" t="s">
        <v>28</v>
      </c>
      <c r="M798" s="3">
        <v>27600</v>
      </c>
      <c r="N798" s="4">
        <v>7.2999999999999995E-2</v>
      </c>
      <c r="O798" s="4">
        <v>1</v>
      </c>
      <c r="P798" t="s">
        <v>29</v>
      </c>
      <c r="R798">
        <v>57</v>
      </c>
      <c r="S798" s="3">
        <v>2133.21</v>
      </c>
    </row>
    <row r="799" spans="1:19" x14ac:dyDescent="0.2">
      <c r="A799" t="s">
        <v>1417</v>
      </c>
      <c r="B799" s="2">
        <v>46131</v>
      </c>
      <c r="C799" s="2">
        <v>46192</v>
      </c>
      <c r="D799" t="s">
        <v>1418</v>
      </c>
      <c r="E799" t="s">
        <v>21</v>
      </c>
      <c r="F799" t="s">
        <v>22</v>
      </c>
      <c r="G799" t="s">
        <v>23</v>
      </c>
      <c r="H799" t="s">
        <v>95</v>
      </c>
      <c r="I799" t="s">
        <v>42</v>
      </c>
      <c r="J799" t="s">
        <v>26</v>
      </c>
      <c r="K799" t="s">
        <v>37</v>
      </c>
      <c r="L799" t="s">
        <v>51</v>
      </c>
      <c r="M799" s="3">
        <v>26100</v>
      </c>
      <c r="N799" s="4">
        <v>2.9000000000000001E-2</v>
      </c>
      <c r="O799" s="4">
        <v>0.15</v>
      </c>
      <c r="P799" t="s">
        <v>38</v>
      </c>
      <c r="R799">
        <v>61</v>
      </c>
      <c r="S799" s="3">
        <v>2111.9899999999998</v>
      </c>
    </row>
    <row r="800" spans="1:19" x14ac:dyDescent="0.2">
      <c r="A800" t="s">
        <v>1419</v>
      </c>
      <c r="B800" s="2">
        <v>45935</v>
      </c>
      <c r="C800" s="2">
        <v>46056</v>
      </c>
      <c r="D800" t="s">
        <v>581</v>
      </c>
      <c r="E800" t="s">
        <v>68</v>
      </c>
      <c r="F800" t="s">
        <v>74</v>
      </c>
      <c r="G800" t="s">
        <v>23</v>
      </c>
      <c r="H800" t="s">
        <v>49</v>
      </c>
      <c r="I800" t="s">
        <v>25</v>
      </c>
      <c r="J800" t="s">
        <v>57</v>
      </c>
      <c r="K800" t="s">
        <v>88</v>
      </c>
      <c r="L800" t="s">
        <v>44</v>
      </c>
      <c r="M800" s="3">
        <v>125200</v>
      </c>
      <c r="N800" s="4">
        <v>6.5000000000000002E-2</v>
      </c>
      <c r="O800" s="4">
        <v>0.35</v>
      </c>
      <c r="P800" t="s">
        <v>38</v>
      </c>
      <c r="R800">
        <v>121</v>
      </c>
      <c r="S800" s="3">
        <v>9751.17</v>
      </c>
    </row>
    <row r="801" spans="1:19" x14ac:dyDescent="0.2">
      <c r="A801" t="s">
        <v>1420</v>
      </c>
      <c r="B801" s="2">
        <v>46011</v>
      </c>
      <c r="C801" s="2">
        <v>46147</v>
      </c>
      <c r="D801" t="s">
        <v>410</v>
      </c>
      <c r="E801" t="s">
        <v>62</v>
      </c>
      <c r="F801" t="s">
        <v>74</v>
      </c>
      <c r="G801" t="s">
        <v>23</v>
      </c>
      <c r="H801" t="s">
        <v>98</v>
      </c>
      <c r="I801" t="s">
        <v>65</v>
      </c>
      <c r="J801" t="s">
        <v>36</v>
      </c>
      <c r="K801" t="s">
        <v>37</v>
      </c>
      <c r="L801" t="s">
        <v>28</v>
      </c>
      <c r="M801" s="3">
        <v>264600</v>
      </c>
      <c r="N801" s="4">
        <v>0</v>
      </c>
      <c r="O801" s="4">
        <v>0.1</v>
      </c>
      <c r="P801" t="s">
        <v>38</v>
      </c>
      <c r="R801">
        <v>136</v>
      </c>
      <c r="S801" s="3">
        <v>22050</v>
      </c>
    </row>
    <row r="802" spans="1:19" x14ac:dyDescent="0.2">
      <c r="A802" t="s">
        <v>1421</v>
      </c>
      <c r="B802" s="2">
        <v>46072</v>
      </c>
      <c r="C802" s="2">
        <v>46189</v>
      </c>
      <c r="D802" t="s">
        <v>1422</v>
      </c>
      <c r="E802" t="s">
        <v>68</v>
      </c>
      <c r="F802" t="s">
        <v>48</v>
      </c>
      <c r="G802" t="s">
        <v>63</v>
      </c>
      <c r="H802" t="s">
        <v>120</v>
      </c>
      <c r="I802" t="s">
        <v>99</v>
      </c>
      <c r="J802" t="s">
        <v>85</v>
      </c>
      <c r="K802" t="s">
        <v>37</v>
      </c>
      <c r="L802" t="s">
        <v>44</v>
      </c>
      <c r="M802" s="3">
        <v>20700</v>
      </c>
      <c r="N802" s="4">
        <v>0.106</v>
      </c>
      <c r="O802" s="4">
        <v>0.1</v>
      </c>
      <c r="P802" t="s">
        <v>38</v>
      </c>
      <c r="R802">
        <v>117</v>
      </c>
      <c r="S802" s="3">
        <v>1542.65</v>
      </c>
    </row>
    <row r="803" spans="1:19" x14ac:dyDescent="0.2">
      <c r="A803" t="s">
        <v>1423</v>
      </c>
      <c r="B803" s="2">
        <v>46267</v>
      </c>
      <c r="C803" s="2">
        <v>46291</v>
      </c>
      <c r="D803" t="s">
        <v>431</v>
      </c>
      <c r="E803" t="s">
        <v>62</v>
      </c>
      <c r="F803" t="s">
        <v>48</v>
      </c>
      <c r="G803" t="s">
        <v>34</v>
      </c>
      <c r="H803" t="s">
        <v>120</v>
      </c>
      <c r="I803" t="s">
        <v>84</v>
      </c>
      <c r="J803" t="s">
        <v>26</v>
      </c>
      <c r="K803" t="s">
        <v>106</v>
      </c>
      <c r="L803" t="s">
        <v>51</v>
      </c>
      <c r="M803" s="3">
        <v>18500</v>
      </c>
      <c r="N803" s="4">
        <v>0.122</v>
      </c>
      <c r="O803" s="4">
        <v>0.25</v>
      </c>
      <c r="P803" t="s">
        <v>38</v>
      </c>
      <c r="R803">
        <v>24</v>
      </c>
      <c r="S803" s="3">
        <v>1352.9</v>
      </c>
    </row>
    <row r="804" spans="1:19" x14ac:dyDescent="0.2">
      <c r="A804" t="s">
        <v>1424</v>
      </c>
      <c r="B804" s="2">
        <v>46140</v>
      </c>
      <c r="C804" s="2">
        <v>46240</v>
      </c>
      <c r="D804" t="s">
        <v>1425</v>
      </c>
      <c r="E804" t="s">
        <v>82</v>
      </c>
      <c r="F804" t="s">
        <v>48</v>
      </c>
      <c r="G804" t="s">
        <v>23</v>
      </c>
      <c r="H804" t="s">
        <v>77</v>
      </c>
      <c r="I804" t="s">
        <v>35</v>
      </c>
      <c r="J804" t="s">
        <v>57</v>
      </c>
      <c r="K804" t="s">
        <v>50</v>
      </c>
      <c r="L804" t="s">
        <v>44</v>
      </c>
      <c r="M804" s="3">
        <v>28400</v>
      </c>
      <c r="N804" s="4">
        <v>0.124</v>
      </c>
      <c r="O804" s="4">
        <v>1</v>
      </c>
      <c r="P804" t="s">
        <v>29</v>
      </c>
      <c r="R804">
        <v>100</v>
      </c>
      <c r="S804" s="3">
        <v>2074.1</v>
      </c>
    </row>
    <row r="805" spans="1:19" x14ac:dyDescent="0.2">
      <c r="A805" t="s">
        <v>1426</v>
      </c>
      <c r="B805" s="2">
        <v>46182</v>
      </c>
      <c r="C805" s="2">
        <v>46277</v>
      </c>
      <c r="D805" t="s">
        <v>921</v>
      </c>
      <c r="E805" t="s">
        <v>54</v>
      </c>
      <c r="F805" t="s">
        <v>74</v>
      </c>
      <c r="G805" t="s">
        <v>92</v>
      </c>
      <c r="H805" t="s">
        <v>64</v>
      </c>
      <c r="I805" t="s">
        <v>25</v>
      </c>
      <c r="J805" t="s">
        <v>36</v>
      </c>
      <c r="K805" t="s">
        <v>27</v>
      </c>
      <c r="L805" t="s">
        <v>28</v>
      </c>
      <c r="M805" s="3">
        <v>259800</v>
      </c>
      <c r="N805" s="4">
        <v>0.14000000000000001</v>
      </c>
      <c r="O805" s="4">
        <v>0.05</v>
      </c>
      <c r="P805" t="s">
        <v>29</v>
      </c>
      <c r="Q805" t="s">
        <v>188</v>
      </c>
      <c r="R805">
        <v>95</v>
      </c>
      <c r="S805" s="3">
        <v>18623.66</v>
      </c>
    </row>
    <row r="806" spans="1:19" x14ac:dyDescent="0.2">
      <c r="A806" t="s">
        <v>1427</v>
      </c>
      <c r="B806" s="2">
        <v>46242</v>
      </c>
      <c r="C806" s="2">
        <v>46287</v>
      </c>
      <c r="D806" t="s">
        <v>1428</v>
      </c>
      <c r="E806" t="s">
        <v>33</v>
      </c>
      <c r="F806" t="s">
        <v>48</v>
      </c>
      <c r="G806" t="s">
        <v>92</v>
      </c>
      <c r="H806" t="s">
        <v>77</v>
      </c>
      <c r="I806" t="s">
        <v>35</v>
      </c>
      <c r="J806" t="s">
        <v>57</v>
      </c>
      <c r="K806" t="s">
        <v>78</v>
      </c>
      <c r="L806" t="s">
        <v>28</v>
      </c>
      <c r="M806" s="3">
        <v>27300</v>
      </c>
      <c r="N806" s="4">
        <v>8.5000000000000006E-2</v>
      </c>
      <c r="O806" s="4">
        <v>0.55000000000000004</v>
      </c>
      <c r="P806" t="s">
        <v>79</v>
      </c>
      <c r="R806">
        <v>45</v>
      </c>
      <c r="S806" s="3">
        <v>2081.33</v>
      </c>
    </row>
    <row r="807" spans="1:19" x14ac:dyDescent="0.2">
      <c r="A807" t="s">
        <v>1429</v>
      </c>
      <c r="B807" s="2">
        <v>45971</v>
      </c>
      <c r="C807" s="2">
        <v>46070</v>
      </c>
      <c r="D807" t="s">
        <v>73</v>
      </c>
      <c r="E807" t="s">
        <v>111</v>
      </c>
      <c r="F807" t="s">
        <v>48</v>
      </c>
      <c r="G807" t="s">
        <v>55</v>
      </c>
      <c r="H807" t="s">
        <v>64</v>
      </c>
      <c r="I807" t="s">
        <v>65</v>
      </c>
      <c r="J807" t="s">
        <v>57</v>
      </c>
      <c r="K807" t="s">
        <v>37</v>
      </c>
      <c r="L807" t="s">
        <v>28</v>
      </c>
      <c r="M807" s="3">
        <v>12500</v>
      </c>
      <c r="N807" s="4">
        <v>8.6999999999999994E-2</v>
      </c>
      <c r="O807" s="4">
        <v>0.15</v>
      </c>
      <c r="P807" t="s">
        <v>38</v>
      </c>
      <c r="R807">
        <v>99</v>
      </c>
      <c r="S807" s="3">
        <v>951.48</v>
      </c>
    </row>
    <row r="808" spans="1:19" x14ac:dyDescent="0.2">
      <c r="A808" t="s">
        <v>1430</v>
      </c>
      <c r="B808" s="2">
        <v>46238</v>
      </c>
      <c r="C808" s="2">
        <v>46336</v>
      </c>
      <c r="D808" t="s">
        <v>1431</v>
      </c>
      <c r="E808" t="s">
        <v>62</v>
      </c>
      <c r="F808" t="s">
        <v>48</v>
      </c>
      <c r="G808" t="s">
        <v>92</v>
      </c>
      <c r="H808" t="s">
        <v>49</v>
      </c>
      <c r="I808" t="s">
        <v>84</v>
      </c>
      <c r="J808" t="s">
        <v>26</v>
      </c>
      <c r="K808" t="s">
        <v>78</v>
      </c>
      <c r="L808" t="s">
        <v>51</v>
      </c>
      <c r="M808" s="3">
        <v>9900</v>
      </c>
      <c r="N808" s="4">
        <v>0.115</v>
      </c>
      <c r="O808" s="4">
        <v>0.6</v>
      </c>
      <c r="P808" t="s">
        <v>79</v>
      </c>
      <c r="R808">
        <v>98</v>
      </c>
      <c r="S808" s="3">
        <v>729.98</v>
      </c>
    </row>
    <row r="809" spans="1:19" x14ac:dyDescent="0.2">
      <c r="A809" t="s">
        <v>1432</v>
      </c>
      <c r="B809" s="2">
        <v>46253</v>
      </c>
      <c r="C809" s="2">
        <v>46277</v>
      </c>
      <c r="D809" t="s">
        <v>1305</v>
      </c>
      <c r="E809" t="s">
        <v>62</v>
      </c>
      <c r="F809" t="s">
        <v>48</v>
      </c>
      <c r="G809" t="s">
        <v>63</v>
      </c>
      <c r="H809" t="s">
        <v>41</v>
      </c>
      <c r="I809" t="s">
        <v>65</v>
      </c>
      <c r="J809" t="s">
        <v>36</v>
      </c>
      <c r="K809" t="s">
        <v>50</v>
      </c>
      <c r="L809" t="s">
        <v>28</v>
      </c>
      <c r="M809" s="3">
        <v>13500</v>
      </c>
      <c r="N809" s="4">
        <v>0.13300000000000001</v>
      </c>
      <c r="O809" s="4">
        <v>1</v>
      </c>
      <c r="P809" t="s">
        <v>29</v>
      </c>
      <c r="R809">
        <v>24</v>
      </c>
      <c r="S809" s="3">
        <v>975.56</v>
      </c>
    </row>
    <row r="810" spans="1:19" x14ac:dyDescent="0.2">
      <c r="A810" t="s">
        <v>1433</v>
      </c>
      <c r="B810" s="2">
        <v>46113</v>
      </c>
      <c r="C810" s="2">
        <v>46244</v>
      </c>
      <c r="D810" t="s">
        <v>811</v>
      </c>
      <c r="E810" t="s">
        <v>62</v>
      </c>
      <c r="F810" t="s">
        <v>48</v>
      </c>
      <c r="G810" t="s">
        <v>34</v>
      </c>
      <c r="H810" t="s">
        <v>83</v>
      </c>
      <c r="I810" t="s">
        <v>65</v>
      </c>
      <c r="J810" t="s">
        <v>57</v>
      </c>
      <c r="K810" t="s">
        <v>58</v>
      </c>
      <c r="L810" t="s">
        <v>51</v>
      </c>
      <c r="M810" s="3">
        <v>29800</v>
      </c>
      <c r="N810" s="4">
        <v>9.6000000000000002E-2</v>
      </c>
      <c r="O810" s="4">
        <v>0.75</v>
      </c>
      <c r="P810" t="s">
        <v>59</v>
      </c>
      <c r="R810">
        <v>131</v>
      </c>
      <c r="S810" s="3">
        <v>2246.0100000000002</v>
      </c>
    </row>
    <row r="811" spans="1:19" x14ac:dyDescent="0.2">
      <c r="A811" t="s">
        <v>1434</v>
      </c>
      <c r="B811" s="2">
        <v>45935</v>
      </c>
      <c r="C811" s="2">
        <v>46038</v>
      </c>
      <c r="D811" t="s">
        <v>390</v>
      </c>
      <c r="E811" t="s">
        <v>91</v>
      </c>
      <c r="F811" t="s">
        <v>22</v>
      </c>
      <c r="G811" t="s">
        <v>63</v>
      </c>
      <c r="H811" t="s">
        <v>64</v>
      </c>
      <c r="I811" t="s">
        <v>99</v>
      </c>
      <c r="J811" t="s">
        <v>36</v>
      </c>
      <c r="K811" t="s">
        <v>78</v>
      </c>
      <c r="L811" t="s">
        <v>51</v>
      </c>
      <c r="M811" s="3">
        <v>66900</v>
      </c>
      <c r="N811" s="4">
        <v>8.7999999999999995E-2</v>
      </c>
      <c r="O811" s="4">
        <v>0.55000000000000004</v>
      </c>
      <c r="P811" t="s">
        <v>79</v>
      </c>
      <c r="R811">
        <v>103</v>
      </c>
      <c r="S811" s="3">
        <v>5084.12</v>
      </c>
    </row>
    <row r="812" spans="1:19" x14ac:dyDescent="0.2">
      <c r="A812" t="s">
        <v>1435</v>
      </c>
      <c r="B812" s="2">
        <v>46062</v>
      </c>
      <c r="C812" s="2">
        <v>46160</v>
      </c>
      <c r="D812" t="s">
        <v>1436</v>
      </c>
      <c r="E812" t="s">
        <v>33</v>
      </c>
      <c r="F812" t="s">
        <v>74</v>
      </c>
      <c r="G812" t="s">
        <v>63</v>
      </c>
      <c r="H812" t="s">
        <v>69</v>
      </c>
      <c r="I812" t="s">
        <v>25</v>
      </c>
      <c r="J812" t="s">
        <v>36</v>
      </c>
      <c r="K812" t="s">
        <v>37</v>
      </c>
      <c r="L812" t="s">
        <v>44</v>
      </c>
      <c r="M812" s="3">
        <v>184600</v>
      </c>
      <c r="N812" s="4">
        <v>7.1999999999999995E-2</v>
      </c>
      <c r="O812" s="4">
        <v>0.1</v>
      </c>
      <c r="P812" t="s">
        <v>38</v>
      </c>
      <c r="R812">
        <v>98</v>
      </c>
      <c r="S812" s="3">
        <v>14273.21</v>
      </c>
    </row>
    <row r="813" spans="1:19" x14ac:dyDescent="0.2">
      <c r="A813" t="s">
        <v>1437</v>
      </c>
      <c r="B813" s="2">
        <v>45983</v>
      </c>
      <c r="C813" s="2">
        <v>46032</v>
      </c>
      <c r="D813" t="s">
        <v>76</v>
      </c>
      <c r="E813" t="s">
        <v>33</v>
      </c>
      <c r="F813" t="s">
        <v>74</v>
      </c>
      <c r="G813" t="s">
        <v>55</v>
      </c>
      <c r="H813" t="s">
        <v>69</v>
      </c>
      <c r="I813" t="s">
        <v>99</v>
      </c>
      <c r="J813" t="s">
        <v>26</v>
      </c>
      <c r="K813" t="s">
        <v>58</v>
      </c>
      <c r="L813" t="s">
        <v>44</v>
      </c>
      <c r="M813" s="3">
        <v>87900</v>
      </c>
      <c r="N813" s="4">
        <v>0.14799999999999999</v>
      </c>
      <c r="O813" s="4">
        <v>0.75</v>
      </c>
      <c r="P813" t="s">
        <v>59</v>
      </c>
      <c r="R813">
        <v>49</v>
      </c>
      <c r="S813" s="3">
        <v>6240.32</v>
      </c>
    </row>
    <row r="814" spans="1:19" x14ac:dyDescent="0.2">
      <c r="A814" t="s">
        <v>1438</v>
      </c>
      <c r="B814" s="2">
        <v>46118</v>
      </c>
      <c r="C814" s="2">
        <v>46254</v>
      </c>
      <c r="D814" t="s">
        <v>1381</v>
      </c>
      <c r="E814" t="s">
        <v>82</v>
      </c>
      <c r="F814" t="s">
        <v>22</v>
      </c>
      <c r="G814" t="s">
        <v>55</v>
      </c>
      <c r="H814" t="s">
        <v>64</v>
      </c>
      <c r="I814" t="s">
        <v>65</v>
      </c>
      <c r="J814" t="s">
        <v>43</v>
      </c>
      <c r="K814" t="s">
        <v>78</v>
      </c>
      <c r="L814" t="s">
        <v>28</v>
      </c>
      <c r="M814" s="3">
        <v>71100</v>
      </c>
      <c r="N814" s="4">
        <v>9.5000000000000001E-2</v>
      </c>
      <c r="O814" s="4">
        <v>0.55000000000000004</v>
      </c>
      <c r="P814" t="s">
        <v>79</v>
      </c>
      <c r="R814">
        <v>136</v>
      </c>
      <c r="S814" s="3">
        <v>5363.45</v>
      </c>
    </row>
    <row r="815" spans="1:19" x14ac:dyDescent="0.2">
      <c r="A815" t="s">
        <v>1439</v>
      </c>
      <c r="B815" s="2">
        <v>46147</v>
      </c>
      <c r="C815" s="2">
        <v>46261</v>
      </c>
      <c r="D815" t="s">
        <v>848</v>
      </c>
      <c r="E815" t="s">
        <v>62</v>
      </c>
      <c r="F815" t="s">
        <v>74</v>
      </c>
      <c r="G815" t="s">
        <v>63</v>
      </c>
      <c r="H815" t="s">
        <v>24</v>
      </c>
      <c r="I815" t="s">
        <v>84</v>
      </c>
      <c r="J815" t="s">
        <v>57</v>
      </c>
      <c r="K815" t="s">
        <v>27</v>
      </c>
      <c r="L815" t="s">
        <v>51</v>
      </c>
      <c r="M815" s="3">
        <v>217000</v>
      </c>
      <c r="N815" s="4">
        <v>0.22700000000000001</v>
      </c>
      <c r="O815" s="4">
        <v>0</v>
      </c>
      <c r="P815" t="s">
        <v>29</v>
      </c>
      <c r="Q815" t="s">
        <v>209</v>
      </c>
      <c r="R815">
        <v>114</v>
      </c>
      <c r="S815" s="3">
        <v>13985.91</v>
      </c>
    </row>
    <row r="816" spans="1:19" x14ac:dyDescent="0.2">
      <c r="A816" t="s">
        <v>1440</v>
      </c>
      <c r="B816" s="2">
        <v>46039</v>
      </c>
      <c r="C816" s="2">
        <v>46087</v>
      </c>
      <c r="D816" t="s">
        <v>578</v>
      </c>
      <c r="E816" t="s">
        <v>62</v>
      </c>
      <c r="F816" t="s">
        <v>22</v>
      </c>
      <c r="G816" t="s">
        <v>63</v>
      </c>
      <c r="H816" t="s">
        <v>77</v>
      </c>
      <c r="I816" t="s">
        <v>25</v>
      </c>
      <c r="J816" t="s">
        <v>36</v>
      </c>
      <c r="K816" t="s">
        <v>50</v>
      </c>
      <c r="L816" t="s">
        <v>44</v>
      </c>
      <c r="M816" s="3">
        <v>64900</v>
      </c>
      <c r="N816" s="4">
        <v>4.4999999999999998E-2</v>
      </c>
      <c r="O816" s="4">
        <v>1</v>
      </c>
      <c r="P816" t="s">
        <v>29</v>
      </c>
      <c r="R816">
        <v>48</v>
      </c>
      <c r="S816" s="3">
        <v>5163.91</v>
      </c>
    </row>
    <row r="817" spans="1:19" x14ac:dyDescent="0.2">
      <c r="A817" t="s">
        <v>1441</v>
      </c>
      <c r="B817" s="2">
        <v>46138</v>
      </c>
      <c r="C817" s="2">
        <v>46184</v>
      </c>
      <c r="D817" t="s">
        <v>1174</v>
      </c>
      <c r="E817" t="s">
        <v>68</v>
      </c>
      <c r="F817" t="s">
        <v>48</v>
      </c>
      <c r="G817" t="s">
        <v>92</v>
      </c>
      <c r="H817" t="s">
        <v>64</v>
      </c>
      <c r="I817" t="s">
        <v>25</v>
      </c>
      <c r="J817" t="s">
        <v>85</v>
      </c>
      <c r="K817" t="s">
        <v>58</v>
      </c>
      <c r="L817" t="s">
        <v>44</v>
      </c>
      <c r="M817" s="3">
        <v>17800</v>
      </c>
      <c r="N817" s="4">
        <v>6.2E-2</v>
      </c>
      <c r="O817" s="4">
        <v>0.7</v>
      </c>
      <c r="P817" t="s">
        <v>59</v>
      </c>
      <c r="R817">
        <v>46</v>
      </c>
      <c r="S817" s="3">
        <v>1391.49</v>
      </c>
    </row>
    <row r="818" spans="1:19" x14ac:dyDescent="0.2">
      <c r="A818" t="s">
        <v>1442</v>
      </c>
      <c r="B818" s="2">
        <v>46028</v>
      </c>
      <c r="C818" s="2">
        <v>46066</v>
      </c>
      <c r="D818" t="s">
        <v>1443</v>
      </c>
      <c r="E818" t="s">
        <v>82</v>
      </c>
      <c r="F818" t="s">
        <v>22</v>
      </c>
      <c r="G818" t="s">
        <v>63</v>
      </c>
      <c r="H818" t="s">
        <v>83</v>
      </c>
      <c r="I818" t="s">
        <v>84</v>
      </c>
      <c r="J818" t="s">
        <v>26</v>
      </c>
      <c r="K818" t="s">
        <v>106</v>
      </c>
      <c r="L818" t="s">
        <v>44</v>
      </c>
      <c r="M818" s="3">
        <v>38300</v>
      </c>
      <c r="N818" s="4">
        <v>3.7999999999999999E-2</v>
      </c>
      <c r="O818" s="4">
        <v>0.15</v>
      </c>
      <c r="P818" t="s">
        <v>38</v>
      </c>
      <c r="R818">
        <v>38</v>
      </c>
      <c r="S818" s="3">
        <v>3069.56</v>
      </c>
    </row>
    <row r="819" spans="1:19" x14ac:dyDescent="0.2">
      <c r="A819" t="s">
        <v>1444</v>
      </c>
      <c r="B819" s="2">
        <v>46126</v>
      </c>
      <c r="C819" s="2">
        <v>46210</v>
      </c>
      <c r="D819" t="s">
        <v>1445</v>
      </c>
      <c r="E819" t="s">
        <v>21</v>
      </c>
      <c r="F819" t="s">
        <v>22</v>
      </c>
      <c r="G819" t="s">
        <v>34</v>
      </c>
      <c r="H819" t="s">
        <v>49</v>
      </c>
      <c r="I819" t="s">
        <v>25</v>
      </c>
      <c r="J819" t="s">
        <v>36</v>
      </c>
      <c r="K819" t="s">
        <v>78</v>
      </c>
      <c r="L819" t="s">
        <v>51</v>
      </c>
      <c r="M819" s="3">
        <v>90000</v>
      </c>
      <c r="N819" s="4">
        <v>0.183</v>
      </c>
      <c r="O819" s="4">
        <v>0.55000000000000004</v>
      </c>
      <c r="P819" t="s">
        <v>79</v>
      </c>
      <c r="R819">
        <v>84</v>
      </c>
      <c r="S819" s="3">
        <v>6130.47</v>
      </c>
    </row>
    <row r="820" spans="1:19" x14ac:dyDescent="0.2">
      <c r="A820" t="s">
        <v>1446</v>
      </c>
      <c r="B820" s="2">
        <v>46275</v>
      </c>
      <c r="C820" s="2">
        <v>46277</v>
      </c>
      <c r="D820" t="s">
        <v>931</v>
      </c>
      <c r="E820" t="s">
        <v>33</v>
      </c>
      <c r="F820" t="s">
        <v>74</v>
      </c>
      <c r="G820" t="s">
        <v>63</v>
      </c>
      <c r="H820" t="s">
        <v>64</v>
      </c>
      <c r="I820" t="s">
        <v>25</v>
      </c>
      <c r="J820" t="s">
        <v>26</v>
      </c>
      <c r="K820" t="s">
        <v>27</v>
      </c>
      <c r="L820" t="s">
        <v>51</v>
      </c>
      <c r="M820" s="3">
        <v>86900</v>
      </c>
      <c r="N820" s="4">
        <v>0.17799999999999999</v>
      </c>
      <c r="O820" s="4">
        <v>0</v>
      </c>
      <c r="P820" t="s">
        <v>29</v>
      </c>
      <c r="Q820" t="s">
        <v>30</v>
      </c>
      <c r="R820">
        <v>2</v>
      </c>
      <c r="S820" s="3">
        <v>5955.55</v>
      </c>
    </row>
    <row r="821" spans="1:19" x14ac:dyDescent="0.2">
      <c r="A821" t="s">
        <v>1447</v>
      </c>
      <c r="B821" s="2">
        <v>46215</v>
      </c>
      <c r="C821" s="2">
        <v>46277</v>
      </c>
      <c r="D821" t="s">
        <v>431</v>
      </c>
      <c r="E821" t="s">
        <v>21</v>
      </c>
      <c r="F821" t="s">
        <v>48</v>
      </c>
      <c r="G821" t="s">
        <v>55</v>
      </c>
      <c r="H821" t="s">
        <v>41</v>
      </c>
      <c r="I821" t="s">
        <v>42</v>
      </c>
      <c r="J821" t="s">
        <v>26</v>
      </c>
      <c r="K821" t="s">
        <v>50</v>
      </c>
      <c r="L821" t="s">
        <v>51</v>
      </c>
      <c r="M821" s="3">
        <v>23200</v>
      </c>
      <c r="N821" s="4">
        <v>5.8999999999999997E-2</v>
      </c>
      <c r="O821" s="4">
        <v>1</v>
      </c>
      <c r="P821" t="s">
        <v>29</v>
      </c>
      <c r="R821">
        <v>62</v>
      </c>
      <c r="S821" s="3">
        <v>1819.95</v>
      </c>
    </row>
    <row r="822" spans="1:19" x14ac:dyDescent="0.2">
      <c r="A822" t="s">
        <v>1448</v>
      </c>
      <c r="B822" s="2">
        <v>46068</v>
      </c>
      <c r="C822" s="2">
        <v>46105</v>
      </c>
      <c r="D822" t="s">
        <v>1305</v>
      </c>
      <c r="E822" t="s">
        <v>54</v>
      </c>
      <c r="F822" t="s">
        <v>22</v>
      </c>
      <c r="G822" t="s">
        <v>92</v>
      </c>
      <c r="H822" t="s">
        <v>24</v>
      </c>
      <c r="I822" t="s">
        <v>65</v>
      </c>
      <c r="J822" t="s">
        <v>36</v>
      </c>
      <c r="K822" t="s">
        <v>58</v>
      </c>
      <c r="L822" t="s">
        <v>28</v>
      </c>
      <c r="M822" s="3">
        <v>58500</v>
      </c>
      <c r="N822" s="4">
        <v>0.22700000000000001</v>
      </c>
      <c r="O822" s="4">
        <v>0.7</v>
      </c>
      <c r="P822" t="s">
        <v>59</v>
      </c>
      <c r="R822">
        <v>37</v>
      </c>
      <c r="S822" s="3">
        <v>3766.96</v>
      </c>
    </row>
    <row r="823" spans="1:19" x14ac:dyDescent="0.2">
      <c r="A823" t="s">
        <v>1449</v>
      </c>
      <c r="B823" s="2">
        <v>46091</v>
      </c>
      <c r="C823" s="2">
        <v>46141</v>
      </c>
      <c r="D823" t="s">
        <v>1450</v>
      </c>
      <c r="E823" t="s">
        <v>91</v>
      </c>
      <c r="F823" t="s">
        <v>74</v>
      </c>
      <c r="G823" t="s">
        <v>55</v>
      </c>
      <c r="H823" t="s">
        <v>69</v>
      </c>
      <c r="I823" t="s">
        <v>42</v>
      </c>
      <c r="J823" t="s">
        <v>43</v>
      </c>
      <c r="K823" t="s">
        <v>27</v>
      </c>
      <c r="L823" t="s">
        <v>51</v>
      </c>
      <c r="M823" s="3">
        <v>184600</v>
      </c>
      <c r="N823" s="4">
        <v>9.2999999999999999E-2</v>
      </c>
      <c r="O823" s="4">
        <v>0</v>
      </c>
      <c r="P823" t="s">
        <v>29</v>
      </c>
      <c r="Q823" t="s">
        <v>188</v>
      </c>
      <c r="R823">
        <v>50</v>
      </c>
      <c r="S823" s="3">
        <v>13947.23</v>
      </c>
    </row>
    <row r="824" spans="1:19" x14ac:dyDescent="0.2">
      <c r="A824" t="s">
        <v>1451</v>
      </c>
      <c r="B824" s="2">
        <v>46156</v>
      </c>
      <c r="C824" s="2">
        <v>46277</v>
      </c>
      <c r="D824" t="s">
        <v>796</v>
      </c>
      <c r="E824" t="s">
        <v>68</v>
      </c>
      <c r="F824" t="s">
        <v>48</v>
      </c>
      <c r="G824" t="s">
        <v>63</v>
      </c>
      <c r="H824" t="s">
        <v>41</v>
      </c>
      <c r="I824" t="s">
        <v>25</v>
      </c>
      <c r="J824" t="s">
        <v>43</v>
      </c>
      <c r="K824" t="s">
        <v>27</v>
      </c>
      <c r="L824" t="s">
        <v>28</v>
      </c>
      <c r="M824" s="3">
        <v>16400</v>
      </c>
      <c r="N824" s="4">
        <v>0</v>
      </c>
      <c r="O824" s="4">
        <v>0</v>
      </c>
      <c r="P824" t="s">
        <v>29</v>
      </c>
      <c r="Q824" t="s">
        <v>222</v>
      </c>
      <c r="R824">
        <v>121</v>
      </c>
      <c r="S824" s="3">
        <v>1366.67</v>
      </c>
    </row>
    <row r="825" spans="1:19" x14ac:dyDescent="0.2">
      <c r="A825" t="s">
        <v>1452</v>
      </c>
      <c r="B825" s="2">
        <v>46102</v>
      </c>
      <c r="C825" s="2">
        <v>46228</v>
      </c>
      <c r="D825" t="s">
        <v>377</v>
      </c>
      <c r="E825" t="s">
        <v>33</v>
      </c>
      <c r="F825" t="s">
        <v>22</v>
      </c>
      <c r="G825" t="s">
        <v>92</v>
      </c>
      <c r="H825" t="s">
        <v>137</v>
      </c>
      <c r="I825" t="s">
        <v>42</v>
      </c>
      <c r="J825" t="s">
        <v>85</v>
      </c>
      <c r="K825" t="s">
        <v>58</v>
      </c>
      <c r="L825" t="s">
        <v>44</v>
      </c>
      <c r="M825" s="3">
        <v>48500</v>
      </c>
      <c r="N825" s="4">
        <v>0.218</v>
      </c>
      <c r="O825" s="4">
        <v>0.7</v>
      </c>
      <c r="P825" t="s">
        <v>59</v>
      </c>
      <c r="R825">
        <v>126</v>
      </c>
      <c r="S825" s="3">
        <v>3161.25</v>
      </c>
    </row>
    <row r="826" spans="1:19" x14ac:dyDescent="0.2">
      <c r="A826" t="s">
        <v>1453</v>
      </c>
      <c r="B826" s="2">
        <v>46074</v>
      </c>
      <c r="C826" s="2">
        <v>46175</v>
      </c>
      <c r="D826" t="s">
        <v>610</v>
      </c>
      <c r="E826" t="s">
        <v>33</v>
      </c>
      <c r="F826" t="s">
        <v>48</v>
      </c>
      <c r="G826" t="s">
        <v>92</v>
      </c>
      <c r="H826" t="s">
        <v>137</v>
      </c>
      <c r="I826" t="s">
        <v>65</v>
      </c>
      <c r="J826" t="s">
        <v>36</v>
      </c>
      <c r="K826" t="s">
        <v>37</v>
      </c>
      <c r="L826" t="s">
        <v>28</v>
      </c>
      <c r="M826" s="3">
        <v>15400</v>
      </c>
      <c r="N826" s="4">
        <v>6.2E-2</v>
      </c>
      <c r="O826" s="4">
        <v>0.15</v>
      </c>
      <c r="P826" t="s">
        <v>38</v>
      </c>
      <c r="R826">
        <v>101</v>
      </c>
      <c r="S826" s="3">
        <v>1203.31</v>
      </c>
    </row>
    <row r="827" spans="1:19" x14ac:dyDescent="0.2">
      <c r="A827" t="s">
        <v>1454</v>
      </c>
      <c r="B827" s="2">
        <v>46138</v>
      </c>
      <c r="C827" s="2">
        <v>46234</v>
      </c>
      <c r="D827" t="s">
        <v>1455</v>
      </c>
      <c r="E827" t="s">
        <v>111</v>
      </c>
      <c r="F827" t="s">
        <v>74</v>
      </c>
      <c r="G827" t="s">
        <v>23</v>
      </c>
      <c r="H827" t="s">
        <v>24</v>
      </c>
      <c r="I827" t="s">
        <v>25</v>
      </c>
      <c r="J827" t="s">
        <v>57</v>
      </c>
      <c r="K827" t="s">
        <v>37</v>
      </c>
      <c r="L827" t="s">
        <v>51</v>
      </c>
      <c r="M827" s="3">
        <v>269300</v>
      </c>
      <c r="N827" s="4">
        <v>9.7000000000000003E-2</v>
      </c>
      <c r="O827" s="4">
        <v>0.15</v>
      </c>
      <c r="P827" t="s">
        <v>38</v>
      </c>
      <c r="R827">
        <v>96</v>
      </c>
      <c r="S827" s="3">
        <v>20261.37</v>
      </c>
    </row>
    <row r="828" spans="1:19" x14ac:dyDescent="0.2">
      <c r="A828" t="s">
        <v>1456</v>
      </c>
      <c r="B828" s="2">
        <v>45958</v>
      </c>
      <c r="C828" s="2">
        <v>46016</v>
      </c>
      <c r="D828" t="s">
        <v>1457</v>
      </c>
      <c r="E828" t="s">
        <v>68</v>
      </c>
      <c r="F828" t="s">
        <v>48</v>
      </c>
      <c r="G828" t="s">
        <v>63</v>
      </c>
      <c r="H828" t="s">
        <v>137</v>
      </c>
      <c r="I828" t="s">
        <v>65</v>
      </c>
      <c r="J828" t="s">
        <v>26</v>
      </c>
      <c r="K828" t="s">
        <v>50</v>
      </c>
      <c r="L828" t="s">
        <v>28</v>
      </c>
      <c r="M828" s="3">
        <v>18000</v>
      </c>
      <c r="N828" s="4">
        <v>5.6000000000000001E-2</v>
      </c>
      <c r="O828" s="4">
        <v>1</v>
      </c>
      <c r="P828" t="s">
        <v>29</v>
      </c>
      <c r="R828">
        <v>58</v>
      </c>
      <c r="S828" s="3">
        <v>1415.51</v>
      </c>
    </row>
    <row r="829" spans="1:19" x14ac:dyDescent="0.2">
      <c r="A829" t="s">
        <v>1458</v>
      </c>
      <c r="B829" s="2">
        <v>46037</v>
      </c>
      <c r="C829" s="2">
        <v>46087</v>
      </c>
      <c r="D829" t="s">
        <v>132</v>
      </c>
      <c r="E829" t="s">
        <v>111</v>
      </c>
      <c r="F829" t="s">
        <v>22</v>
      </c>
      <c r="G829" t="s">
        <v>63</v>
      </c>
      <c r="H829" t="s">
        <v>83</v>
      </c>
      <c r="I829" t="s">
        <v>65</v>
      </c>
      <c r="J829" t="s">
        <v>85</v>
      </c>
      <c r="K829" t="s">
        <v>50</v>
      </c>
      <c r="L829" t="s">
        <v>28</v>
      </c>
      <c r="M829" s="3">
        <v>79600</v>
      </c>
      <c r="N829" s="4">
        <v>3.7999999999999999E-2</v>
      </c>
      <c r="O829" s="4">
        <v>1</v>
      </c>
      <c r="P829" t="s">
        <v>29</v>
      </c>
      <c r="R829">
        <v>50</v>
      </c>
      <c r="S829" s="3">
        <v>6381.36</v>
      </c>
    </row>
    <row r="830" spans="1:19" x14ac:dyDescent="0.2">
      <c r="A830" t="s">
        <v>1459</v>
      </c>
      <c r="B830" s="2">
        <v>46275</v>
      </c>
      <c r="C830" s="2">
        <v>46289</v>
      </c>
      <c r="D830" t="s">
        <v>1289</v>
      </c>
      <c r="E830" t="s">
        <v>33</v>
      </c>
      <c r="F830" t="s">
        <v>22</v>
      </c>
      <c r="G830" t="s">
        <v>34</v>
      </c>
      <c r="H830" t="s">
        <v>24</v>
      </c>
      <c r="I830" t="s">
        <v>65</v>
      </c>
      <c r="J830" t="s">
        <v>57</v>
      </c>
      <c r="K830" t="s">
        <v>58</v>
      </c>
      <c r="L830" t="s">
        <v>28</v>
      </c>
      <c r="M830" s="3">
        <v>36900</v>
      </c>
      <c r="N830" s="4">
        <v>0.121</v>
      </c>
      <c r="O830" s="4">
        <v>0.75</v>
      </c>
      <c r="P830" t="s">
        <v>59</v>
      </c>
      <c r="R830">
        <v>14</v>
      </c>
      <c r="S830" s="3">
        <v>2704.1</v>
      </c>
    </row>
    <row r="831" spans="1:19" x14ac:dyDescent="0.2">
      <c r="A831" t="s">
        <v>1460</v>
      </c>
      <c r="B831" s="2">
        <v>46234</v>
      </c>
      <c r="C831" s="2">
        <v>46313</v>
      </c>
      <c r="D831" t="s">
        <v>1179</v>
      </c>
      <c r="E831" t="s">
        <v>21</v>
      </c>
      <c r="F831" t="s">
        <v>22</v>
      </c>
      <c r="G831" t="s">
        <v>55</v>
      </c>
      <c r="H831" t="s">
        <v>56</v>
      </c>
      <c r="I831" t="s">
        <v>25</v>
      </c>
      <c r="J831" t="s">
        <v>85</v>
      </c>
      <c r="K831" t="s">
        <v>58</v>
      </c>
      <c r="L831" t="s">
        <v>44</v>
      </c>
      <c r="M831" s="3">
        <v>81100</v>
      </c>
      <c r="N831" s="4">
        <v>0.14799999999999999</v>
      </c>
      <c r="O831" s="4">
        <v>0.75</v>
      </c>
      <c r="P831" t="s">
        <v>59</v>
      </c>
      <c r="R831">
        <v>79</v>
      </c>
      <c r="S831" s="3">
        <v>5760.16</v>
      </c>
    </row>
    <row r="832" spans="1:19" x14ac:dyDescent="0.2">
      <c r="A832" t="s">
        <v>1461</v>
      </c>
      <c r="B832" s="2">
        <v>46245</v>
      </c>
      <c r="C832" s="2">
        <v>46308</v>
      </c>
      <c r="D832" t="s">
        <v>986</v>
      </c>
      <c r="E832" t="s">
        <v>68</v>
      </c>
      <c r="F832" t="s">
        <v>22</v>
      </c>
      <c r="G832" t="s">
        <v>23</v>
      </c>
      <c r="H832" t="s">
        <v>120</v>
      </c>
      <c r="I832" t="s">
        <v>42</v>
      </c>
      <c r="J832" t="s">
        <v>43</v>
      </c>
      <c r="K832" t="s">
        <v>37</v>
      </c>
      <c r="L832" t="s">
        <v>51</v>
      </c>
      <c r="M832" s="3">
        <v>80200</v>
      </c>
      <c r="N832" s="4">
        <v>0.15</v>
      </c>
      <c r="O832" s="4">
        <v>0.1</v>
      </c>
      <c r="P832" t="s">
        <v>38</v>
      </c>
      <c r="R832">
        <v>63</v>
      </c>
      <c r="S832" s="3">
        <v>5681.95</v>
      </c>
    </row>
    <row r="833" spans="1:19" x14ac:dyDescent="0.2">
      <c r="A833" t="s">
        <v>1462</v>
      </c>
      <c r="B833" s="2">
        <v>46145</v>
      </c>
      <c r="C833" s="2">
        <v>46277</v>
      </c>
      <c r="D833" t="s">
        <v>517</v>
      </c>
      <c r="E833" t="s">
        <v>111</v>
      </c>
      <c r="F833" t="s">
        <v>48</v>
      </c>
      <c r="G833" t="s">
        <v>92</v>
      </c>
      <c r="H833" t="s">
        <v>56</v>
      </c>
      <c r="I833" t="s">
        <v>42</v>
      </c>
      <c r="J833" t="s">
        <v>26</v>
      </c>
      <c r="K833" t="s">
        <v>50</v>
      </c>
      <c r="L833" t="s">
        <v>51</v>
      </c>
      <c r="M833" s="3">
        <v>7100</v>
      </c>
      <c r="N833" s="4">
        <v>0.15</v>
      </c>
      <c r="O833" s="4">
        <v>0.95</v>
      </c>
      <c r="P833" t="s">
        <v>29</v>
      </c>
      <c r="R833">
        <v>132</v>
      </c>
      <c r="S833" s="3">
        <v>503.21</v>
      </c>
    </row>
    <row r="834" spans="1:19" x14ac:dyDescent="0.2">
      <c r="A834" t="s">
        <v>1463</v>
      </c>
      <c r="B834" s="2">
        <v>46263</v>
      </c>
      <c r="C834" s="2">
        <v>46326</v>
      </c>
      <c r="D834" t="s">
        <v>1149</v>
      </c>
      <c r="E834" t="s">
        <v>21</v>
      </c>
      <c r="F834" t="s">
        <v>74</v>
      </c>
      <c r="G834" t="s">
        <v>34</v>
      </c>
      <c r="H834" t="s">
        <v>83</v>
      </c>
      <c r="I834" t="s">
        <v>35</v>
      </c>
      <c r="J834" t="s">
        <v>57</v>
      </c>
      <c r="K834" t="s">
        <v>37</v>
      </c>
      <c r="L834" t="s">
        <v>28</v>
      </c>
      <c r="M834" s="3">
        <v>229000</v>
      </c>
      <c r="N834" s="4">
        <v>0.09</v>
      </c>
      <c r="O834" s="4">
        <v>0.05</v>
      </c>
      <c r="P834" t="s">
        <v>38</v>
      </c>
      <c r="R834">
        <v>63</v>
      </c>
      <c r="S834" s="3">
        <v>17368.3</v>
      </c>
    </row>
    <row r="835" spans="1:19" x14ac:dyDescent="0.2">
      <c r="A835" t="s">
        <v>1464</v>
      </c>
      <c r="B835" s="2">
        <v>45999</v>
      </c>
      <c r="C835" s="2">
        <v>46082</v>
      </c>
      <c r="D835" t="s">
        <v>1465</v>
      </c>
      <c r="E835" t="s">
        <v>62</v>
      </c>
      <c r="F835" t="s">
        <v>22</v>
      </c>
      <c r="G835" t="s">
        <v>63</v>
      </c>
      <c r="H835" t="s">
        <v>137</v>
      </c>
      <c r="I835" t="s">
        <v>35</v>
      </c>
      <c r="J835" t="s">
        <v>85</v>
      </c>
      <c r="K835" t="s">
        <v>88</v>
      </c>
      <c r="L835" t="s">
        <v>44</v>
      </c>
      <c r="M835" s="3">
        <v>85400</v>
      </c>
      <c r="N835" s="4">
        <v>0.11</v>
      </c>
      <c r="O835" s="4">
        <v>0.35</v>
      </c>
      <c r="P835" t="s">
        <v>38</v>
      </c>
      <c r="R835">
        <v>83</v>
      </c>
      <c r="S835" s="3">
        <v>6335.12</v>
      </c>
    </row>
    <row r="836" spans="1:19" x14ac:dyDescent="0.2">
      <c r="A836" t="s">
        <v>1466</v>
      </c>
      <c r="B836" s="2">
        <v>46006</v>
      </c>
      <c r="C836" s="2">
        <v>46082</v>
      </c>
      <c r="D836" t="s">
        <v>1467</v>
      </c>
      <c r="E836" t="s">
        <v>54</v>
      </c>
      <c r="F836" t="s">
        <v>74</v>
      </c>
      <c r="G836" t="s">
        <v>23</v>
      </c>
      <c r="H836" t="s">
        <v>95</v>
      </c>
      <c r="I836" t="s">
        <v>42</v>
      </c>
      <c r="J836" t="s">
        <v>26</v>
      </c>
      <c r="K836" t="s">
        <v>78</v>
      </c>
      <c r="L836" t="s">
        <v>28</v>
      </c>
      <c r="M836" s="3">
        <v>340700</v>
      </c>
      <c r="N836" s="4">
        <v>0.16400000000000001</v>
      </c>
      <c r="O836" s="4">
        <v>0.5</v>
      </c>
      <c r="P836" t="s">
        <v>79</v>
      </c>
      <c r="R836">
        <v>76</v>
      </c>
      <c r="S836" s="3">
        <v>23743.06</v>
      </c>
    </row>
    <row r="837" spans="1:19" x14ac:dyDescent="0.2">
      <c r="A837" t="s">
        <v>1468</v>
      </c>
      <c r="B837" s="2">
        <v>46074</v>
      </c>
      <c r="C837" s="2">
        <v>46224</v>
      </c>
      <c r="D837" t="s">
        <v>1469</v>
      </c>
      <c r="E837" t="s">
        <v>33</v>
      </c>
      <c r="F837" t="s">
        <v>48</v>
      </c>
      <c r="G837" t="s">
        <v>23</v>
      </c>
      <c r="H837" t="s">
        <v>64</v>
      </c>
      <c r="I837" t="s">
        <v>65</v>
      </c>
      <c r="J837" t="s">
        <v>43</v>
      </c>
      <c r="K837" t="s">
        <v>58</v>
      </c>
      <c r="L837" t="s">
        <v>51</v>
      </c>
      <c r="M837" s="3">
        <v>9000</v>
      </c>
      <c r="N837" s="4">
        <v>0.13600000000000001</v>
      </c>
      <c r="O837" s="4">
        <v>0.75</v>
      </c>
      <c r="P837" t="s">
        <v>59</v>
      </c>
      <c r="R837">
        <v>150</v>
      </c>
      <c r="S837" s="3">
        <v>647.87</v>
      </c>
    </row>
    <row r="838" spans="1:19" x14ac:dyDescent="0.2">
      <c r="A838" t="s">
        <v>1470</v>
      </c>
      <c r="B838" s="2">
        <v>46130</v>
      </c>
      <c r="C838" s="2">
        <v>46234</v>
      </c>
      <c r="D838" t="s">
        <v>1469</v>
      </c>
      <c r="E838" t="s">
        <v>62</v>
      </c>
      <c r="F838" t="s">
        <v>48</v>
      </c>
      <c r="G838" t="s">
        <v>92</v>
      </c>
      <c r="H838" t="s">
        <v>64</v>
      </c>
      <c r="I838" t="s">
        <v>42</v>
      </c>
      <c r="J838" t="s">
        <v>26</v>
      </c>
      <c r="K838" t="s">
        <v>27</v>
      </c>
      <c r="L838" t="s">
        <v>51</v>
      </c>
      <c r="M838" s="3">
        <v>7000</v>
      </c>
      <c r="N838" s="4">
        <v>7.1999999999999995E-2</v>
      </c>
      <c r="O838" s="4">
        <v>0.05</v>
      </c>
      <c r="P838" t="s">
        <v>29</v>
      </c>
      <c r="Q838" t="s">
        <v>222</v>
      </c>
      <c r="R838">
        <v>104</v>
      </c>
      <c r="S838" s="3">
        <v>541.08000000000004</v>
      </c>
    </row>
    <row r="839" spans="1:19" x14ac:dyDescent="0.2">
      <c r="A839" t="s">
        <v>1471</v>
      </c>
      <c r="B839" s="2">
        <v>46173</v>
      </c>
      <c r="C839" s="2">
        <v>46210</v>
      </c>
      <c r="D839" t="s">
        <v>321</v>
      </c>
      <c r="E839" t="s">
        <v>91</v>
      </c>
      <c r="F839" t="s">
        <v>48</v>
      </c>
      <c r="G839" t="s">
        <v>63</v>
      </c>
      <c r="H839" t="s">
        <v>64</v>
      </c>
      <c r="I839" t="s">
        <v>84</v>
      </c>
      <c r="J839" t="s">
        <v>26</v>
      </c>
      <c r="K839" t="s">
        <v>88</v>
      </c>
      <c r="L839" t="s">
        <v>28</v>
      </c>
      <c r="M839" s="3">
        <v>8300</v>
      </c>
      <c r="N839" s="4">
        <v>0.161</v>
      </c>
      <c r="O839" s="4">
        <v>0.35</v>
      </c>
      <c r="P839" t="s">
        <v>38</v>
      </c>
      <c r="R839">
        <v>37</v>
      </c>
      <c r="S839" s="3">
        <v>580.4</v>
      </c>
    </row>
    <row r="840" spans="1:19" x14ac:dyDescent="0.2">
      <c r="A840" t="s">
        <v>1472</v>
      </c>
      <c r="B840" s="2">
        <v>46183</v>
      </c>
      <c r="C840" s="2">
        <v>46211</v>
      </c>
      <c r="D840" t="s">
        <v>1473</v>
      </c>
      <c r="E840" t="s">
        <v>82</v>
      </c>
      <c r="F840" t="s">
        <v>22</v>
      </c>
      <c r="G840" t="s">
        <v>92</v>
      </c>
      <c r="H840" t="s">
        <v>49</v>
      </c>
      <c r="I840" t="s">
        <v>99</v>
      </c>
      <c r="J840" t="s">
        <v>57</v>
      </c>
      <c r="K840" t="s">
        <v>58</v>
      </c>
      <c r="L840" t="s">
        <v>51</v>
      </c>
      <c r="M840" s="3">
        <v>55600</v>
      </c>
      <c r="N840" s="4">
        <v>7.4999999999999997E-2</v>
      </c>
      <c r="O840" s="4">
        <v>0.75</v>
      </c>
      <c r="P840" t="s">
        <v>59</v>
      </c>
      <c r="R840">
        <v>28</v>
      </c>
      <c r="S840" s="3">
        <v>4287.83</v>
      </c>
    </row>
    <row r="841" spans="1:19" x14ac:dyDescent="0.2">
      <c r="A841" t="s">
        <v>1474</v>
      </c>
      <c r="B841" s="2">
        <v>45949</v>
      </c>
      <c r="C841" s="2">
        <v>46073</v>
      </c>
      <c r="D841" t="s">
        <v>1112</v>
      </c>
      <c r="E841" t="s">
        <v>111</v>
      </c>
      <c r="F841" t="s">
        <v>48</v>
      </c>
      <c r="G841" t="s">
        <v>55</v>
      </c>
      <c r="H841" t="s">
        <v>120</v>
      </c>
      <c r="I841" t="s">
        <v>42</v>
      </c>
      <c r="J841" t="s">
        <v>57</v>
      </c>
      <c r="K841" t="s">
        <v>37</v>
      </c>
      <c r="L841" t="s">
        <v>44</v>
      </c>
      <c r="M841" s="3">
        <v>19500</v>
      </c>
      <c r="N841" s="4">
        <v>0.13</v>
      </c>
      <c r="O841" s="4">
        <v>0.1</v>
      </c>
      <c r="P841" t="s">
        <v>38</v>
      </c>
      <c r="R841">
        <v>124</v>
      </c>
      <c r="S841" s="3">
        <v>1413.16</v>
      </c>
    </row>
    <row r="842" spans="1:19" x14ac:dyDescent="0.2">
      <c r="A842" t="s">
        <v>1475</v>
      </c>
      <c r="B842" s="2">
        <v>46118</v>
      </c>
      <c r="C842" s="2">
        <v>46243</v>
      </c>
      <c r="D842" t="s">
        <v>1476</v>
      </c>
      <c r="E842" t="s">
        <v>33</v>
      </c>
      <c r="F842" t="s">
        <v>74</v>
      </c>
      <c r="G842" t="s">
        <v>34</v>
      </c>
      <c r="H842" t="s">
        <v>49</v>
      </c>
      <c r="I842" t="s">
        <v>99</v>
      </c>
      <c r="J842" t="s">
        <v>26</v>
      </c>
      <c r="K842" t="s">
        <v>106</v>
      </c>
      <c r="L842" t="s">
        <v>28</v>
      </c>
      <c r="M842" s="3">
        <v>325500</v>
      </c>
      <c r="N842" s="4">
        <v>0.22800000000000001</v>
      </c>
      <c r="O842" s="4">
        <v>0.15</v>
      </c>
      <c r="P842" t="s">
        <v>38</v>
      </c>
      <c r="R842">
        <v>125</v>
      </c>
      <c r="S842" s="3">
        <v>20936.78</v>
      </c>
    </row>
    <row r="843" spans="1:19" x14ac:dyDescent="0.2">
      <c r="A843" t="s">
        <v>1477</v>
      </c>
      <c r="B843" s="2">
        <v>46204</v>
      </c>
      <c r="C843" s="2">
        <v>46296</v>
      </c>
      <c r="D843" t="s">
        <v>483</v>
      </c>
      <c r="E843" t="s">
        <v>82</v>
      </c>
      <c r="F843" t="s">
        <v>48</v>
      </c>
      <c r="G843" t="s">
        <v>55</v>
      </c>
      <c r="H843" t="s">
        <v>49</v>
      </c>
      <c r="I843" t="s">
        <v>84</v>
      </c>
      <c r="J843" t="s">
        <v>85</v>
      </c>
      <c r="K843" t="s">
        <v>37</v>
      </c>
      <c r="L843" t="s">
        <v>44</v>
      </c>
      <c r="M843" s="3">
        <v>18400</v>
      </c>
      <c r="N843" s="4">
        <v>0.111</v>
      </c>
      <c r="O843" s="4">
        <v>0.1</v>
      </c>
      <c r="P843" t="s">
        <v>38</v>
      </c>
      <c r="R843">
        <v>92</v>
      </c>
      <c r="S843" s="3">
        <v>1363.74</v>
      </c>
    </row>
    <row r="844" spans="1:19" x14ac:dyDescent="0.2">
      <c r="A844" t="s">
        <v>1478</v>
      </c>
      <c r="B844" s="2">
        <v>46260</v>
      </c>
      <c r="C844" s="2">
        <v>46277</v>
      </c>
      <c r="D844" t="s">
        <v>729</v>
      </c>
      <c r="E844" t="s">
        <v>91</v>
      </c>
      <c r="F844" t="s">
        <v>48</v>
      </c>
      <c r="G844" t="s">
        <v>55</v>
      </c>
      <c r="H844" t="s">
        <v>77</v>
      </c>
      <c r="I844" t="s">
        <v>99</v>
      </c>
      <c r="J844" t="s">
        <v>57</v>
      </c>
      <c r="K844" t="s">
        <v>50</v>
      </c>
      <c r="L844" t="s">
        <v>44</v>
      </c>
      <c r="M844" s="3">
        <v>20500</v>
      </c>
      <c r="N844" s="4">
        <v>0.22</v>
      </c>
      <c r="O844" s="4">
        <v>1</v>
      </c>
      <c r="P844" t="s">
        <v>29</v>
      </c>
      <c r="R844">
        <v>17</v>
      </c>
      <c r="S844" s="3">
        <v>1331.94</v>
      </c>
    </row>
    <row r="845" spans="1:19" x14ac:dyDescent="0.2">
      <c r="A845" t="s">
        <v>1479</v>
      </c>
      <c r="B845" s="2">
        <v>45963</v>
      </c>
      <c r="C845" s="2">
        <v>46011</v>
      </c>
      <c r="D845" t="s">
        <v>829</v>
      </c>
      <c r="E845" t="s">
        <v>62</v>
      </c>
      <c r="F845" t="s">
        <v>74</v>
      </c>
      <c r="G845" t="s">
        <v>55</v>
      </c>
      <c r="H845" t="s">
        <v>95</v>
      </c>
      <c r="I845" t="s">
        <v>25</v>
      </c>
      <c r="J845" t="s">
        <v>36</v>
      </c>
      <c r="K845" t="s">
        <v>58</v>
      </c>
      <c r="L845" t="s">
        <v>28</v>
      </c>
      <c r="M845" s="3">
        <v>267100</v>
      </c>
      <c r="N845" s="4">
        <v>0.128</v>
      </c>
      <c r="O845" s="4">
        <v>0.7</v>
      </c>
      <c r="P845" t="s">
        <v>59</v>
      </c>
      <c r="R845">
        <v>48</v>
      </c>
      <c r="S845" s="3">
        <v>19404.419999999998</v>
      </c>
    </row>
    <row r="846" spans="1:19" x14ac:dyDescent="0.2">
      <c r="A846" t="s">
        <v>1480</v>
      </c>
      <c r="B846" s="2">
        <v>45938</v>
      </c>
      <c r="C846" s="2">
        <v>46013</v>
      </c>
      <c r="D846" t="s">
        <v>1006</v>
      </c>
      <c r="E846" t="s">
        <v>33</v>
      </c>
      <c r="F846" t="s">
        <v>74</v>
      </c>
      <c r="G846" t="s">
        <v>23</v>
      </c>
      <c r="H846" t="s">
        <v>69</v>
      </c>
      <c r="I846" t="s">
        <v>99</v>
      </c>
      <c r="J846" t="s">
        <v>36</v>
      </c>
      <c r="K846" t="s">
        <v>78</v>
      </c>
      <c r="L846" t="s">
        <v>51</v>
      </c>
      <c r="M846" s="3">
        <v>214100</v>
      </c>
      <c r="N846" s="4">
        <v>0.20699999999999999</v>
      </c>
      <c r="O846" s="4">
        <v>0.6</v>
      </c>
      <c r="P846" t="s">
        <v>79</v>
      </c>
      <c r="R846">
        <v>75</v>
      </c>
      <c r="S846" s="3">
        <v>14156.22</v>
      </c>
    </row>
    <row r="847" spans="1:19" x14ac:dyDescent="0.2">
      <c r="A847" t="s">
        <v>1481</v>
      </c>
      <c r="B847" s="2">
        <v>46207</v>
      </c>
      <c r="C847" s="2">
        <v>46319</v>
      </c>
      <c r="D847" t="s">
        <v>959</v>
      </c>
      <c r="E847" t="s">
        <v>82</v>
      </c>
      <c r="F847" t="s">
        <v>22</v>
      </c>
      <c r="G847" t="s">
        <v>23</v>
      </c>
      <c r="H847" t="s">
        <v>64</v>
      </c>
      <c r="I847" t="s">
        <v>42</v>
      </c>
      <c r="J847" t="s">
        <v>36</v>
      </c>
      <c r="K847" t="s">
        <v>88</v>
      </c>
      <c r="L847" t="s">
        <v>51</v>
      </c>
      <c r="M847" s="3">
        <v>51300</v>
      </c>
      <c r="N847" s="4">
        <v>8.3000000000000004E-2</v>
      </c>
      <c r="O847" s="4">
        <v>0.4</v>
      </c>
      <c r="P847" t="s">
        <v>38</v>
      </c>
      <c r="R847">
        <v>112</v>
      </c>
      <c r="S847" s="3">
        <v>3921.45</v>
      </c>
    </row>
    <row r="848" spans="1:19" x14ac:dyDescent="0.2">
      <c r="A848" t="s">
        <v>1482</v>
      </c>
      <c r="B848" s="2">
        <v>46103</v>
      </c>
      <c r="C848" s="2">
        <v>46182</v>
      </c>
      <c r="D848" t="s">
        <v>1483</v>
      </c>
      <c r="E848" t="s">
        <v>33</v>
      </c>
      <c r="F848" t="s">
        <v>22</v>
      </c>
      <c r="G848" t="s">
        <v>34</v>
      </c>
      <c r="H848" t="s">
        <v>83</v>
      </c>
      <c r="I848" t="s">
        <v>65</v>
      </c>
      <c r="J848" t="s">
        <v>36</v>
      </c>
      <c r="K848" t="s">
        <v>78</v>
      </c>
      <c r="L848" t="s">
        <v>51</v>
      </c>
      <c r="M848" s="3">
        <v>33500</v>
      </c>
      <c r="N848" s="4">
        <v>3.2000000000000001E-2</v>
      </c>
      <c r="O848" s="4">
        <v>0.6</v>
      </c>
      <c r="P848" t="s">
        <v>79</v>
      </c>
      <c r="R848">
        <v>79</v>
      </c>
      <c r="S848" s="3">
        <v>2703.07</v>
      </c>
    </row>
    <row r="849" spans="1:19" x14ac:dyDescent="0.2">
      <c r="A849" t="s">
        <v>1484</v>
      </c>
      <c r="B849" s="2">
        <v>46121</v>
      </c>
      <c r="C849" s="2">
        <v>46170</v>
      </c>
      <c r="D849" t="s">
        <v>1485</v>
      </c>
      <c r="E849" t="s">
        <v>68</v>
      </c>
      <c r="F849" t="s">
        <v>48</v>
      </c>
      <c r="G849" t="s">
        <v>55</v>
      </c>
      <c r="H849" t="s">
        <v>83</v>
      </c>
      <c r="I849" t="s">
        <v>25</v>
      </c>
      <c r="J849" t="s">
        <v>36</v>
      </c>
      <c r="K849" t="s">
        <v>106</v>
      </c>
      <c r="L849" t="s">
        <v>28</v>
      </c>
      <c r="M849" s="3">
        <v>17800</v>
      </c>
      <c r="N849" s="4">
        <v>0.14899999999999999</v>
      </c>
      <c r="O849" s="4">
        <v>0.25</v>
      </c>
      <c r="P849" t="s">
        <v>38</v>
      </c>
      <c r="R849">
        <v>49</v>
      </c>
      <c r="S849" s="3">
        <v>1262.83</v>
      </c>
    </row>
    <row r="850" spans="1:19" x14ac:dyDescent="0.2">
      <c r="A850" t="s">
        <v>1486</v>
      </c>
      <c r="B850" s="2">
        <v>46232</v>
      </c>
      <c r="C850" s="2">
        <v>46277</v>
      </c>
      <c r="D850" t="s">
        <v>1487</v>
      </c>
      <c r="E850" t="s">
        <v>54</v>
      </c>
      <c r="F850" t="s">
        <v>48</v>
      </c>
      <c r="G850" t="s">
        <v>92</v>
      </c>
      <c r="H850" t="s">
        <v>95</v>
      </c>
      <c r="I850" t="s">
        <v>25</v>
      </c>
      <c r="J850" t="s">
        <v>57</v>
      </c>
      <c r="K850" t="s">
        <v>50</v>
      </c>
      <c r="L850" t="s">
        <v>51</v>
      </c>
      <c r="M850" s="3">
        <v>10600</v>
      </c>
      <c r="N850" s="4">
        <v>7.8E-2</v>
      </c>
      <c r="O850" s="4">
        <v>1</v>
      </c>
      <c r="P850" t="s">
        <v>29</v>
      </c>
      <c r="R850">
        <v>45</v>
      </c>
      <c r="S850" s="3">
        <v>814.14</v>
      </c>
    </row>
    <row r="851" spans="1:19" x14ac:dyDescent="0.2">
      <c r="A851" t="s">
        <v>1488</v>
      </c>
      <c r="B851" s="2">
        <v>45949</v>
      </c>
      <c r="C851" s="2">
        <v>46087</v>
      </c>
      <c r="D851" t="s">
        <v>1476</v>
      </c>
      <c r="E851" t="s">
        <v>33</v>
      </c>
      <c r="F851" t="s">
        <v>22</v>
      </c>
      <c r="G851" t="s">
        <v>23</v>
      </c>
      <c r="H851" t="s">
        <v>120</v>
      </c>
      <c r="I851" t="s">
        <v>84</v>
      </c>
      <c r="J851" t="s">
        <v>36</v>
      </c>
      <c r="K851" t="s">
        <v>106</v>
      </c>
      <c r="L851" t="s">
        <v>51</v>
      </c>
      <c r="M851" s="3">
        <v>51400</v>
      </c>
      <c r="N851" s="4">
        <v>0.129</v>
      </c>
      <c r="O851" s="4">
        <v>0.15</v>
      </c>
      <c r="P851" t="s">
        <v>38</v>
      </c>
      <c r="R851">
        <v>138</v>
      </c>
      <c r="S851" s="3">
        <v>3732.06</v>
      </c>
    </row>
    <row r="852" spans="1:19" x14ac:dyDescent="0.2">
      <c r="A852" t="s">
        <v>1489</v>
      </c>
      <c r="B852" s="2">
        <v>46038</v>
      </c>
      <c r="C852" s="2">
        <v>46069</v>
      </c>
      <c r="D852" t="s">
        <v>1490</v>
      </c>
      <c r="E852" t="s">
        <v>82</v>
      </c>
      <c r="F852" t="s">
        <v>48</v>
      </c>
      <c r="G852" t="s">
        <v>63</v>
      </c>
      <c r="H852" t="s">
        <v>41</v>
      </c>
      <c r="I852" t="s">
        <v>42</v>
      </c>
      <c r="J852" t="s">
        <v>57</v>
      </c>
      <c r="K852" t="s">
        <v>58</v>
      </c>
      <c r="L852" t="s">
        <v>44</v>
      </c>
      <c r="M852" s="3">
        <v>6500</v>
      </c>
      <c r="N852" s="4">
        <v>0.122</v>
      </c>
      <c r="O852" s="4">
        <v>0.8</v>
      </c>
      <c r="P852" t="s">
        <v>59</v>
      </c>
      <c r="R852">
        <v>31</v>
      </c>
      <c r="S852" s="3">
        <v>475.66</v>
      </c>
    </row>
    <row r="853" spans="1:19" x14ac:dyDescent="0.2">
      <c r="A853" t="s">
        <v>1491</v>
      </c>
      <c r="B853" s="2">
        <v>46247</v>
      </c>
      <c r="C853" s="2">
        <v>46285</v>
      </c>
      <c r="D853" t="s">
        <v>608</v>
      </c>
      <c r="E853" t="s">
        <v>91</v>
      </c>
      <c r="F853" t="s">
        <v>48</v>
      </c>
      <c r="G853" t="s">
        <v>23</v>
      </c>
      <c r="H853" t="s">
        <v>56</v>
      </c>
      <c r="I853" t="s">
        <v>65</v>
      </c>
      <c r="J853" t="s">
        <v>26</v>
      </c>
      <c r="K853" t="s">
        <v>106</v>
      </c>
      <c r="L853" t="s">
        <v>44</v>
      </c>
      <c r="M853" s="3">
        <v>13400</v>
      </c>
      <c r="N853" s="4">
        <v>0.185</v>
      </c>
      <c r="O853" s="4">
        <v>0.25</v>
      </c>
      <c r="P853" t="s">
        <v>38</v>
      </c>
      <c r="R853">
        <v>38</v>
      </c>
      <c r="S853" s="3">
        <v>910.33</v>
      </c>
    </row>
    <row r="854" spans="1:19" x14ac:dyDescent="0.2">
      <c r="A854" t="s">
        <v>1492</v>
      </c>
      <c r="B854" s="2">
        <v>46259</v>
      </c>
      <c r="C854" s="2">
        <v>46331</v>
      </c>
      <c r="D854" t="s">
        <v>596</v>
      </c>
      <c r="E854" t="s">
        <v>91</v>
      </c>
      <c r="F854" t="s">
        <v>48</v>
      </c>
      <c r="G854" t="s">
        <v>63</v>
      </c>
      <c r="H854" t="s">
        <v>120</v>
      </c>
      <c r="I854" t="s">
        <v>42</v>
      </c>
      <c r="J854" t="s">
        <v>85</v>
      </c>
      <c r="K854" t="s">
        <v>88</v>
      </c>
      <c r="L854" t="s">
        <v>28</v>
      </c>
      <c r="M854" s="3">
        <v>6600</v>
      </c>
      <c r="N854" s="4">
        <v>0.19400000000000001</v>
      </c>
      <c r="O854" s="4">
        <v>0.4</v>
      </c>
      <c r="P854" t="s">
        <v>38</v>
      </c>
      <c r="R854">
        <v>72</v>
      </c>
      <c r="S854" s="3">
        <v>443.54</v>
      </c>
    </row>
    <row r="855" spans="1:19" x14ac:dyDescent="0.2">
      <c r="A855" t="s">
        <v>1493</v>
      </c>
      <c r="B855" s="2">
        <v>46044</v>
      </c>
      <c r="C855" s="2">
        <v>46172</v>
      </c>
      <c r="D855" t="s">
        <v>1494</v>
      </c>
      <c r="E855" t="s">
        <v>62</v>
      </c>
      <c r="F855" t="s">
        <v>22</v>
      </c>
      <c r="G855" t="s">
        <v>63</v>
      </c>
      <c r="H855" t="s">
        <v>83</v>
      </c>
      <c r="I855" t="s">
        <v>42</v>
      </c>
      <c r="J855" t="s">
        <v>26</v>
      </c>
      <c r="K855" t="s">
        <v>58</v>
      </c>
      <c r="L855" t="s">
        <v>51</v>
      </c>
      <c r="M855" s="3">
        <v>36500</v>
      </c>
      <c r="N855" s="4">
        <v>0.126</v>
      </c>
      <c r="O855" s="4">
        <v>0.75</v>
      </c>
      <c r="P855" t="s">
        <v>59</v>
      </c>
      <c r="R855">
        <v>128</v>
      </c>
      <c r="S855" s="3">
        <v>2658.85</v>
      </c>
    </row>
    <row r="856" spans="1:19" x14ac:dyDescent="0.2">
      <c r="A856" t="s">
        <v>1495</v>
      </c>
      <c r="B856" s="2">
        <v>46198</v>
      </c>
      <c r="C856" s="2">
        <v>46277</v>
      </c>
      <c r="D856" t="s">
        <v>1496</v>
      </c>
      <c r="E856" t="s">
        <v>111</v>
      </c>
      <c r="F856" t="s">
        <v>48</v>
      </c>
      <c r="G856" t="s">
        <v>34</v>
      </c>
      <c r="H856" t="s">
        <v>83</v>
      </c>
      <c r="I856" t="s">
        <v>99</v>
      </c>
      <c r="J856" t="s">
        <v>36</v>
      </c>
      <c r="K856" t="s">
        <v>27</v>
      </c>
      <c r="L856" t="s">
        <v>44</v>
      </c>
      <c r="M856" s="3">
        <v>16500</v>
      </c>
      <c r="N856" s="4">
        <v>7.6999999999999999E-2</v>
      </c>
      <c r="O856" s="4">
        <v>0</v>
      </c>
      <c r="P856" t="s">
        <v>29</v>
      </c>
      <c r="Q856" t="s">
        <v>222</v>
      </c>
      <c r="R856">
        <v>79</v>
      </c>
      <c r="S856" s="3">
        <v>1269.4100000000001</v>
      </c>
    </row>
    <row r="857" spans="1:19" x14ac:dyDescent="0.2">
      <c r="A857" t="s">
        <v>1497</v>
      </c>
      <c r="B857" s="2">
        <v>46276</v>
      </c>
      <c r="C857" s="2">
        <v>46313</v>
      </c>
      <c r="D857" t="s">
        <v>783</v>
      </c>
      <c r="E857" t="s">
        <v>62</v>
      </c>
      <c r="F857" t="s">
        <v>22</v>
      </c>
      <c r="G857" t="s">
        <v>92</v>
      </c>
      <c r="H857" t="s">
        <v>41</v>
      </c>
      <c r="I857" t="s">
        <v>65</v>
      </c>
      <c r="J857" t="s">
        <v>26</v>
      </c>
      <c r="K857" t="s">
        <v>106</v>
      </c>
      <c r="L857" t="s">
        <v>28</v>
      </c>
      <c r="M857" s="3">
        <v>57900</v>
      </c>
      <c r="N857" s="4">
        <v>5.8999999999999997E-2</v>
      </c>
      <c r="O857" s="4">
        <v>0.25</v>
      </c>
      <c r="P857" t="s">
        <v>38</v>
      </c>
      <c r="R857">
        <v>37</v>
      </c>
      <c r="S857" s="3">
        <v>4538.63</v>
      </c>
    </row>
    <row r="858" spans="1:19" x14ac:dyDescent="0.2">
      <c r="A858" t="s">
        <v>1498</v>
      </c>
      <c r="B858" s="2">
        <v>46208</v>
      </c>
      <c r="C858" s="2">
        <v>46277</v>
      </c>
      <c r="D858" t="s">
        <v>1499</v>
      </c>
      <c r="E858" t="s">
        <v>82</v>
      </c>
      <c r="F858" t="s">
        <v>22</v>
      </c>
      <c r="G858" t="s">
        <v>55</v>
      </c>
      <c r="H858" t="s">
        <v>49</v>
      </c>
      <c r="I858" t="s">
        <v>35</v>
      </c>
      <c r="J858" t="s">
        <v>36</v>
      </c>
      <c r="K858" t="s">
        <v>50</v>
      </c>
      <c r="L858" t="s">
        <v>28</v>
      </c>
      <c r="M858" s="3">
        <v>36700</v>
      </c>
      <c r="N858" s="4">
        <v>0</v>
      </c>
      <c r="O858" s="4">
        <v>1</v>
      </c>
      <c r="P858" t="s">
        <v>29</v>
      </c>
      <c r="R858">
        <v>69</v>
      </c>
      <c r="S858" s="3">
        <v>3058.33</v>
      </c>
    </row>
    <row r="859" spans="1:19" x14ac:dyDescent="0.2">
      <c r="A859" t="s">
        <v>1500</v>
      </c>
      <c r="B859" s="2">
        <v>45967</v>
      </c>
      <c r="C859" s="2">
        <v>46081</v>
      </c>
      <c r="D859" t="s">
        <v>663</v>
      </c>
      <c r="E859" t="s">
        <v>33</v>
      </c>
      <c r="F859" t="s">
        <v>74</v>
      </c>
      <c r="G859" t="s">
        <v>23</v>
      </c>
      <c r="H859" t="s">
        <v>95</v>
      </c>
      <c r="I859" t="s">
        <v>35</v>
      </c>
      <c r="J859" t="s">
        <v>43</v>
      </c>
      <c r="K859" t="s">
        <v>78</v>
      </c>
      <c r="L859" t="s">
        <v>51</v>
      </c>
      <c r="M859" s="3">
        <v>88900</v>
      </c>
      <c r="N859" s="4">
        <v>0.104</v>
      </c>
      <c r="O859" s="4">
        <v>0.55000000000000004</v>
      </c>
      <c r="P859" t="s">
        <v>79</v>
      </c>
      <c r="R859">
        <v>114</v>
      </c>
      <c r="S859" s="3">
        <v>6640.14</v>
      </c>
    </row>
    <row r="860" spans="1:19" x14ac:dyDescent="0.2">
      <c r="A860" t="s">
        <v>1501</v>
      </c>
      <c r="B860" s="2">
        <v>46001</v>
      </c>
      <c r="C860" s="2">
        <v>46129</v>
      </c>
      <c r="D860" t="s">
        <v>1502</v>
      </c>
      <c r="E860" t="s">
        <v>82</v>
      </c>
      <c r="F860" t="s">
        <v>74</v>
      </c>
      <c r="G860" t="s">
        <v>92</v>
      </c>
      <c r="H860" t="s">
        <v>95</v>
      </c>
      <c r="I860" t="s">
        <v>42</v>
      </c>
      <c r="J860" t="s">
        <v>57</v>
      </c>
      <c r="K860" t="s">
        <v>58</v>
      </c>
      <c r="L860" t="s">
        <v>44</v>
      </c>
      <c r="M860" s="3">
        <v>186900</v>
      </c>
      <c r="N860" s="4">
        <v>0.106</v>
      </c>
      <c r="O860" s="4">
        <v>0.75</v>
      </c>
      <c r="P860" t="s">
        <v>59</v>
      </c>
      <c r="R860">
        <v>128</v>
      </c>
      <c r="S860" s="3">
        <v>13919.4</v>
      </c>
    </row>
    <row r="861" spans="1:19" x14ac:dyDescent="0.2">
      <c r="A861" t="s">
        <v>1503</v>
      </c>
      <c r="B861" s="2">
        <v>46030</v>
      </c>
      <c r="C861" s="2">
        <v>46154</v>
      </c>
      <c r="D861" t="s">
        <v>1504</v>
      </c>
      <c r="E861" t="s">
        <v>62</v>
      </c>
      <c r="F861" t="s">
        <v>48</v>
      </c>
      <c r="G861" t="s">
        <v>55</v>
      </c>
      <c r="H861" t="s">
        <v>95</v>
      </c>
      <c r="I861" t="s">
        <v>65</v>
      </c>
      <c r="J861" t="s">
        <v>26</v>
      </c>
      <c r="K861" t="s">
        <v>58</v>
      </c>
      <c r="L861" t="s">
        <v>51</v>
      </c>
      <c r="M861" s="3">
        <v>6500</v>
      </c>
      <c r="N861" s="4">
        <v>8.3000000000000004E-2</v>
      </c>
      <c r="O861" s="4">
        <v>0.7</v>
      </c>
      <c r="P861" t="s">
        <v>59</v>
      </c>
      <c r="R861">
        <v>124</v>
      </c>
      <c r="S861" s="3">
        <v>496.88</v>
      </c>
    </row>
    <row r="862" spans="1:19" x14ac:dyDescent="0.2">
      <c r="A862" t="s">
        <v>1505</v>
      </c>
      <c r="B862" s="2">
        <v>45945</v>
      </c>
      <c r="C862" s="2">
        <v>45971</v>
      </c>
      <c r="D862" t="s">
        <v>1506</v>
      </c>
      <c r="E862" t="s">
        <v>33</v>
      </c>
      <c r="F862" t="s">
        <v>48</v>
      </c>
      <c r="G862" t="s">
        <v>23</v>
      </c>
      <c r="H862" t="s">
        <v>49</v>
      </c>
      <c r="I862" t="s">
        <v>35</v>
      </c>
      <c r="J862" t="s">
        <v>36</v>
      </c>
      <c r="K862" t="s">
        <v>78</v>
      </c>
      <c r="L862" t="s">
        <v>28</v>
      </c>
      <c r="M862" s="3">
        <v>13200</v>
      </c>
      <c r="N862" s="4">
        <v>0.17399999999999999</v>
      </c>
      <c r="O862" s="4">
        <v>0.5</v>
      </c>
      <c r="P862" t="s">
        <v>79</v>
      </c>
      <c r="R862">
        <v>26</v>
      </c>
      <c r="S862" s="3">
        <v>908.59</v>
      </c>
    </row>
    <row r="863" spans="1:19" x14ac:dyDescent="0.2">
      <c r="A863" t="s">
        <v>1507</v>
      </c>
      <c r="B863" s="2">
        <v>46053</v>
      </c>
      <c r="C863" s="2">
        <v>46126</v>
      </c>
      <c r="D863" t="s">
        <v>1508</v>
      </c>
      <c r="E863" t="s">
        <v>54</v>
      </c>
      <c r="F863" t="s">
        <v>48</v>
      </c>
      <c r="G863" t="s">
        <v>92</v>
      </c>
      <c r="H863" t="s">
        <v>77</v>
      </c>
      <c r="I863" t="s">
        <v>35</v>
      </c>
      <c r="J863" t="s">
        <v>85</v>
      </c>
      <c r="K863" t="s">
        <v>106</v>
      </c>
      <c r="L863" t="s">
        <v>44</v>
      </c>
      <c r="M863" s="3">
        <v>21500</v>
      </c>
      <c r="N863" s="4">
        <v>0.13</v>
      </c>
      <c r="O863" s="4">
        <v>0.2</v>
      </c>
      <c r="P863" t="s">
        <v>38</v>
      </c>
      <c r="R863">
        <v>73</v>
      </c>
      <c r="S863" s="3">
        <v>1558.85</v>
      </c>
    </row>
    <row r="864" spans="1:19" x14ac:dyDescent="0.2">
      <c r="A864" t="s">
        <v>1509</v>
      </c>
      <c r="B864" s="2">
        <v>46234</v>
      </c>
      <c r="C864" s="2">
        <v>46287</v>
      </c>
      <c r="D864" t="s">
        <v>1510</v>
      </c>
      <c r="E864" t="s">
        <v>91</v>
      </c>
      <c r="F864" t="s">
        <v>48</v>
      </c>
      <c r="G864" t="s">
        <v>63</v>
      </c>
      <c r="H864" t="s">
        <v>41</v>
      </c>
      <c r="I864" t="s">
        <v>25</v>
      </c>
      <c r="J864" t="s">
        <v>26</v>
      </c>
      <c r="K864" t="s">
        <v>78</v>
      </c>
      <c r="L864" t="s">
        <v>44</v>
      </c>
      <c r="M864" s="3">
        <v>15400</v>
      </c>
      <c r="N864" s="4">
        <v>0.14000000000000001</v>
      </c>
      <c r="O864" s="4">
        <v>0.5</v>
      </c>
      <c r="P864" t="s">
        <v>79</v>
      </c>
      <c r="R864">
        <v>53</v>
      </c>
      <c r="S864" s="3">
        <v>1103.28</v>
      </c>
    </row>
    <row r="865" spans="1:19" x14ac:dyDescent="0.2">
      <c r="A865" t="s">
        <v>1511</v>
      </c>
      <c r="B865" s="2">
        <v>45944</v>
      </c>
      <c r="C865" s="2">
        <v>46020</v>
      </c>
      <c r="D865" t="s">
        <v>1512</v>
      </c>
      <c r="E865" t="s">
        <v>111</v>
      </c>
      <c r="F865" t="s">
        <v>22</v>
      </c>
      <c r="G865" t="s">
        <v>63</v>
      </c>
      <c r="H865" t="s">
        <v>137</v>
      </c>
      <c r="I865" t="s">
        <v>65</v>
      </c>
      <c r="J865" t="s">
        <v>43</v>
      </c>
      <c r="K865" t="s">
        <v>106</v>
      </c>
      <c r="L865" t="s">
        <v>51</v>
      </c>
      <c r="M865" s="3">
        <v>42800</v>
      </c>
      <c r="N865" s="4">
        <v>0.19800000000000001</v>
      </c>
      <c r="O865" s="4">
        <v>0.2</v>
      </c>
      <c r="P865" t="s">
        <v>38</v>
      </c>
      <c r="R865">
        <v>76</v>
      </c>
      <c r="S865" s="3">
        <v>2860.51</v>
      </c>
    </row>
    <row r="866" spans="1:19" x14ac:dyDescent="0.2">
      <c r="A866" t="s">
        <v>1513</v>
      </c>
      <c r="B866" s="2">
        <v>45945</v>
      </c>
      <c r="C866" s="2">
        <v>46074</v>
      </c>
      <c r="D866" t="s">
        <v>1514</v>
      </c>
      <c r="E866" t="s">
        <v>91</v>
      </c>
      <c r="F866" t="s">
        <v>22</v>
      </c>
      <c r="G866" t="s">
        <v>23</v>
      </c>
      <c r="H866" t="s">
        <v>49</v>
      </c>
      <c r="I866" t="s">
        <v>35</v>
      </c>
      <c r="J866" t="s">
        <v>43</v>
      </c>
      <c r="K866" t="s">
        <v>88</v>
      </c>
      <c r="L866" t="s">
        <v>44</v>
      </c>
      <c r="M866" s="3">
        <v>42900</v>
      </c>
      <c r="N866" s="4">
        <v>3.5999999999999997E-2</v>
      </c>
      <c r="O866" s="4">
        <v>0.35</v>
      </c>
      <c r="P866" t="s">
        <v>38</v>
      </c>
      <c r="R866">
        <v>129</v>
      </c>
      <c r="S866" s="3">
        <v>3446.91</v>
      </c>
    </row>
    <row r="867" spans="1:19" x14ac:dyDescent="0.2">
      <c r="A867" t="s">
        <v>1515</v>
      </c>
      <c r="B867" s="2">
        <v>46197</v>
      </c>
      <c r="C867" s="2">
        <v>46310</v>
      </c>
      <c r="D867" t="s">
        <v>646</v>
      </c>
      <c r="E867" t="s">
        <v>54</v>
      </c>
      <c r="F867" t="s">
        <v>22</v>
      </c>
      <c r="G867" t="s">
        <v>63</v>
      </c>
      <c r="H867" t="s">
        <v>49</v>
      </c>
      <c r="I867" t="s">
        <v>99</v>
      </c>
      <c r="J867" t="s">
        <v>85</v>
      </c>
      <c r="K867" t="s">
        <v>106</v>
      </c>
      <c r="L867" t="s">
        <v>51</v>
      </c>
      <c r="M867" s="3">
        <v>90300</v>
      </c>
      <c r="N867" s="4">
        <v>0.125</v>
      </c>
      <c r="O867" s="4">
        <v>0.2</v>
      </c>
      <c r="P867" t="s">
        <v>38</v>
      </c>
      <c r="R867">
        <v>113</v>
      </c>
      <c r="S867" s="3">
        <v>6585.17</v>
      </c>
    </row>
    <row r="868" spans="1:19" x14ac:dyDescent="0.2">
      <c r="A868" t="s">
        <v>1516</v>
      </c>
      <c r="B868" s="2">
        <v>46106</v>
      </c>
      <c r="C868" s="2">
        <v>46189</v>
      </c>
      <c r="D868" t="s">
        <v>1195</v>
      </c>
      <c r="E868" t="s">
        <v>82</v>
      </c>
      <c r="F868" t="s">
        <v>22</v>
      </c>
      <c r="G868" t="s">
        <v>23</v>
      </c>
      <c r="H868" t="s">
        <v>69</v>
      </c>
      <c r="I868" t="s">
        <v>35</v>
      </c>
      <c r="J868" t="s">
        <v>26</v>
      </c>
      <c r="K868" t="s">
        <v>78</v>
      </c>
      <c r="L868" t="s">
        <v>44</v>
      </c>
      <c r="M868" s="3">
        <v>81500</v>
      </c>
      <c r="N868" s="4">
        <v>5.3999999999999999E-2</v>
      </c>
      <c r="O868" s="4">
        <v>0.55000000000000004</v>
      </c>
      <c r="P868" t="s">
        <v>79</v>
      </c>
      <c r="R868">
        <v>83</v>
      </c>
      <c r="S868" s="3">
        <v>6424.72</v>
      </c>
    </row>
    <row r="869" spans="1:19" x14ac:dyDescent="0.2">
      <c r="A869" t="s">
        <v>1517</v>
      </c>
      <c r="B869" s="2">
        <v>45999</v>
      </c>
      <c r="C869" s="2">
        <v>46072</v>
      </c>
      <c r="D869" t="s">
        <v>551</v>
      </c>
      <c r="E869" t="s">
        <v>62</v>
      </c>
      <c r="F869" t="s">
        <v>48</v>
      </c>
      <c r="G869" t="s">
        <v>92</v>
      </c>
      <c r="H869" t="s">
        <v>137</v>
      </c>
      <c r="I869" t="s">
        <v>25</v>
      </c>
      <c r="J869" t="s">
        <v>26</v>
      </c>
      <c r="K869" t="s">
        <v>37</v>
      </c>
      <c r="L869" t="s">
        <v>28</v>
      </c>
      <c r="M869" s="3">
        <v>23100</v>
      </c>
      <c r="N869" s="4">
        <v>0.247</v>
      </c>
      <c r="O869" s="4">
        <v>0.15</v>
      </c>
      <c r="P869" t="s">
        <v>38</v>
      </c>
      <c r="R869">
        <v>73</v>
      </c>
      <c r="S869" s="3">
        <v>1448.72</v>
      </c>
    </row>
    <row r="870" spans="1:19" x14ac:dyDescent="0.2">
      <c r="A870" t="s">
        <v>1518</v>
      </c>
      <c r="B870" s="2">
        <v>46233</v>
      </c>
      <c r="C870" s="2">
        <v>46278</v>
      </c>
      <c r="D870" t="s">
        <v>1519</v>
      </c>
      <c r="E870" t="s">
        <v>91</v>
      </c>
      <c r="F870" t="s">
        <v>48</v>
      </c>
      <c r="G870" t="s">
        <v>55</v>
      </c>
      <c r="H870" t="s">
        <v>24</v>
      </c>
      <c r="I870" t="s">
        <v>99</v>
      </c>
      <c r="J870" t="s">
        <v>26</v>
      </c>
      <c r="K870" t="s">
        <v>37</v>
      </c>
      <c r="L870" t="s">
        <v>28</v>
      </c>
      <c r="M870" s="3">
        <v>17900</v>
      </c>
      <c r="N870" s="4">
        <v>0.156</v>
      </c>
      <c r="O870" s="4">
        <v>0.1</v>
      </c>
      <c r="P870" t="s">
        <v>38</v>
      </c>
      <c r="R870">
        <v>45</v>
      </c>
      <c r="S870" s="3">
        <v>1258.43</v>
      </c>
    </row>
    <row r="871" spans="1:19" x14ac:dyDescent="0.2">
      <c r="A871" t="s">
        <v>1520</v>
      </c>
      <c r="B871" s="2">
        <v>46254</v>
      </c>
      <c r="C871" s="2">
        <v>46294</v>
      </c>
      <c r="D871" t="s">
        <v>511</v>
      </c>
      <c r="E871" t="s">
        <v>91</v>
      </c>
      <c r="F871" t="s">
        <v>48</v>
      </c>
      <c r="G871" t="s">
        <v>63</v>
      </c>
      <c r="H871" t="s">
        <v>95</v>
      </c>
      <c r="I871" t="s">
        <v>35</v>
      </c>
      <c r="J871" t="s">
        <v>57</v>
      </c>
      <c r="K871" t="s">
        <v>88</v>
      </c>
      <c r="L871" t="s">
        <v>28</v>
      </c>
      <c r="M871" s="3">
        <v>21200</v>
      </c>
      <c r="N871" s="4">
        <v>0.106</v>
      </c>
      <c r="O871" s="4">
        <v>0.35</v>
      </c>
      <c r="P871" t="s">
        <v>38</v>
      </c>
      <c r="R871">
        <v>40</v>
      </c>
      <c r="S871" s="3">
        <v>1580.01</v>
      </c>
    </row>
    <row r="872" spans="1:19" x14ac:dyDescent="0.2">
      <c r="A872" t="s">
        <v>1521</v>
      </c>
      <c r="B872" s="2">
        <v>46207</v>
      </c>
      <c r="C872" s="2">
        <v>46300</v>
      </c>
      <c r="D872" t="s">
        <v>1431</v>
      </c>
      <c r="E872" t="s">
        <v>62</v>
      </c>
      <c r="F872" t="s">
        <v>48</v>
      </c>
      <c r="G872" t="s">
        <v>63</v>
      </c>
      <c r="H872" t="s">
        <v>137</v>
      </c>
      <c r="I872" t="s">
        <v>99</v>
      </c>
      <c r="J872" t="s">
        <v>36</v>
      </c>
      <c r="K872" t="s">
        <v>58</v>
      </c>
      <c r="L872" t="s">
        <v>28</v>
      </c>
      <c r="M872" s="3">
        <v>26600</v>
      </c>
      <c r="N872" s="4">
        <v>0.192</v>
      </c>
      <c r="O872" s="4">
        <v>0.8</v>
      </c>
      <c r="P872" t="s">
        <v>59</v>
      </c>
      <c r="R872">
        <v>93</v>
      </c>
      <c r="S872" s="3">
        <v>1790.13</v>
      </c>
    </row>
    <row r="873" spans="1:19" x14ac:dyDescent="0.2">
      <c r="A873" t="s">
        <v>1522</v>
      </c>
      <c r="B873" s="2">
        <v>46021</v>
      </c>
      <c r="C873" s="2">
        <v>46040</v>
      </c>
      <c r="D873" t="s">
        <v>594</v>
      </c>
      <c r="E873" t="s">
        <v>33</v>
      </c>
      <c r="F873" t="s">
        <v>22</v>
      </c>
      <c r="G873" t="s">
        <v>92</v>
      </c>
      <c r="H873" t="s">
        <v>120</v>
      </c>
      <c r="I873" t="s">
        <v>35</v>
      </c>
      <c r="J873" t="s">
        <v>36</v>
      </c>
      <c r="K873" t="s">
        <v>50</v>
      </c>
      <c r="L873" t="s">
        <v>51</v>
      </c>
      <c r="M873" s="3">
        <v>38200</v>
      </c>
      <c r="N873" s="4">
        <v>1.7000000000000001E-2</v>
      </c>
      <c r="O873" s="4">
        <v>1</v>
      </c>
      <c r="P873" t="s">
        <v>29</v>
      </c>
      <c r="R873">
        <v>19</v>
      </c>
      <c r="S873" s="3">
        <v>3128.73</v>
      </c>
    </row>
    <row r="874" spans="1:19" x14ac:dyDescent="0.2">
      <c r="A874" t="s">
        <v>1523</v>
      </c>
      <c r="B874" s="2">
        <v>46078</v>
      </c>
      <c r="C874" s="2">
        <v>46108</v>
      </c>
      <c r="D874" t="s">
        <v>637</v>
      </c>
      <c r="E874" t="s">
        <v>33</v>
      </c>
      <c r="F874" t="s">
        <v>74</v>
      </c>
      <c r="G874" t="s">
        <v>92</v>
      </c>
      <c r="H874" t="s">
        <v>69</v>
      </c>
      <c r="I874" t="s">
        <v>65</v>
      </c>
      <c r="J874" t="s">
        <v>43</v>
      </c>
      <c r="K874" t="s">
        <v>88</v>
      </c>
      <c r="L874" t="s">
        <v>44</v>
      </c>
      <c r="M874" s="3">
        <v>128200</v>
      </c>
      <c r="N874" s="4">
        <v>8.5000000000000006E-2</v>
      </c>
      <c r="O874" s="4">
        <v>0.35</v>
      </c>
      <c r="P874" t="s">
        <v>38</v>
      </c>
      <c r="R874">
        <v>30</v>
      </c>
      <c r="S874" s="3">
        <v>9778.2000000000007</v>
      </c>
    </row>
    <row r="875" spans="1:19" x14ac:dyDescent="0.2">
      <c r="A875" t="s">
        <v>1524</v>
      </c>
      <c r="B875" s="2">
        <v>46167</v>
      </c>
      <c r="C875" s="2">
        <v>46296</v>
      </c>
      <c r="D875" t="s">
        <v>1525</v>
      </c>
      <c r="E875" t="s">
        <v>111</v>
      </c>
      <c r="F875" t="s">
        <v>22</v>
      </c>
      <c r="G875" t="s">
        <v>92</v>
      </c>
      <c r="H875" t="s">
        <v>24</v>
      </c>
      <c r="I875" t="s">
        <v>25</v>
      </c>
      <c r="J875" t="s">
        <v>85</v>
      </c>
      <c r="K875" t="s">
        <v>58</v>
      </c>
      <c r="L875" t="s">
        <v>51</v>
      </c>
      <c r="M875" s="3">
        <v>91900</v>
      </c>
      <c r="N875" s="4">
        <v>0.186</v>
      </c>
      <c r="O875" s="4">
        <v>0.75</v>
      </c>
      <c r="P875" t="s">
        <v>59</v>
      </c>
      <c r="R875">
        <v>129</v>
      </c>
      <c r="S875" s="3">
        <v>6232.81</v>
      </c>
    </row>
    <row r="876" spans="1:19" x14ac:dyDescent="0.2">
      <c r="A876" t="s">
        <v>1526</v>
      </c>
      <c r="B876" s="2">
        <v>46073</v>
      </c>
      <c r="C876" s="2">
        <v>46167</v>
      </c>
      <c r="D876" t="s">
        <v>143</v>
      </c>
      <c r="E876" t="s">
        <v>91</v>
      </c>
      <c r="F876" t="s">
        <v>74</v>
      </c>
      <c r="G876" t="s">
        <v>55</v>
      </c>
      <c r="H876" t="s">
        <v>77</v>
      </c>
      <c r="I876" t="s">
        <v>35</v>
      </c>
      <c r="J876" t="s">
        <v>26</v>
      </c>
      <c r="K876" t="s">
        <v>78</v>
      </c>
      <c r="L876" t="s">
        <v>28</v>
      </c>
      <c r="M876" s="3">
        <v>116400</v>
      </c>
      <c r="N876" s="4">
        <v>5.1999999999999998E-2</v>
      </c>
      <c r="O876" s="4">
        <v>0.6</v>
      </c>
      <c r="P876" t="s">
        <v>79</v>
      </c>
      <c r="R876">
        <v>94</v>
      </c>
      <c r="S876" s="3">
        <v>9199.35</v>
      </c>
    </row>
    <row r="877" spans="1:19" x14ac:dyDescent="0.2">
      <c r="A877" t="s">
        <v>1527</v>
      </c>
      <c r="B877" s="2">
        <v>46233</v>
      </c>
      <c r="C877" s="2">
        <v>46283</v>
      </c>
      <c r="D877" t="s">
        <v>1528</v>
      </c>
      <c r="E877" t="s">
        <v>111</v>
      </c>
      <c r="F877" t="s">
        <v>48</v>
      </c>
      <c r="G877" t="s">
        <v>34</v>
      </c>
      <c r="H877" t="s">
        <v>64</v>
      </c>
      <c r="I877" t="s">
        <v>65</v>
      </c>
      <c r="J877" t="s">
        <v>43</v>
      </c>
      <c r="K877" t="s">
        <v>58</v>
      </c>
      <c r="L877" t="s">
        <v>51</v>
      </c>
      <c r="M877" s="3">
        <v>13500</v>
      </c>
      <c r="N877" s="4">
        <v>0.122</v>
      </c>
      <c r="O877" s="4">
        <v>0.75</v>
      </c>
      <c r="P877" t="s">
        <v>59</v>
      </c>
      <c r="R877">
        <v>50</v>
      </c>
      <c r="S877" s="3">
        <v>987.22</v>
      </c>
    </row>
    <row r="878" spans="1:19" x14ac:dyDescent="0.2">
      <c r="A878" t="s">
        <v>1529</v>
      </c>
      <c r="B878" s="2">
        <v>46233</v>
      </c>
      <c r="C878" s="2">
        <v>46290</v>
      </c>
      <c r="D878" t="s">
        <v>1244</v>
      </c>
      <c r="E878" t="s">
        <v>33</v>
      </c>
      <c r="F878" t="s">
        <v>22</v>
      </c>
      <c r="G878" t="s">
        <v>23</v>
      </c>
      <c r="H878" t="s">
        <v>120</v>
      </c>
      <c r="I878" t="s">
        <v>99</v>
      </c>
      <c r="J878" t="s">
        <v>36</v>
      </c>
      <c r="K878" t="s">
        <v>88</v>
      </c>
      <c r="L878" t="s">
        <v>51</v>
      </c>
      <c r="M878" s="3">
        <v>44500</v>
      </c>
      <c r="N878" s="4">
        <v>0</v>
      </c>
      <c r="O878" s="4">
        <v>0.3</v>
      </c>
      <c r="P878" t="s">
        <v>38</v>
      </c>
      <c r="R878">
        <v>57</v>
      </c>
      <c r="S878" s="3">
        <v>3708.33</v>
      </c>
    </row>
    <row r="879" spans="1:19" x14ac:dyDescent="0.2">
      <c r="A879" t="s">
        <v>1530</v>
      </c>
      <c r="B879" s="2">
        <v>45978</v>
      </c>
      <c r="C879" s="2">
        <v>46121</v>
      </c>
      <c r="D879" t="s">
        <v>53</v>
      </c>
      <c r="E879" t="s">
        <v>62</v>
      </c>
      <c r="F879" t="s">
        <v>48</v>
      </c>
      <c r="G879" t="s">
        <v>63</v>
      </c>
      <c r="H879" t="s">
        <v>56</v>
      </c>
      <c r="I879" t="s">
        <v>99</v>
      </c>
      <c r="J879" t="s">
        <v>26</v>
      </c>
      <c r="K879" t="s">
        <v>88</v>
      </c>
      <c r="L879" t="s">
        <v>44</v>
      </c>
      <c r="M879" s="3">
        <v>14800</v>
      </c>
      <c r="N879" s="4">
        <v>0.21199999999999999</v>
      </c>
      <c r="O879" s="4">
        <v>0.35</v>
      </c>
      <c r="P879" t="s">
        <v>38</v>
      </c>
      <c r="R879">
        <v>143</v>
      </c>
      <c r="S879" s="3">
        <v>971.77</v>
      </c>
    </row>
    <row r="880" spans="1:19" x14ac:dyDescent="0.2">
      <c r="A880" t="s">
        <v>1531</v>
      </c>
      <c r="B880" s="2">
        <v>46212</v>
      </c>
      <c r="C880" s="2">
        <v>46266</v>
      </c>
      <c r="D880" t="s">
        <v>1532</v>
      </c>
      <c r="E880" t="s">
        <v>82</v>
      </c>
      <c r="F880" t="s">
        <v>48</v>
      </c>
      <c r="G880" t="s">
        <v>23</v>
      </c>
      <c r="H880" t="s">
        <v>95</v>
      </c>
      <c r="I880" t="s">
        <v>35</v>
      </c>
      <c r="J880" t="s">
        <v>26</v>
      </c>
      <c r="K880" t="s">
        <v>37</v>
      </c>
      <c r="L880" t="s">
        <v>28</v>
      </c>
      <c r="M880" s="3">
        <v>18700</v>
      </c>
      <c r="N880" s="4">
        <v>4.3999999999999997E-2</v>
      </c>
      <c r="O880" s="4">
        <v>0.05</v>
      </c>
      <c r="P880" t="s">
        <v>38</v>
      </c>
      <c r="R880">
        <v>54</v>
      </c>
      <c r="S880" s="3">
        <v>1490.44</v>
      </c>
    </row>
    <row r="881" spans="1:19" x14ac:dyDescent="0.2">
      <c r="A881" t="s">
        <v>1533</v>
      </c>
      <c r="B881" s="2">
        <v>46027</v>
      </c>
      <c r="C881" s="2">
        <v>46141</v>
      </c>
      <c r="D881" t="s">
        <v>1534</v>
      </c>
      <c r="E881" t="s">
        <v>62</v>
      </c>
      <c r="F881" t="s">
        <v>48</v>
      </c>
      <c r="G881" t="s">
        <v>23</v>
      </c>
      <c r="H881" t="s">
        <v>49</v>
      </c>
      <c r="I881" t="s">
        <v>65</v>
      </c>
      <c r="J881" t="s">
        <v>85</v>
      </c>
      <c r="K881" t="s">
        <v>78</v>
      </c>
      <c r="L881" t="s">
        <v>51</v>
      </c>
      <c r="M881" s="3">
        <v>19100</v>
      </c>
      <c r="N881" s="4">
        <v>3.6999999999999998E-2</v>
      </c>
      <c r="O881" s="4">
        <v>0.6</v>
      </c>
      <c r="P881" t="s">
        <v>79</v>
      </c>
      <c r="R881">
        <v>114</v>
      </c>
      <c r="S881" s="3">
        <v>1532.68</v>
      </c>
    </row>
    <row r="882" spans="1:19" x14ac:dyDescent="0.2">
      <c r="A882" t="s">
        <v>1535</v>
      </c>
      <c r="B882" s="2">
        <v>46029</v>
      </c>
      <c r="C882" s="2">
        <v>46091</v>
      </c>
      <c r="D882" t="s">
        <v>1303</v>
      </c>
      <c r="E882" t="s">
        <v>21</v>
      </c>
      <c r="F882" t="s">
        <v>22</v>
      </c>
      <c r="G882" t="s">
        <v>92</v>
      </c>
      <c r="H882" t="s">
        <v>98</v>
      </c>
      <c r="I882" t="s">
        <v>42</v>
      </c>
      <c r="J882" t="s">
        <v>26</v>
      </c>
      <c r="K882" t="s">
        <v>58</v>
      </c>
      <c r="L882" t="s">
        <v>51</v>
      </c>
      <c r="M882" s="3">
        <v>88700</v>
      </c>
      <c r="N882" s="4">
        <v>0.156</v>
      </c>
      <c r="O882" s="4">
        <v>0.75</v>
      </c>
      <c r="P882" t="s">
        <v>59</v>
      </c>
      <c r="R882">
        <v>62</v>
      </c>
      <c r="S882" s="3">
        <v>6237.94</v>
      </c>
    </row>
    <row r="883" spans="1:19" x14ac:dyDescent="0.2">
      <c r="A883" t="s">
        <v>1536</v>
      </c>
      <c r="B883" s="2">
        <v>46044</v>
      </c>
      <c r="C883" s="2">
        <v>46071</v>
      </c>
      <c r="D883" t="s">
        <v>523</v>
      </c>
      <c r="E883" t="s">
        <v>21</v>
      </c>
      <c r="F883" t="s">
        <v>48</v>
      </c>
      <c r="G883" t="s">
        <v>92</v>
      </c>
      <c r="H883" t="s">
        <v>137</v>
      </c>
      <c r="I883" t="s">
        <v>65</v>
      </c>
      <c r="J883" t="s">
        <v>85</v>
      </c>
      <c r="K883" t="s">
        <v>106</v>
      </c>
      <c r="L883" t="s">
        <v>28</v>
      </c>
      <c r="M883" s="3">
        <v>16700</v>
      </c>
      <c r="N883" s="4">
        <v>0.13900000000000001</v>
      </c>
      <c r="O883" s="4">
        <v>0.2</v>
      </c>
      <c r="P883" t="s">
        <v>38</v>
      </c>
      <c r="R883">
        <v>27</v>
      </c>
      <c r="S883" s="3">
        <v>1198.3499999999999</v>
      </c>
    </row>
    <row r="884" spans="1:19" x14ac:dyDescent="0.2">
      <c r="A884" t="s">
        <v>1537</v>
      </c>
      <c r="B884" s="2">
        <v>46174</v>
      </c>
      <c r="C884" s="2">
        <v>46269</v>
      </c>
      <c r="D884" t="s">
        <v>1538</v>
      </c>
      <c r="E884" t="s">
        <v>62</v>
      </c>
      <c r="F884" t="s">
        <v>22</v>
      </c>
      <c r="G884" t="s">
        <v>34</v>
      </c>
      <c r="H884" t="s">
        <v>83</v>
      </c>
      <c r="I884" t="s">
        <v>84</v>
      </c>
      <c r="J884" t="s">
        <v>57</v>
      </c>
      <c r="K884" t="s">
        <v>58</v>
      </c>
      <c r="L884" t="s">
        <v>44</v>
      </c>
      <c r="M884" s="3">
        <v>75400</v>
      </c>
      <c r="N884" s="4">
        <v>0.158</v>
      </c>
      <c r="O884" s="4">
        <v>0.75</v>
      </c>
      <c r="P884" t="s">
        <v>59</v>
      </c>
      <c r="R884">
        <v>95</v>
      </c>
      <c r="S884" s="3">
        <v>5289.88</v>
      </c>
    </row>
    <row r="885" spans="1:19" x14ac:dyDescent="0.2">
      <c r="A885" t="s">
        <v>1539</v>
      </c>
      <c r="B885" s="2">
        <v>46270</v>
      </c>
      <c r="C885" s="2">
        <v>46290</v>
      </c>
      <c r="D885" t="s">
        <v>679</v>
      </c>
      <c r="E885" t="s">
        <v>111</v>
      </c>
      <c r="F885" t="s">
        <v>48</v>
      </c>
      <c r="G885" t="s">
        <v>63</v>
      </c>
      <c r="H885" t="s">
        <v>41</v>
      </c>
      <c r="I885" t="s">
        <v>84</v>
      </c>
      <c r="J885" t="s">
        <v>57</v>
      </c>
      <c r="K885" t="s">
        <v>88</v>
      </c>
      <c r="L885" t="s">
        <v>51</v>
      </c>
      <c r="M885" s="3">
        <v>14500</v>
      </c>
      <c r="N885" s="4">
        <v>0.125</v>
      </c>
      <c r="O885" s="4">
        <v>0.35</v>
      </c>
      <c r="P885" t="s">
        <v>38</v>
      </c>
      <c r="R885">
        <v>20</v>
      </c>
      <c r="S885" s="3">
        <v>1056.92</v>
      </c>
    </row>
    <row r="886" spans="1:19" x14ac:dyDescent="0.2">
      <c r="A886" t="s">
        <v>1540</v>
      </c>
      <c r="B886" s="2">
        <v>46114</v>
      </c>
      <c r="C886" s="2">
        <v>46176</v>
      </c>
      <c r="D886" t="s">
        <v>1514</v>
      </c>
      <c r="E886" t="s">
        <v>82</v>
      </c>
      <c r="F886" t="s">
        <v>74</v>
      </c>
      <c r="G886" t="s">
        <v>63</v>
      </c>
      <c r="H886" t="s">
        <v>83</v>
      </c>
      <c r="I886" t="s">
        <v>25</v>
      </c>
      <c r="J886" t="s">
        <v>57</v>
      </c>
      <c r="K886" t="s">
        <v>50</v>
      </c>
      <c r="L886" t="s">
        <v>28</v>
      </c>
      <c r="M886" s="3">
        <v>178200</v>
      </c>
      <c r="N886" s="4">
        <v>3.7999999999999999E-2</v>
      </c>
      <c r="O886" s="4">
        <v>0.95</v>
      </c>
      <c r="P886" t="s">
        <v>29</v>
      </c>
      <c r="R886">
        <v>62</v>
      </c>
      <c r="S886" s="3">
        <v>14279.09</v>
      </c>
    </row>
    <row r="887" spans="1:19" x14ac:dyDescent="0.2">
      <c r="A887" t="s">
        <v>1541</v>
      </c>
      <c r="B887" s="2">
        <v>46075</v>
      </c>
      <c r="C887" s="2">
        <v>46155</v>
      </c>
      <c r="D887" t="s">
        <v>825</v>
      </c>
      <c r="E887" t="s">
        <v>82</v>
      </c>
      <c r="F887" t="s">
        <v>48</v>
      </c>
      <c r="G887" t="s">
        <v>34</v>
      </c>
      <c r="H887" t="s">
        <v>69</v>
      </c>
      <c r="I887" t="s">
        <v>25</v>
      </c>
      <c r="J887" t="s">
        <v>36</v>
      </c>
      <c r="K887" t="s">
        <v>50</v>
      </c>
      <c r="L887" t="s">
        <v>51</v>
      </c>
      <c r="M887" s="3">
        <v>27300</v>
      </c>
      <c r="N887" s="4">
        <v>0.16900000000000001</v>
      </c>
      <c r="O887" s="4">
        <v>1</v>
      </c>
      <c r="P887" t="s">
        <v>29</v>
      </c>
      <c r="R887">
        <v>80</v>
      </c>
      <c r="S887" s="3">
        <v>1890.18</v>
      </c>
    </row>
    <row r="888" spans="1:19" x14ac:dyDescent="0.2">
      <c r="A888" t="s">
        <v>1542</v>
      </c>
      <c r="B888" s="2">
        <v>46112</v>
      </c>
      <c r="C888" s="2">
        <v>46235</v>
      </c>
      <c r="D888" t="s">
        <v>1543</v>
      </c>
      <c r="E888" t="s">
        <v>54</v>
      </c>
      <c r="F888" t="s">
        <v>22</v>
      </c>
      <c r="G888" t="s">
        <v>34</v>
      </c>
      <c r="H888" t="s">
        <v>41</v>
      </c>
      <c r="I888" t="s">
        <v>99</v>
      </c>
      <c r="J888" t="s">
        <v>85</v>
      </c>
      <c r="K888" t="s">
        <v>106</v>
      </c>
      <c r="L888" t="s">
        <v>28</v>
      </c>
      <c r="M888" s="3">
        <v>85300</v>
      </c>
      <c r="N888" s="4">
        <v>2.4E-2</v>
      </c>
      <c r="O888" s="4">
        <v>0.15</v>
      </c>
      <c r="P888" t="s">
        <v>38</v>
      </c>
      <c r="R888">
        <v>123</v>
      </c>
      <c r="S888" s="3">
        <v>6935.65</v>
      </c>
    </row>
    <row r="889" spans="1:19" x14ac:dyDescent="0.2">
      <c r="A889" t="s">
        <v>1544</v>
      </c>
      <c r="B889" s="2">
        <v>45972</v>
      </c>
      <c r="C889" s="2">
        <v>46038</v>
      </c>
      <c r="D889" t="s">
        <v>314</v>
      </c>
      <c r="E889" t="s">
        <v>21</v>
      </c>
      <c r="F889" t="s">
        <v>48</v>
      </c>
      <c r="G889" t="s">
        <v>63</v>
      </c>
      <c r="H889" t="s">
        <v>56</v>
      </c>
      <c r="I889" t="s">
        <v>35</v>
      </c>
      <c r="J889" t="s">
        <v>57</v>
      </c>
      <c r="K889" t="s">
        <v>50</v>
      </c>
      <c r="L889" t="s">
        <v>44</v>
      </c>
      <c r="M889" s="3">
        <v>25500</v>
      </c>
      <c r="N889" s="4">
        <v>0.13100000000000001</v>
      </c>
      <c r="O889" s="4">
        <v>0.95</v>
      </c>
      <c r="P889" t="s">
        <v>29</v>
      </c>
      <c r="R889">
        <v>66</v>
      </c>
      <c r="S889" s="3">
        <v>1847.5</v>
      </c>
    </row>
    <row r="890" spans="1:19" x14ac:dyDescent="0.2">
      <c r="A890" t="s">
        <v>1545</v>
      </c>
      <c r="B890" s="2">
        <v>46118</v>
      </c>
      <c r="C890" s="2">
        <v>46185</v>
      </c>
      <c r="D890" t="s">
        <v>490</v>
      </c>
      <c r="E890" t="s">
        <v>111</v>
      </c>
      <c r="F890" t="s">
        <v>48</v>
      </c>
      <c r="G890" t="s">
        <v>23</v>
      </c>
      <c r="H890" t="s">
        <v>83</v>
      </c>
      <c r="I890" t="s">
        <v>35</v>
      </c>
      <c r="J890" t="s">
        <v>43</v>
      </c>
      <c r="K890" t="s">
        <v>50</v>
      </c>
      <c r="L890" t="s">
        <v>51</v>
      </c>
      <c r="M890" s="3">
        <v>12700</v>
      </c>
      <c r="N890" s="4">
        <v>0.123</v>
      </c>
      <c r="O890" s="4">
        <v>1</v>
      </c>
      <c r="P890" t="s">
        <v>29</v>
      </c>
      <c r="R890">
        <v>67</v>
      </c>
      <c r="S890" s="3">
        <v>928.28</v>
      </c>
    </row>
    <row r="891" spans="1:19" x14ac:dyDescent="0.2">
      <c r="A891" t="s">
        <v>1546</v>
      </c>
      <c r="B891" s="2">
        <v>46080</v>
      </c>
      <c r="C891" s="2">
        <v>46116</v>
      </c>
      <c r="D891" t="s">
        <v>1547</v>
      </c>
      <c r="E891" t="s">
        <v>21</v>
      </c>
      <c r="F891" t="s">
        <v>48</v>
      </c>
      <c r="G891" t="s">
        <v>23</v>
      </c>
      <c r="H891" t="s">
        <v>137</v>
      </c>
      <c r="I891" t="s">
        <v>84</v>
      </c>
      <c r="J891" t="s">
        <v>57</v>
      </c>
      <c r="K891" t="s">
        <v>27</v>
      </c>
      <c r="L891" t="s">
        <v>51</v>
      </c>
      <c r="M891" s="3">
        <v>19800</v>
      </c>
      <c r="N891" s="4">
        <v>0</v>
      </c>
      <c r="O891" s="4">
        <v>0</v>
      </c>
      <c r="P891" t="s">
        <v>29</v>
      </c>
      <c r="Q891" t="s">
        <v>188</v>
      </c>
      <c r="R891">
        <v>36</v>
      </c>
      <c r="S891" s="3">
        <v>1650</v>
      </c>
    </row>
    <row r="892" spans="1:19" x14ac:dyDescent="0.2">
      <c r="A892" t="s">
        <v>1548</v>
      </c>
      <c r="B892" s="2">
        <v>46079</v>
      </c>
      <c r="C892" s="2">
        <v>46129</v>
      </c>
      <c r="D892" t="s">
        <v>1549</v>
      </c>
      <c r="E892" t="s">
        <v>82</v>
      </c>
      <c r="F892" t="s">
        <v>74</v>
      </c>
      <c r="G892" t="s">
        <v>55</v>
      </c>
      <c r="H892" t="s">
        <v>77</v>
      </c>
      <c r="I892" t="s">
        <v>35</v>
      </c>
      <c r="J892" t="s">
        <v>36</v>
      </c>
      <c r="K892" t="s">
        <v>50</v>
      </c>
      <c r="L892" t="s">
        <v>51</v>
      </c>
      <c r="M892" s="3">
        <v>255600</v>
      </c>
      <c r="N892" s="4">
        <v>0.19900000000000001</v>
      </c>
      <c r="O892" s="4">
        <v>1</v>
      </c>
      <c r="P892" t="s">
        <v>29</v>
      </c>
      <c r="R892">
        <v>50</v>
      </c>
      <c r="S892" s="3">
        <v>17060.09</v>
      </c>
    </row>
    <row r="893" spans="1:19" x14ac:dyDescent="0.2">
      <c r="A893" t="s">
        <v>1550</v>
      </c>
      <c r="B893" s="2">
        <v>45971</v>
      </c>
      <c r="C893" s="2">
        <v>46034</v>
      </c>
      <c r="D893" t="s">
        <v>1551</v>
      </c>
      <c r="E893" t="s">
        <v>62</v>
      </c>
      <c r="F893" t="s">
        <v>48</v>
      </c>
      <c r="G893" t="s">
        <v>23</v>
      </c>
      <c r="H893" t="s">
        <v>64</v>
      </c>
      <c r="I893" t="s">
        <v>42</v>
      </c>
      <c r="J893" t="s">
        <v>26</v>
      </c>
      <c r="K893" t="s">
        <v>50</v>
      </c>
      <c r="L893" t="s">
        <v>44</v>
      </c>
      <c r="M893" s="3">
        <v>6600</v>
      </c>
      <c r="N893" s="4">
        <v>0.23599999999999999</v>
      </c>
      <c r="O893" s="4">
        <v>1</v>
      </c>
      <c r="P893" t="s">
        <v>29</v>
      </c>
      <c r="R893">
        <v>63</v>
      </c>
      <c r="S893" s="3">
        <v>420.22</v>
      </c>
    </row>
    <row r="894" spans="1:19" x14ac:dyDescent="0.2">
      <c r="A894" t="s">
        <v>1552</v>
      </c>
      <c r="B894" s="2">
        <v>45951</v>
      </c>
      <c r="C894" s="2">
        <v>46071</v>
      </c>
      <c r="D894" t="s">
        <v>1553</v>
      </c>
      <c r="E894" t="s">
        <v>33</v>
      </c>
      <c r="F894" t="s">
        <v>22</v>
      </c>
      <c r="G894" t="s">
        <v>63</v>
      </c>
      <c r="H894" t="s">
        <v>83</v>
      </c>
      <c r="I894" t="s">
        <v>99</v>
      </c>
      <c r="J894" t="s">
        <v>26</v>
      </c>
      <c r="K894" t="s">
        <v>106</v>
      </c>
      <c r="L894" t="s">
        <v>44</v>
      </c>
      <c r="M894" s="3">
        <v>52100</v>
      </c>
      <c r="N894" s="4">
        <v>6.7000000000000004E-2</v>
      </c>
      <c r="O894" s="4">
        <v>0.15</v>
      </c>
      <c r="P894" t="s">
        <v>38</v>
      </c>
      <c r="R894">
        <v>120</v>
      </c>
      <c r="S894" s="3">
        <v>4048.81</v>
      </c>
    </row>
    <row r="895" spans="1:19" x14ac:dyDescent="0.2">
      <c r="A895" t="s">
        <v>1554</v>
      </c>
      <c r="B895" s="2">
        <v>46090</v>
      </c>
      <c r="C895" s="2">
        <v>46203</v>
      </c>
      <c r="D895" t="s">
        <v>87</v>
      </c>
      <c r="E895" t="s">
        <v>33</v>
      </c>
      <c r="F895" t="s">
        <v>22</v>
      </c>
      <c r="G895" t="s">
        <v>63</v>
      </c>
      <c r="H895" t="s">
        <v>77</v>
      </c>
      <c r="I895" t="s">
        <v>99</v>
      </c>
      <c r="J895" t="s">
        <v>26</v>
      </c>
      <c r="K895" t="s">
        <v>78</v>
      </c>
      <c r="L895" t="s">
        <v>44</v>
      </c>
      <c r="M895" s="3">
        <v>72900</v>
      </c>
      <c r="N895" s="4">
        <v>4.3999999999999997E-2</v>
      </c>
      <c r="O895" s="4">
        <v>0.55000000000000004</v>
      </c>
      <c r="P895" t="s">
        <v>79</v>
      </c>
      <c r="R895">
        <v>113</v>
      </c>
      <c r="S895" s="3">
        <v>5805.05</v>
      </c>
    </row>
    <row r="896" spans="1:19" x14ac:dyDescent="0.2">
      <c r="A896" t="s">
        <v>1555</v>
      </c>
      <c r="B896" s="2">
        <v>45940</v>
      </c>
      <c r="C896" s="2">
        <v>46061</v>
      </c>
      <c r="D896" t="s">
        <v>1556</v>
      </c>
      <c r="E896" t="s">
        <v>82</v>
      </c>
      <c r="F896" t="s">
        <v>74</v>
      </c>
      <c r="G896" t="s">
        <v>23</v>
      </c>
      <c r="H896" t="s">
        <v>49</v>
      </c>
      <c r="I896" t="s">
        <v>35</v>
      </c>
      <c r="J896" t="s">
        <v>36</v>
      </c>
      <c r="K896" t="s">
        <v>37</v>
      </c>
      <c r="L896" t="s">
        <v>44</v>
      </c>
      <c r="M896" s="3">
        <v>107900</v>
      </c>
      <c r="N896" s="4">
        <v>9.2999999999999999E-2</v>
      </c>
      <c r="O896" s="4">
        <v>0.15</v>
      </c>
      <c r="P896" t="s">
        <v>38</v>
      </c>
      <c r="R896">
        <v>121</v>
      </c>
      <c r="S896" s="3">
        <v>8157.35</v>
      </c>
    </row>
    <row r="897" spans="1:19" x14ac:dyDescent="0.2">
      <c r="A897" t="s">
        <v>1557</v>
      </c>
      <c r="B897" s="2">
        <v>46196</v>
      </c>
      <c r="C897" s="2">
        <v>46277</v>
      </c>
      <c r="D897" t="s">
        <v>850</v>
      </c>
      <c r="E897" t="s">
        <v>33</v>
      </c>
      <c r="F897" t="s">
        <v>48</v>
      </c>
      <c r="G897" t="s">
        <v>23</v>
      </c>
      <c r="H897" t="s">
        <v>41</v>
      </c>
      <c r="I897" t="s">
        <v>84</v>
      </c>
      <c r="J897" t="s">
        <v>43</v>
      </c>
      <c r="K897" t="s">
        <v>50</v>
      </c>
      <c r="L897" t="s">
        <v>44</v>
      </c>
      <c r="M897" s="3">
        <v>6600</v>
      </c>
      <c r="N897" s="4">
        <v>0.124</v>
      </c>
      <c r="O897" s="4">
        <v>0.95</v>
      </c>
      <c r="P897" t="s">
        <v>29</v>
      </c>
      <c r="R897">
        <v>81</v>
      </c>
      <c r="S897" s="3">
        <v>481.92</v>
      </c>
    </row>
    <row r="898" spans="1:19" x14ac:dyDescent="0.2">
      <c r="A898" t="s">
        <v>1558</v>
      </c>
      <c r="B898" s="2">
        <v>45946</v>
      </c>
      <c r="C898" s="2">
        <v>46103</v>
      </c>
      <c r="D898" t="s">
        <v>187</v>
      </c>
      <c r="E898" t="s">
        <v>54</v>
      </c>
      <c r="F898" t="s">
        <v>74</v>
      </c>
      <c r="G898" t="s">
        <v>55</v>
      </c>
      <c r="H898" t="s">
        <v>41</v>
      </c>
      <c r="I898" t="s">
        <v>25</v>
      </c>
      <c r="J898" t="s">
        <v>36</v>
      </c>
      <c r="K898" t="s">
        <v>50</v>
      </c>
      <c r="L898" t="s">
        <v>51</v>
      </c>
      <c r="M898" s="3">
        <v>83100</v>
      </c>
      <c r="N898" s="4">
        <v>0.17899999999999999</v>
      </c>
      <c r="O898" s="4">
        <v>1</v>
      </c>
      <c r="P898" t="s">
        <v>29</v>
      </c>
      <c r="R898">
        <v>157</v>
      </c>
      <c r="S898" s="3">
        <v>5686.86</v>
      </c>
    </row>
    <row r="899" spans="1:19" x14ac:dyDescent="0.2">
      <c r="A899" t="s">
        <v>1559</v>
      </c>
      <c r="B899" s="2">
        <v>46061</v>
      </c>
      <c r="C899" s="2">
        <v>46099</v>
      </c>
      <c r="D899" t="s">
        <v>461</v>
      </c>
      <c r="E899" t="s">
        <v>33</v>
      </c>
      <c r="F899" t="s">
        <v>22</v>
      </c>
      <c r="G899" t="s">
        <v>63</v>
      </c>
      <c r="H899" t="s">
        <v>83</v>
      </c>
      <c r="I899" t="s">
        <v>99</v>
      </c>
      <c r="J899" t="s">
        <v>43</v>
      </c>
      <c r="K899" t="s">
        <v>78</v>
      </c>
      <c r="L899" t="s">
        <v>28</v>
      </c>
      <c r="M899" s="3">
        <v>37200</v>
      </c>
      <c r="N899" s="4">
        <v>7.6999999999999999E-2</v>
      </c>
      <c r="O899" s="4">
        <v>0.6</v>
      </c>
      <c r="P899" t="s">
        <v>79</v>
      </c>
      <c r="R899">
        <v>38</v>
      </c>
      <c r="S899" s="3">
        <v>2861.34</v>
      </c>
    </row>
    <row r="900" spans="1:19" x14ac:dyDescent="0.2">
      <c r="A900" t="s">
        <v>1560</v>
      </c>
      <c r="B900" s="2">
        <v>46031</v>
      </c>
      <c r="C900" s="2">
        <v>46079</v>
      </c>
      <c r="D900" t="s">
        <v>352</v>
      </c>
      <c r="E900" t="s">
        <v>91</v>
      </c>
      <c r="F900" t="s">
        <v>74</v>
      </c>
      <c r="G900" t="s">
        <v>55</v>
      </c>
      <c r="H900" t="s">
        <v>77</v>
      </c>
      <c r="I900" t="s">
        <v>84</v>
      </c>
      <c r="J900" t="s">
        <v>57</v>
      </c>
      <c r="K900" t="s">
        <v>50</v>
      </c>
      <c r="L900" t="s">
        <v>28</v>
      </c>
      <c r="M900" s="3">
        <v>227400</v>
      </c>
      <c r="N900" s="4">
        <v>0.08</v>
      </c>
      <c r="O900" s="4">
        <v>1</v>
      </c>
      <c r="P900" t="s">
        <v>29</v>
      </c>
      <c r="R900">
        <v>48</v>
      </c>
      <c r="S900" s="3">
        <v>17439.740000000002</v>
      </c>
    </row>
    <row r="901" spans="1:19" x14ac:dyDescent="0.2">
      <c r="A901" t="s">
        <v>1561</v>
      </c>
      <c r="B901" s="2">
        <v>46108</v>
      </c>
      <c r="C901" s="2">
        <v>46201</v>
      </c>
      <c r="D901" t="s">
        <v>1562</v>
      </c>
      <c r="E901" t="s">
        <v>68</v>
      </c>
      <c r="F901" t="s">
        <v>48</v>
      </c>
      <c r="G901" t="s">
        <v>63</v>
      </c>
      <c r="H901" t="s">
        <v>24</v>
      </c>
      <c r="I901" t="s">
        <v>25</v>
      </c>
      <c r="J901" t="s">
        <v>36</v>
      </c>
      <c r="K901" t="s">
        <v>88</v>
      </c>
      <c r="L901" t="s">
        <v>44</v>
      </c>
      <c r="M901" s="3">
        <v>22900</v>
      </c>
      <c r="N901" s="4">
        <v>0.122</v>
      </c>
      <c r="O901" s="4">
        <v>0.3</v>
      </c>
      <c r="P901" t="s">
        <v>38</v>
      </c>
      <c r="R901">
        <v>93</v>
      </c>
      <c r="S901" s="3">
        <v>1675.11</v>
      </c>
    </row>
    <row r="902" spans="1:19" x14ac:dyDescent="0.2">
      <c r="A902" t="s">
        <v>1563</v>
      </c>
      <c r="B902" s="2">
        <v>45973</v>
      </c>
      <c r="C902" s="2">
        <v>46024</v>
      </c>
      <c r="D902" t="s">
        <v>1191</v>
      </c>
      <c r="E902" t="s">
        <v>21</v>
      </c>
      <c r="F902" t="s">
        <v>48</v>
      </c>
      <c r="G902" t="s">
        <v>34</v>
      </c>
      <c r="H902" t="s">
        <v>98</v>
      </c>
      <c r="I902" t="s">
        <v>84</v>
      </c>
      <c r="J902" t="s">
        <v>57</v>
      </c>
      <c r="K902" t="s">
        <v>106</v>
      </c>
      <c r="L902" t="s">
        <v>28</v>
      </c>
      <c r="M902" s="3">
        <v>10100</v>
      </c>
      <c r="N902" s="4">
        <v>1.7000000000000001E-2</v>
      </c>
      <c r="O902" s="4">
        <v>0.15</v>
      </c>
      <c r="P902" t="s">
        <v>38</v>
      </c>
      <c r="R902">
        <v>51</v>
      </c>
      <c r="S902" s="3">
        <v>827.3</v>
      </c>
    </row>
    <row r="903" spans="1:19" x14ac:dyDescent="0.2">
      <c r="A903" t="s">
        <v>1564</v>
      </c>
      <c r="B903" s="2">
        <v>46012</v>
      </c>
      <c r="C903" s="2">
        <v>46119</v>
      </c>
      <c r="D903" t="s">
        <v>87</v>
      </c>
      <c r="E903" t="s">
        <v>82</v>
      </c>
      <c r="F903" t="s">
        <v>22</v>
      </c>
      <c r="G903" t="s">
        <v>23</v>
      </c>
      <c r="H903" t="s">
        <v>95</v>
      </c>
      <c r="I903" t="s">
        <v>25</v>
      </c>
      <c r="J903" t="s">
        <v>36</v>
      </c>
      <c r="K903" t="s">
        <v>106</v>
      </c>
      <c r="L903" t="s">
        <v>28</v>
      </c>
      <c r="M903" s="3">
        <v>83000</v>
      </c>
      <c r="N903" s="4">
        <v>1.2E-2</v>
      </c>
      <c r="O903" s="4">
        <v>0.2</v>
      </c>
      <c r="P903" t="s">
        <v>38</v>
      </c>
      <c r="R903">
        <v>107</v>
      </c>
      <c r="S903" s="3">
        <v>6831.14</v>
      </c>
    </row>
    <row r="904" spans="1:19" x14ac:dyDescent="0.2">
      <c r="A904" t="s">
        <v>1565</v>
      </c>
      <c r="B904" s="2">
        <v>45982</v>
      </c>
      <c r="C904" s="2">
        <v>46117</v>
      </c>
      <c r="D904" t="s">
        <v>401</v>
      </c>
      <c r="E904" t="s">
        <v>91</v>
      </c>
      <c r="F904" t="s">
        <v>48</v>
      </c>
      <c r="G904" t="s">
        <v>23</v>
      </c>
      <c r="H904" t="s">
        <v>49</v>
      </c>
      <c r="I904" t="s">
        <v>25</v>
      </c>
      <c r="J904" t="s">
        <v>85</v>
      </c>
      <c r="K904" t="s">
        <v>88</v>
      </c>
      <c r="L904" t="s">
        <v>28</v>
      </c>
      <c r="M904" s="3">
        <v>10300</v>
      </c>
      <c r="N904" s="4">
        <v>5.8000000000000003E-2</v>
      </c>
      <c r="O904" s="4">
        <v>0.35</v>
      </c>
      <c r="P904" t="s">
        <v>38</v>
      </c>
      <c r="R904">
        <v>135</v>
      </c>
      <c r="S904" s="3">
        <v>808.52</v>
      </c>
    </row>
    <row r="905" spans="1:19" x14ac:dyDescent="0.2">
      <c r="A905" t="s">
        <v>1566</v>
      </c>
      <c r="B905" s="2">
        <v>46273</v>
      </c>
      <c r="C905" s="2">
        <v>46277</v>
      </c>
      <c r="D905" t="s">
        <v>1567</v>
      </c>
      <c r="E905" t="s">
        <v>62</v>
      </c>
      <c r="F905" t="s">
        <v>48</v>
      </c>
      <c r="G905" t="s">
        <v>63</v>
      </c>
      <c r="H905" t="s">
        <v>56</v>
      </c>
      <c r="I905" t="s">
        <v>84</v>
      </c>
      <c r="J905" t="s">
        <v>26</v>
      </c>
      <c r="K905" t="s">
        <v>50</v>
      </c>
      <c r="L905" t="s">
        <v>28</v>
      </c>
      <c r="M905" s="3">
        <v>20400</v>
      </c>
      <c r="N905" s="4">
        <v>0.159</v>
      </c>
      <c r="O905" s="4">
        <v>1</v>
      </c>
      <c r="P905" t="s">
        <v>29</v>
      </c>
      <c r="R905">
        <v>4</v>
      </c>
      <c r="S905" s="3">
        <v>1429.25</v>
      </c>
    </row>
    <row r="906" spans="1:19" x14ac:dyDescent="0.2">
      <c r="A906" t="s">
        <v>1568</v>
      </c>
      <c r="B906" s="2">
        <v>46111</v>
      </c>
      <c r="C906" s="2">
        <v>46249</v>
      </c>
      <c r="D906" t="s">
        <v>314</v>
      </c>
      <c r="E906" t="s">
        <v>68</v>
      </c>
      <c r="F906" t="s">
        <v>48</v>
      </c>
      <c r="G906" t="s">
        <v>92</v>
      </c>
      <c r="H906" t="s">
        <v>95</v>
      </c>
      <c r="I906" t="s">
        <v>35</v>
      </c>
      <c r="J906" t="s">
        <v>43</v>
      </c>
      <c r="K906" t="s">
        <v>58</v>
      </c>
      <c r="L906" t="s">
        <v>51</v>
      </c>
      <c r="M906" s="3">
        <v>14200</v>
      </c>
      <c r="N906" s="4">
        <v>0.123</v>
      </c>
      <c r="O906" s="4">
        <v>0.75</v>
      </c>
      <c r="P906" t="s">
        <v>59</v>
      </c>
      <c r="R906">
        <v>138</v>
      </c>
      <c r="S906" s="3">
        <v>1037.72</v>
      </c>
    </row>
    <row r="907" spans="1:19" x14ac:dyDescent="0.2">
      <c r="A907" t="s">
        <v>1569</v>
      </c>
      <c r="B907" s="2">
        <v>46051</v>
      </c>
      <c r="C907" s="2">
        <v>46095</v>
      </c>
      <c r="D907" t="s">
        <v>157</v>
      </c>
      <c r="E907" t="s">
        <v>68</v>
      </c>
      <c r="F907" t="s">
        <v>48</v>
      </c>
      <c r="G907" t="s">
        <v>34</v>
      </c>
      <c r="H907" t="s">
        <v>98</v>
      </c>
      <c r="I907" t="s">
        <v>99</v>
      </c>
      <c r="J907" t="s">
        <v>26</v>
      </c>
      <c r="K907" t="s">
        <v>58</v>
      </c>
      <c r="L907" t="s">
        <v>44</v>
      </c>
      <c r="M907" s="3">
        <v>26700</v>
      </c>
      <c r="N907" s="4">
        <v>0.18099999999999999</v>
      </c>
      <c r="O907" s="4">
        <v>0.7</v>
      </c>
      <c r="P907" t="s">
        <v>59</v>
      </c>
      <c r="R907">
        <v>44</v>
      </c>
      <c r="S907" s="3">
        <v>1822.89</v>
      </c>
    </row>
    <row r="908" spans="1:19" x14ac:dyDescent="0.2">
      <c r="A908" t="s">
        <v>1570</v>
      </c>
      <c r="B908" s="2">
        <v>46190</v>
      </c>
      <c r="C908" s="2">
        <v>46277</v>
      </c>
      <c r="D908" t="s">
        <v>908</v>
      </c>
      <c r="E908" t="s">
        <v>82</v>
      </c>
      <c r="F908" t="s">
        <v>48</v>
      </c>
      <c r="G908" t="s">
        <v>23</v>
      </c>
      <c r="H908" t="s">
        <v>95</v>
      </c>
      <c r="I908" t="s">
        <v>35</v>
      </c>
      <c r="J908" t="s">
        <v>57</v>
      </c>
      <c r="K908" t="s">
        <v>50</v>
      </c>
      <c r="L908" t="s">
        <v>44</v>
      </c>
      <c r="M908" s="3">
        <v>30000</v>
      </c>
      <c r="N908" s="4">
        <v>2.5000000000000001E-2</v>
      </c>
      <c r="O908" s="4">
        <v>0.95</v>
      </c>
      <c r="P908" t="s">
        <v>29</v>
      </c>
      <c r="R908">
        <v>87</v>
      </c>
      <c r="S908" s="3">
        <v>2438.3000000000002</v>
      </c>
    </row>
    <row r="909" spans="1:19" x14ac:dyDescent="0.2">
      <c r="A909" t="s">
        <v>1571</v>
      </c>
      <c r="B909" s="2">
        <v>46251</v>
      </c>
      <c r="C909" s="2">
        <v>46277</v>
      </c>
      <c r="D909" t="s">
        <v>1485</v>
      </c>
      <c r="E909" t="s">
        <v>111</v>
      </c>
      <c r="F909" t="s">
        <v>48</v>
      </c>
      <c r="G909" t="s">
        <v>34</v>
      </c>
      <c r="H909" t="s">
        <v>56</v>
      </c>
      <c r="I909" t="s">
        <v>42</v>
      </c>
      <c r="J909" t="s">
        <v>43</v>
      </c>
      <c r="K909" t="s">
        <v>106</v>
      </c>
      <c r="L909" t="s">
        <v>51</v>
      </c>
      <c r="M909" s="3">
        <v>23900</v>
      </c>
      <c r="N909" s="4">
        <v>0.224</v>
      </c>
      <c r="O909" s="4">
        <v>0.2</v>
      </c>
      <c r="P909" t="s">
        <v>38</v>
      </c>
      <c r="R909">
        <v>26</v>
      </c>
      <c r="S909" s="3">
        <v>1544.96</v>
      </c>
    </row>
    <row r="910" spans="1:19" x14ac:dyDescent="0.2">
      <c r="A910" t="s">
        <v>1572</v>
      </c>
      <c r="B910" s="2">
        <v>46138</v>
      </c>
      <c r="C910" s="2">
        <v>46207</v>
      </c>
      <c r="D910" t="s">
        <v>986</v>
      </c>
      <c r="E910" t="s">
        <v>111</v>
      </c>
      <c r="F910" t="s">
        <v>48</v>
      </c>
      <c r="G910" t="s">
        <v>55</v>
      </c>
      <c r="H910" t="s">
        <v>77</v>
      </c>
      <c r="I910" t="s">
        <v>84</v>
      </c>
      <c r="J910" t="s">
        <v>36</v>
      </c>
      <c r="K910" t="s">
        <v>50</v>
      </c>
      <c r="L910" t="s">
        <v>28</v>
      </c>
      <c r="M910" s="3">
        <v>7300</v>
      </c>
      <c r="N910" s="4">
        <v>0.14299999999999999</v>
      </c>
      <c r="O910" s="4">
        <v>1</v>
      </c>
      <c r="P910" t="s">
        <v>29</v>
      </c>
      <c r="R910">
        <v>69</v>
      </c>
      <c r="S910" s="3">
        <v>521.47</v>
      </c>
    </row>
    <row r="911" spans="1:19" x14ac:dyDescent="0.2">
      <c r="A911" t="s">
        <v>1573</v>
      </c>
      <c r="B911" s="2">
        <v>46107</v>
      </c>
      <c r="C911" s="2">
        <v>46161</v>
      </c>
      <c r="D911" t="s">
        <v>1228</v>
      </c>
      <c r="E911" t="s">
        <v>62</v>
      </c>
      <c r="F911" t="s">
        <v>22</v>
      </c>
      <c r="G911" t="s">
        <v>55</v>
      </c>
      <c r="H911" t="s">
        <v>98</v>
      </c>
      <c r="I911" t="s">
        <v>99</v>
      </c>
      <c r="J911" t="s">
        <v>85</v>
      </c>
      <c r="K911" t="s">
        <v>106</v>
      </c>
      <c r="L911" t="s">
        <v>44</v>
      </c>
      <c r="M911" s="3">
        <v>92800</v>
      </c>
      <c r="N911" s="4">
        <v>7.5999999999999998E-2</v>
      </c>
      <c r="O911" s="4">
        <v>0.15</v>
      </c>
      <c r="P911" t="s">
        <v>38</v>
      </c>
      <c r="R911">
        <v>54</v>
      </c>
      <c r="S911" s="3">
        <v>7143.05</v>
      </c>
    </row>
    <row r="912" spans="1:19" x14ac:dyDescent="0.2">
      <c r="A912" t="s">
        <v>1574</v>
      </c>
      <c r="B912" s="2">
        <v>45964</v>
      </c>
      <c r="C912" s="2">
        <v>46042</v>
      </c>
      <c r="D912" t="s">
        <v>348</v>
      </c>
      <c r="E912" t="s">
        <v>82</v>
      </c>
      <c r="F912" t="s">
        <v>22</v>
      </c>
      <c r="G912" t="s">
        <v>63</v>
      </c>
      <c r="H912" t="s">
        <v>56</v>
      </c>
      <c r="I912" t="s">
        <v>84</v>
      </c>
      <c r="J912" t="s">
        <v>36</v>
      </c>
      <c r="K912" t="s">
        <v>37</v>
      </c>
      <c r="L912" t="s">
        <v>44</v>
      </c>
      <c r="M912" s="3">
        <v>69000</v>
      </c>
      <c r="N912" s="4">
        <v>0.106</v>
      </c>
      <c r="O912" s="4">
        <v>0.1</v>
      </c>
      <c r="P912" t="s">
        <v>38</v>
      </c>
      <c r="R912">
        <v>78</v>
      </c>
      <c r="S912" s="3">
        <v>5142.38</v>
      </c>
    </row>
    <row r="913" spans="1:19" x14ac:dyDescent="0.2">
      <c r="A913" t="s">
        <v>1575</v>
      </c>
      <c r="B913" s="2">
        <v>46205</v>
      </c>
      <c r="C913" s="2">
        <v>46291</v>
      </c>
      <c r="D913" t="s">
        <v>834</v>
      </c>
      <c r="E913" t="s">
        <v>33</v>
      </c>
      <c r="F913" t="s">
        <v>22</v>
      </c>
      <c r="G913" t="s">
        <v>23</v>
      </c>
      <c r="H913" t="s">
        <v>41</v>
      </c>
      <c r="I913" t="s">
        <v>25</v>
      </c>
      <c r="J913" t="s">
        <v>85</v>
      </c>
      <c r="K913" t="s">
        <v>37</v>
      </c>
      <c r="L913" t="s">
        <v>44</v>
      </c>
      <c r="M913" s="3">
        <v>83600</v>
      </c>
      <c r="N913" s="4">
        <v>8.5000000000000006E-2</v>
      </c>
      <c r="O913" s="4">
        <v>0.1</v>
      </c>
      <c r="P913" t="s">
        <v>38</v>
      </c>
      <c r="R913">
        <v>86</v>
      </c>
      <c r="S913" s="3">
        <v>6373.46</v>
      </c>
    </row>
    <row r="914" spans="1:19" x14ac:dyDescent="0.2">
      <c r="A914" t="s">
        <v>1576</v>
      </c>
      <c r="B914" s="2">
        <v>46138</v>
      </c>
      <c r="C914" s="2">
        <v>46277</v>
      </c>
      <c r="D914" t="s">
        <v>1577</v>
      </c>
      <c r="E914" t="s">
        <v>33</v>
      </c>
      <c r="F914" t="s">
        <v>48</v>
      </c>
      <c r="G914" t="s">
        <v>23</v>
      </c>
      <c r="H914" t="s">
        <v>49</v>
      </c>
      <c r="I914" t="s">
        <v>84</v>
      </c>
      <c r="J914" t="s">
        <v>36</v>
      </c>
      <c r="K914" t="s">
        <v>27</v>
      </c>
      <c r="L914" t="s">
        <v>44</v>
      </c>
      <c r="M914" s="3">
        <v>22300</v>
      </c>
      <c r="N914" s="4">
        <v>0.12</v>
      </c>
      <c r="O914" s="4">
        <v>0</v>
      </c>
      <c r="P914" t="s">
        <v>29</v>
      </c>
      <c r="Q914" t="s">
        <v>126</v>
      </c>
      <c r="R914">
        <v>139</v>
      </c>
      <c r="S914" s="3">
        <v>1634.52</v>
      </c>
    </row>
    <row r="915" spans="1:19" x14ac:dyDescent="0.2">
      <c r="A915" t="s">
        <v>1578</v>
      </c>
      <c r="B915" s="2">
        <v>46126</v>
      </c>
      <c r="C915" s="2">
        <v>46202</v>
      </c>
      <c r="D915" t="s">
        <v>1579</v>
      </c>
      <c r="E915" t="s">
        <v>82</v>
      </c>
      <c r="F915" t="s">
        <v>48</v>
      </c>
      <c r="G915" t="s">
        <v>34</v>
      </c>
      <c r="H915" t="s">
        <v>24</v>
      </c>
      <c r="I915" t="s">
        <v>84</v>
      </c>
      <c r="J915" t="s">
        <v>43</v>
      </c>
      <c r="K915" t="s">
        <v>78</v>
      </c>
      <c r="L915" t="s">
        <v>44</v>
      </c>
      <c r="M915" s="3">
        <v>28400</v>
      </c>
      <c r="N915" s="4">
        <v>0.185</v>
      </c>
      <c r="O915" s="4">
        <v>0.55000000000000004</v>
      </c>
      <c r="P915" t="s">
        <v>79</v>
      </c>
      <c r="R915">
        <v>76</v>
      </c>
      <c r="S915" s="3">
        <v>1929</v>
      </c>
    </row>
    <row r="916" spans="1:19" x14ac:dyDescent="0.2">
      <c r="A916" t="s">
        <v>1580</v>
      </c>
      <c r="B916" s="2">
        <v>46010</v>
      </c>
      <c r="C916" s="2">
        <v>46105</v>
      </c>
      <c r="D916" t="s">
        <v>1581</v>
      </c>
      <c r="E916" t="s">
        <v>68</v>
      </c>
      <c r="F916" t="s">
        <v>74</v>
      </c>
      <c r="G916" t="s">
        <v>63</v>
      </c>
      <c r="H916" t="s">
        <v>24</v>
      </c>
      <c r="I916" t="s">
        <v>35</v>
      </c>
      <c r="J916" t="s">
        <v>36</v>
      </c>
      <c r="K916" t="s">
        <v>50</v>
      </c>
      <c r="L916" t="s">
        <v>28</v>
      </c>
      <c r="M916" s="3">
        <v>264500</v>
      </c>
      <c r="N916" s="4">
        <v>0.22500000000000001</v>
      </c>
      <c r="O916" s="4">
        <v>1</v>
      </c>
      <c r="P916" t="s">
        <v>29</v>
      </c>
      <c r="R916">
        <v>95</v>
      </c>
      <c r="S916" s="3">
        <v>17090.97</v>
      </c>
    </row>
    <row r="917" spans="1:19" x14ac:dyDescent="0.2">
      <c r="A917" t="s">
        <v>1582</v>
      </c>
      <c r="B917" s="2">
        <v>46172</v>
      </c>
      <c r="C917" s="2">
        <v>46258</v>
      </c>
      <c r="D917" t="s">
        <v>1583</v>
      </c>
      <c r="E917" t="s">
        <v>62</v>
      </c>
      <c r="F917" t="s">
        <v>48</v>
      </c>
      <c r="G917" t="s">
        <v>55</v>
      </c>
      <c r="H917" t="s">
        <v>64</v>
      </c>
      <c r="I917" t="s">
        <v>25</v>
      </c>
      <c r="J917" t="s">
        <v>26</v>
      </c>
      <c r="K917" t="s">
        <v>106</v>
      </c>
      <c r="L917" t="s">
        <v>28</v>
      </c>
      <c r="M917" s="3">
        <v>7800</v>
      </c>
      <c r="N917" s="4">
        <v>0.112</v>
      </c>
      <c r="O917" s="4">
        <v>0.25</v>
      </c>
      <c r="P917" t="s">
        <v>38</v>
      </c>
      <c r="R917">
        <v>86</v>
      </c>
      <c r="S917" s="3">
        <v>577.41</v>
      </c>
    </row>
    <row r="918" spans="1:19" x14ac:dyDescent="0.2">
      <c r="A918" t="s">
        <v>1584</v>
      </c>
      <c r="B918" s="2">
        <v>46038</v>
      </c>
      <c r="C918" s="2">
        <v>46146</v>
      </c>
      <c r="D918" t="s">
        <v>1585</v>
      </c>
      <c r="E918" t="s">
        <v>68</v>
      </c>
      <c r="F918" t="s">
        <v>48</v>
      </c>
      <c r="G918" t="s">
        <v>63</v>
      </c>
      <c r="H918" t="s">
        <v>83</v>
      </c>
      <c r="I918" t="s">
        <v>65</v>
      </c>
      <c r="J918" t="s">
        <v>43</v>
      </c>
      <c r="K918" t="s">
        <v>27</v>
      </c>
      <c r="L918" t="s">
        <v>28</v>
      </c>
      <c r="M918" s="3">
        <v>28500</v>
      </c>
      <c r="N918" s="4">
        <v>9.4E-2</v>
      </c>
      <c r="O918" s="4">
        <v>0</v>
      </c>
      <c r="P918" t="s">
        <v>29</v>
      </c>
      <c r="Q918" t="s">
        <v>152</v>
      </c>
      <c r="R918">
        <v>108</v>
      </c>
      <c r="S918" s="3">
        <v>2151.23</v>
      </c>
    </row>
    <row r="919" spans="1:19" x14ac:dyDescent="0.2">
      <c r="A919" t="s">
        <v>1586</v>
      </c>
      <c r="B919" s="2">
        <v>46200</v>
      </c>
      <c r="C919" s="2">
        <v>46277</v>
      </c>
      <c r="D919" t="s">
        <v>105</v>
      </c>
      <c r="E919" t="s">
        <v>82</v>
      </c>
      <c r="F919" t="s">
        <v>74</v>
      </c>
      <c r="G919" t="s">
        <v>92</v>
      </c>
      <c r="H919" t="s">
        <v>69</v>
      </c>
      <c r="I919" t="s">
        <v>99</v>
      </c>
      <c r="J919" t="s">
        <v>57</v>
      </c>
      <c r="K919" t="s">
        <v>27</v>
      </c>
      <c r="L919" t="s">
        <v>51</v>
      </c>
      <c r="M919" s="3">
        <v>169900</v>
      </c>
      <c r="N919" s="4">
        <v>0.105</v>
      </c>
      <c r="O919" s="4">
        <v>0</v>
      </c>
      <c r="P919" t="s">
        <v>29</v>
      </c>
      <c r="Q919" t="s">
        <v>152</v>
      </c>
      <c r="R919">
        <v>77</v>
      </c>
      <c r="S919" s="3">
        <v>12675.36</v>
      </c>
    </row>
    <row r="920" spans="1:19" x14ac:dyDescent="0.2">
      <c r="A920" t="s">
        <v>1587</v>
      </c>
      <c r="B920" s="2">
        <v>46111</v>
      </c>
      <c r="C920" s="2">
        <v>46144</v>
      </c>
      <c r="D920" t="s">
        <v>76</v>
      </c>
      <c r="E920" t="s">
        <v>111</v>
      </c>
      <c r="F920" t="s">
        <v>74</v>
      </c>
      <c r="G920" t="s">
        <v>92</v>
      </c>
      <c r="H920" t="s">
        <v>120</v>
      </c>
      <c r="I920" t="s">
        <v>42</v>
      </c>
      <c r="J920" t="s">
        <v>36</v>
      </c>
      <c r="K920" t="s">
        <v>88</v>
      </c>
      <c r="L920" t="s">
        <v>28</v>
      </c>
      <c r="M920" s="3">
        <v>318300</v>
      </c>
      <c r="N920" s="4">
        <v>9.5000000000000001E-2</v>
      </c>
      <c r="O920" s="4">
        <v>0.4</v>
      </c>
      <c r="P920" t="s">
        <v>38</v>
      </c>
      <c r="R920">
        <v>33</v>
      </c>
      <c r="S920" s="3">
        <v>24016.57</v>
      </c>
    </row>
    <row r="921" spans="1:19" x14ac:dyDescent="0.2">
      <c r="A921" t="s">
        <v>1588</v>
      </c>
      <c r="B921" s="2">
        <v>46131</v>
      </c>
      <c r="C921" s="2">
        <v>46194</v>
      </c>
      <c r="D921" t="s">
        <v>1445</v>
      </c>
      <c r="E921" t="s">
        <v>68</v>
      </c>
      <c r="F921" t="s">
        <v>48</v>
      </c>
      <c r="G921" t="s">
        <v>92</v>
      </c>
      <c r="H921" t="s">
        <v>24</v>
      </c>
      <c r="I921" t="s">
        <v>25</v>
      </c>
      <c r="J921" t="s">
        <v>57</v>
      </c>
      <c r="K921" t="s">
        <v>88</v>
      </c>
      <c r="L921" t="s">
        <v>44</v>
      </c>
      <c r="M921" s="3">
        <v>22700</v>
      </c>
      <c r="N921" s="4">
        <v>0.14399999999999999</v>
      </c>
      <c r="O921" s="4">
        <v>0.35</v>
      </c>
      <c r="P921" t="s">
        <v>38</v>
      </c>
      <c r="R921">
        <v>63</v>
      </c>
      <c r="S921" s="3">
        <v>1619.08</v>
      </c>
    </row>
    <row r="922" spans="1:19" x14ac:dyDescent="0.2">
      <c r="A922" t="s">
        <v>1589</v>
      </c>
      <c r="B922" s="2">
        <v>46117</v>
      </c>
      <c r="C922" s="2">
        <v>46194</v>
      </c>
      <c r="D922" t="s">
        <v>1590</v>
      </c>
      <c r="E922" t="s">
        <v>54</v>
      </c>
      <c r="F922" t="s">
        <v>48</v>
      </c>
      <c r="G922" t="s">
        <v>23</v>
      </c>
      <c r="H922" t="s">
        <v>120</v>
      </c>
      <c r="I922" t="s">
        <v>99</v>
      </c>
      <c r="J922" t="s">
        <v>85</v>
      </c>
      <c r="K922" t="s">
        <v>106</v>
      </c>
      <c r="L922" t="s">
        <v>28</v>
      </c>
      <c r="M922" s="3">
        <v>14000</v>
      </c>
      <c r="N922" s="4">
        <v>0.16900000000000001</v>
      </c>
      <c r="O922" s="4">
        <v>0.15</v>
      </c>
      <c r="P922" t="s">
        <v>38</v>
      </c>
      <c r="R922">
        <v>77</v>
      </c>
      <c r="S922" s="3">
        <v>968.96</v>
      </c>
    </row>
    <row r="923" spans="1:19" x14ac:dyDescent="0.2">
      <c r="A923" t="s">
        <v>1591</v>
      </c>
      <c r="B923" s="2">
        <v>45959</v>
      </c>
      <c r="C923" s="2">
        <v>46076</v>
      </c>
      <c r="D923" t="s">
        <v>1592</v>
      </c>
      <c r="E923" t="s">
        <v>33</v>
      </c>
      <c r="F923" t="s">
        <v>74</v>
      </c>
      <c r="G923" t="s">
        <v>63</v>
      </c>
      <c r="H923" t="s">
        <v>120</v>
      </c>
      <c r="I923" t="s">
        <v>35</v>
      </c>
      <c r="J923" t="s">
        <v>43</v>
      </c>
      <c r="K923" t="s">
        <v>37</v>
      </c>
      <c r="L923" t="s">
        <v>28</v>
      </c>
      <c r="M923" s="3">
        <v>263100</v>
      </c>
      <c r="N923" s="4">
        <v>0</v>
      </c>
      <c r="O923" s="4">
        <v>0.1</v>
      </c>
      <c r="P923" t="s">
        <v>38</v>
      </c>
      <c r="R923">
        <v>117</v>
      </c>
      <c r="S923" s="3">
        <v>21925</v>
      </c>
    </row>
    <row r="924" spans="1:19" x14ac:dyDescent="0.2">
      <c r="A924" t="s">
        <v>1593</v>
      </c>
      <c r="B924" s="2">
        <v>46132</v>
      </c>
      <c r="C924" s="2">
        <v>46227</v>
      </c>
      <c r="D924" t="s">
        <v>163</v>
      </c>
      <c r="E924" t="s">
        <v>68</v>
      </c>
      <c r="F924" t="s">
        <v>22</v>
      </c>
      <c r="G924" t="s">
        <v>34</v>
      </c>
      <c r="H924" t="s">
        <v>69</v>
      </c>
      <c r="I924" t="s">
        <v>84</v>
      </c>
      <c r="J924" t="s">
        <v>85</v>
      </c>
      <c r="K924" t="s">
        <v>27</v>
      </c>
      <c r="L924" t="s">
        <v>44</v>
      </c>
      <c r="M924" s="3">
        <v>75400</v>
      </c>
      <c r="N924" s="4">
        <v>2.9000000000000001E-2</v>
      </c>
      <c r="O924" s="4">
        <v>0</v>
      </c>
      <c r="P924" t="s">
        <v>29</v>
      </c>
      <c r="Q924" t="s">
        <v>45</v>
      </c>
      <c r="R924">
        <v>95</v>
      </c>
      <c r="S924" s="3">
        <v>6098.3</v>
      </c>
    </row>
    <row r="925" spans="1:19" x14ac:dyDescent="0.2">
      <c r="A925" t="s">
        <v>1594</v>
      </c>
      <c r="B925" s="2">
        <v>46250</v>
      </c>
      <c r="C925" s="2">
        <v>46271</v>
      </c>
      <c r="D925" t="s">
        <v>1577</v>
      </c>
      <c r="E925" t="s">
        <v>82</v>
      </c>
      <c r="F925" t="s">
        <v>48</v>
      </c>
      <c r="G925" t="s">
        <v>23</v>
      </c>
      <c r="H925" t="s">
        <v>64</v>
      </c>
      <c r="I925" t="s">
        <v>42</v>
      </c>
      <c r="J925" t="s">
        <v>26</v>
      </c>
      <c r="K925" t="s">
        <v>27</v>
      </c>
      <c r="L925" t="s">
        <v>44</v>
      </c>
      <c r="M925" s="3">
        <v>12000</v>
      </c>
      <c r="N925" s="4">
        <v>0.14399999999999999</v>
      </c>
      <c r="O925" s="4">
        <v>0</v>
      </c>
      <c r="P925" t="s">
        <v>29</v>
      </c>
      <c r="Q925" t="s">
        <v>209</v>
      </c>
      <c r="R925">
        <v>21</v>
      </c>
      <c r="S925" s="3">
        <v>856.46</v>
      </c>
    </row>
    <row r="926" spans="1:19" x14ac:dyDescent="0.2">
      <c r="A926" t="s">
        <v>1595</v>
      </c>
      <c r="B926" s="2">
        <v>46276</v>
      </c>
      <c r="C926" s="2">
        <v>46277</v>
      </c>
      <c r="D926" t="s">
        <v>1567</v>
      </c>
      <c r="E926" t="s">
        <v>68</v>
      </c>
      <c r="F926" t="s">
        <v>48</v>
      </c>
      <c r="G926" t="s">
        <v>63</v>
      </c>
      <c r="H926" t="s">
        <v>56</v>
      </c>
      <c r="I926" t="s">
        <v>65</v>
      </c>
      <c r="J926" t="s">
        <v>36</v>
      </c>
      <c r="K926" t="s">
        <v>50</v>
      </c>
      <c r="L926" t="s">
        <v>51</v>
      </c>
      <c r="M926" s="3">
        <v>16300</v>
      </c>
      <c r="N926" s="4">
        <v>0.13</v>
      </c>
      <c r="O926" s="4">
        <v>1</v>
      </c>
      <c r="P926" t="s">
        <v>29</v>
      </c>
      <c r="R926">
        <v>1</v>
      </c>
      <c r="S926" s="3">
        <v>1181.77</v>
      </c>
    </row>
    <row r="927" spans="1:19" x14ac:dyDescent="0.2">
      <c r="A927" t="s">
        <v>1596</v>
      </c>
      <c r="B927" s="2">
        <v>46077</v>
      </c>
      <c r="C927" s="2">
        <v>46174</v>
      </c>
      <c r="D927" t="s">
        <v>790</v>
      </c>
      <c r="E927" t="s">
        <v>62</v>
      </c>
      <c r="F927" t="s">
        <v>74</v>
      </c>
      <c r="G927" t="s">
        <v>34</v>
      </c>
      <c r="H927" t="s">
        <v>64</v>
      </c>
      <c r="I927" t="s">
        <v>84</v>
      </c>
      <c r="J927" t="s">
        <v>43</v>
      </c>
      <c r="K927" t="s">
        <v>88</v>
      </c>
      <c r="L927" t="s">
        <v>44</v>
      </c>
      <c r="M927" s="3">
        <v>328800</v>
      </c>
      <c r="N927" s="4">
        <v>1E-3</v>
      </c>
      <c r="O927" s="4">
        <v>0.35</v>
      </c>
      <c r="P927" t="s">
        <v>38</v>
      </c>
      <c r="R927">
        <v>97</v>
      </c>
      <c r="S927" s="3">
        <v>27366.12</v>
      </c>
    </row>
    <row r="928" spans="1:19" x14ac:dyDescent="0.2">
      <c r="A928" t="s">
        <v>1597</v>
      </c>
      <c r="B928" s="2">
        <v>46123</v>
      </c>
      <c r="C928" s="2">
        <v>46237</v>
      </c>
      <c r="D928" t="s">
        <v>344</v>
      </c>
      <c r="E928" t="s">
        <v>54</v>
      </c>
      <c r="F928" t="s">
        <v>48</v>
      </c>
      <c r="G928" t="s">
        <v>34</v>
      </c>
      <c r="H928" t="s">
        <v>56</v>
      </c>
      <c r="I928" t="s">
        <v>84</v>
      </c>
      <c r="J928" t="s">
        <v>26</v>
      </c>
      <c r="K928" t="s">
        <v>78</v>
      </c>
      <c r="L928" t="s">
        <v>28</v>
      </c>
      <c r="M928" s="3">
        <v>27800</v>
      </c>
      <c r="N928" s="4">
        <v>8.4000000000000005E-2</v>
      </c>
      <c r="O928" s="4">
        <v>0.55000000000000004</v>
      </c>
      <c r="P928" t="s">
        <v>79</v>
      </c>
      <c r="R928">
        <v>114</v>
      </c>
      <c r="S928" s="3">
        <v>2121.15</v>
      </c>
    </row>
    <row r="929" spans="1:19" x14ac:dyDescent="0.2">
      <c r="A929" t="s">
        <v>1598</v>
      </c>
      <c r="B929" s="2">
        <v>46056</v>
      </c>
      <c r="C929" s="2">
        <v>46137</v>
      </c>
      <c r="D929" t="s">
        <v>1599</v>
      </c>
      <c r="E929" t="s">
        <v>21</v>
      </c>
      <c r="F929" t="s">
        <v>48</v>
      </c>
      <c r="G929" t="s">
        <v>55</v>
      </c>
      <c r="H929" t="s">
        <v>120</v>
      </c>
      <c r="I929" t="s">
        <v>99</v>
      </c>
      <c r="J929" t="s">
        <v>43</v>
      </c>
      <c r="K929" t="s">
        <v>37</v>
      </c>
      <c r="L929" t="s">
        <v>28</v>
      </c>
      <c r="M929" s="3">
        <v>11000</v>
      </c>
      <c r="N929" s="4">
        <v>0.15</v>
      </c>
      <c r="O929" s="4">
        <v>0.1</v>
      </c>
      <c r="P929" t="s">
        <v>38</v>
      </c>
      <c r="R929">
        <v>81</v>
      </c>
      <c r="S929" s="3">
        <v>779.42</v>
      </c>
    </row>
    <row r="930" spans="1:19" x14ac:dyDescent="0.2">
      <c r="A930" t="s">
        <v>1600</v>
      </c>
      <c r="B930" s="2">
        <v>46165</v>
      </c>
      <c r="C930" s="2">
        <v>46317</v>
      </c>
      <c r="D930" t="s">
        <v>1601</v>
      </c>
      <c r="E930" t="s">
        <v>62</v>
      </c>
      <c r="F930" t="s">
        <v>22</v>
      </c>
      <c r="G930" t="s">
        <v>34</v>
      </c>
      <c r="H930" t="s">
        <v>98</v>
      </c>
      <c r="I930" t="s">
        <v>65</v>
      </c>
      <c r="J930" t="s">
        <v>43</v>
      </c>
      <c r="K930" t="s">
        <v>58</v>
      </c>
      <c r="L930" t="s">
        <v>44</v>
      </c>
      <c r="M930" s="3">
        <v>89800</v>
      </c>
      <c r="N930" s="4">
        <v>0.08</v>
      </c>
      <c r="O930" s="4">
        <v>0.7</v>
      </c>
      <c r="P930" t="s">
        <v>59</v>
      </c>
      <c r="R930">
        <v>152</v>
      </c>
      <c r="S930" s="3">
        <v>6883.18</v>
      </c>
    </row>
    <row r="931" spans="1:19" x14ac:dyDescent="0.2">
      <c r="A931" t="s">
        <v>1602</v>
      </c>
      <c r="B931" s="2">
        <v>46264</v>
      </c>
      <c r="C931" s="2">
        <v>46289</v>
      </c>
      <c r="D931" t="s">
        <v>898</v>
      </c>
      <c r="E931" t="s">
        <v>82</v>
      </c>
      <c r="F931" t="s">
        <v>74</v>
      </c>
      <c r="G931" t="s">
        <v>34</v>
      </c>
      <c r="H931" t="s">
        <v>83</v>
      </c>
      <c r="I931" t="s">
        <v>99</v>
      </c>
      <c r="J931" t="s">
        <v>57</v>
      </c>
      <c r="K931" t="s">
        <v>106</v>
      </c>
      <c r="L931" t="s">
        <v>28</v>
      </c>
      <c r="M931" s="3">
        <v>140200</v>
      </c>
      <c r="N931" s="4">
        <v>0.108</v>
      </c>
      <c r="O931" s="4">
        <v>0.15</v>
      </c>
      <c r="P931" t="s">
        <v>38</v>
      </c>
      <c r="R931">
        <v>25</v>
      </c>
      <c r="S931" s="3">
        <v>10426.82</v>
      </c>
    </row>
    <row r="932" spans="1:19" x14ac:dyDescent="0.2">
      <c r="A932" t="s">
        <v>1603</v>
      </c>
      <c r="B932" s="2">
        <v>46169</v>
      </c>
      <c r="C932" s="2">
        <v>46237</v>
      </c>
      <c r="D932" t="s">
        <v>380</v>
      </c>
      <c r="E932" t="s">
        <v>62</v>
      </c>
      <c r="F932" t="s">
        <v>48</v>
      </c>
      <c r="G932" t="s">
        <v>23</v>
      </c>
      <c r="H932" t="s">
        <v>77</v>
      </c>
      <c r="I932" t="s">
        <v>99</v>
      </c>
      <c r="J932" t="s">
        <v>57</v>
      </c>
      <c r="K932" t="s">
        <v>27</v>
      </c>
      <c r="L932" t="s">
        <v>51</v>
      </c>
      <c r="M932" s="3">
        <v>25800</v>
      </c>
      <c r="N932" s="4">
        <v>9.9000000000000005E-2</v>
      </c>
      <c r="O932" s="4">
        <v>0</v>
      </c>
      <c r="P932" t="s">
        <v>29</v>
      </c>
      <c r="Q932" t="s">
        <v>188</v>
      </c>
      <c r="R932">
        <v>68</v>
      </c>
      <c r="S932" s="3">
        <v>1936.7</v>
      </c>
    </row>
    <row r="933" spans="1:19" x14ac:dyDescent="0.2">
      <c r="A933" t="s">
        <v>1604</v>
      </c>
      <c r="B933" s="2">
        <v>45962</v>
      </c>
      <c r="C933" s="2">
        <v>46033</v>
      </c>
      <c r="D933" t="s">
        <v>507</v>
      </c>
      <c r="E933" t="s">
        <v>91</v>
      </c>
      <c r="F933" t="s">
        <v>74</v>
      </c>
      <c r="G933" t="s">
        <v>63</v>
      </c>
      <c r="H933" t="s">
        <v>56</v>
      </c>
      <c r="I933" t="s">
        <v>25</v>
      </c>
      <c r="J933" t="s">
        <v>43</v>
      </c>
      <c r="K933" t="s">
        <v>50</v>
      </c>
      <c r="L933" t="s">
        <v>51</v>
      </c>
      <c r="M933" s="3">
        <v>190200</v>
      </c>
      <c r="N933" s="4">
        <v>0.14699999999999999</v>
      </c>
      <c r="O933" s="4">
        <v>1</v>
      </c>
      <c r="P933" t="s">
        <v>29</v>
      </c>
      <c r="R933">
        <v>71</v>
      </c>
      <c r="S933" s="3">
        <v>13518.86</v>
      </c>
    </row>
    <row r="934" spans="1:19" x14ac:dyDescent="0.2">
      <c r="A934" t="s">
        <v>1605</v>
      </c>
      <c r="B934" s="2">
        <v>46181</v>
      </c>
      <c r="C934" s="2">
        <v>46285</v>
      </c>
      <c r="D934" t="s">
        <v>1149</v>
      </c>
      <c r="E934" t="s">
        <v>54</v>
      </c>
      <c r="F934" t="s">
        <v>22</v>
      </c>
      <c r="G934" t="s">
        <v>34</v>
      </c>
      <c r="H934" t="s">
        <v>77</v>
      </c>
      <c r="I934" t="s">
        <v>35</v>
      </c>
      <c r="J934" t="s">
        <v>26</v>
      </c>
      <c r="K934" t="s">
        <v>37</v>
      </c>
      <c r="L934" t="s">
        <v>44</v>
      </c>
      <c r="M934" s="3">
        <v>55700</v>
      </c>
      <c r="N934" s="4">
        <v>0</v>
      </c>
      <c r="O934" s="4">
        <v>0.15</v>
      </c>
      <c r="P934" t="s">
        <v>38</v>
      </c>
      <c r="R934">
        <v>104</v>
      </c>
      <c r="S934" s="3">
        <v>4641.67</v>
      </c>
    </row>
    <row r="935" spans="1:19" x14ac:dyDescent="0.2">
      <c r="A935" t="s">
        <v>1606</v>
      </c>
      <c r="B935" s="2">
        <v>46199</v>
      </c>
      <c r="C935" s="2">
        <v>46294</v>
      </c>
      <c r="D935" t="s">
        <v>20</v>
      </c>
      <c r="E935" t="s">
        <v>111</v>
      </c>
      <c r="F935" t="s">
        <v>22</v>
      </c>
      <c r="G935" t="s">
        <v>92</v>
      </c>
      <c r="H935" t="s">
        <v>83</v>
      </c>
      <c r="I935" t="s">
        <v>35</v>
      </c>
      <c r="J935" t="s">
        <v>43</v>
      </c>
      <c r="K935" t="s">
        <v>78</v>
      </c>
      <c r="L935" t="s">
        <v>51</v>
      </c>
      <c r="M935" s="3">
        <v>91800</v>
      </c>
      <c r="N935" s="4">
        <v>0.157</v>
      </c>
      <c r="O935" s="4">
        <v>0.5</v>
      </c>
      <c r="P935" t="s">
        <v>79</v>
      </c>
      <c r="R935">
        <v>95</v>
      </c>
      <c r="S935" s="3">
        <v>6451.26</v>
      </c>
    </row>
    <row r="936" spans="1:19" x14ac:dyDescent="0.2">
      <c r="A936" t="s">
        <v>1607</v>
      </c>
      <c r="B936" s="2">
        <v>46274</v>
      </c>
      <c r="C936" s="2">
        <v>46284</v>
      </c>
      <c r="D936" t="s">
        <v>646</v>
      </c>
      <c r="E936" t="s">
        <v>82</v>
      </c>
      <c r="F936" t="s">
        <v>48</v>
      </c>
      <c r="G936" t="s">
        <v>55</v>
      </c>
      <c r="H936" t="s">
        <v>49</v>
      </c>
      <c r="I936" t="s">
        <v>35</v>
      </c>
      <c r="J936" t="s">
        <v>85</v>
      </c>
      <c r="K936" t="s">
        <v>37</v>
      </c>
      <c r="L936" t="s">
        <v>28</v>
      </c>
      <c r="M936" s="3">
        <v>16900</v>
      </c>
      <c r="N936" s="4">
        <v>0.13800000000000001</v>
      </c>
      <c r="O936" s="4">
        <v>0.05</v>
      </c>
      <c r="P936" t="s">
        <v>38</v>
      </c>
      <c r="R936">
        <v>10</v>
      </c>
      <c r="S936" s="3">
        <v>1213.52</v>
      </c>
    </row>
    <row r="937" spans="1:19" x14ac:dyDescent="0.2">
      <c r="A937" t="s">
        <v>1608</v>
      </c>
      <c r="B937" s="2">
        <v>45955</v>
      </c>
      <c r="C937" s="2">
        <v>46097</v>
      </c>
      <c r="D937" t="s">
        <v>947</v>
      </c>
      <c r="E937" t="s">
        <v>91</v>
      </c>
      <c r="F937" t="s">
        <v>48</v>
      </c>
      <c r="G937" t="s">
        <v>92</v>
      </c>
      <c r="H937" t="s">
        <v>64</v>
      </c>
      <c r="I937" t="s">
        <v>84</v>
      </c>
      <c r="J937" t="s">
        <v>26</v>
      </c>
      <c r="K937" t="s">
        <v>78</v>
      </c>
      <c r="L937" t="s">
        <v>44</v>
      </c>
      <c r="M937" s="3">
        <v>24700</v>
      </c>
      <c r="N937" s="4">
        <v>0.161</v>
      </c>
      <c r="O937" s="4">
        <v>0.5</v>
      </c>
      <c r="P937" t="s">
        <v>79</v>
      </c>
      <c r="R937">
        <v>142</v>
      </c>
      <c r="S937" s="3">
        <v>1727.65</v>
      </c>
    </row>
    <row r="938" spans="1:19" x14ac:dyDescent="0.2">
      <c r="A938" t="s">
        <v>1609</v>
      </c>
      <c r="B938" s="2">
        <v>45963</v>
      </c>
      <c r="C938" s="2">
        <v>46066</v>
      </c>
      <c r="D938" t="s">
        <v>1326</v>
      </c>
      <c r="E938" t="s">
        <v>82</v>
      </c>
      <c r="F938" t="s">
        <v>48</v>
      </c>
      <c r="G938" t="s">
        <v>92</v>
      </c>
      <c r="H938" t="s">
        <v>49</v>
      </c>
      <c r="I938" t="s">
        <v>99</v>
      </c>
      <c r="J938" t="s">
        <v>57</v>
      </c>
      <c r="K938" t="s">
        <v>58</v>
      </c>
      <c r="L938" t="s">
        <v>51</v>
      </c>
      <c r="M938" s="3">
        <v>20600</v>
      </c>
      <c r="N938" s="4">
        <v>0.20899999999999999</v>
      </c>
      <c r="O938" s="4">
        <v>0.75</v>
      </c>
      <c r="P938" t="s">
        <v>59</v>
      </c>
      <c r="R938">
        <v>103</v>
      </c>
      <c r="S938" s="3">
        <v>1358.07</v>
      </c>
    </row>
    <row r="939" spans="1:19" x14ac:dyDescent="0.2">
      <c r="A939" t="s">
        <v>1610</v>
      </c>
      <c r="B939" s="2">
        <v>45980</v>
      </c>
      <c r="C939" s="2">
        <v>46140</v>
      </c>
      <c r="D939" t="s">
        <v>1611</v>
      </c>
      <c r="E939" t="s">
        <v>33</v>
      </c>
      <c r="F939" t="s">
        <v>22</v>
      </c>
      <c r="G939" t="s">
        <v>92</v>
      </c>
      <c r="H939" t="s">
        <v>83</v>
      </c>
      <c r="I939" t="s">
        <v>84</v>
      </c>
      <c r="J939" t="s">
        <v>85</v>
      </c>
      <c r="K939" t="s">
        <v>50</v>
      </c>
      <c r="L939" t="s">
        <v>44</v>
      </c>
      <c r="M939" s="3">
        <v>58900</v>
      </c>
      <c r="N939" s="4">
        <v>0</v>
      </c>
      <c r="O939" s="4">
        <v>1</v>
      </c>
      <c r="P939" t="s">
        <v>29</v>
      </c>
      <c r="R939">
        <v>160</v>
      </c>
      <c r="S939" s="3">
        <v>4908.33</v>
      </c>
    </row>
    <row r="940" spans="1:19" x14ac:dyDescent="0.2">
      <c r="A940" t="s">
        <v>1612</v>
      </c>
      <c r="B940" s="2">
        <v>46139</v>
      </c>
      <c r="C940" s="2">
        <v>46209</v>
      </c>
      <c r="D940" t="s">
        <v>970</v>
      </c>
      <c r="E940" t="s">
        <v>111</v>
      </c>
      <c r="F940" t="s">
        <v>22</v>
      </c>
      <c r="G940" t="s">
        <v>23</v>
      </c>
      <c r="H940" t="s">
        <v>83</v>
      </c>
      <c r="I940" t="s">
        <v>84</v>
      </c>
      <c r="J940" t="s">
        <v>85</v>
      </c>
      <c r="K940" t="s">
        <v>106</v>
      </c>
      <c r="L940" t="s">
        <v>28</v>
      </c>
      <c r="M940" s="3">
        <v>63700</v>
      </c>
      <c r="N940" s="4">
        <v>0</v>
      </c>
      <c r="O940" s="4">
        <v>0.2</v>
      </c>
      <c r="P940" t="s">
        <v>38</v>
      </c>
      <c r="R940">
        <v>70</v>
      </c>
      <c r="S940" s="3">
        <v>5308.33</v>
      </c>
    </row>
    <row r="941" spans="1:19" x14ac:dyDescent="0.2">
      <c r="A941" t="s">
        <v>1613</v>
      </c>
      <c r="B941" s="2">
        <v>46105</v>
      </c>
      <c r="C941" s="2">
        <v>46194</v>
      </c>
      <c r="D941" t="s">
        <v>406</v>
      </c>
      <c r="E941" t="s">
        <v>21</v>
      </c>
      <c r="F941" t="s">
        <v>48</v>
      </c>
      <c r="G941" t="s">
        <v>23</v>
      </c>
      <c r="H941" t="s">
        <v>56</v>
      </c>
      <c r="I941" t="s">
        <v>35</v>
      </c>
      <c r="J941" t="s">
        <v>26</v>
      </c>
      <c r="K941" t="s">
        <v>37</v>
      </c>
      <c r="L941" t="s">
        <v>28</v>
      </c>
      <c r="M941" s="3">
        <v>29200</v>
      </c>
      <c r="N941" s="4">
        <v>0.214</v>
      </c>
      <c r="O941" s="4">
        <v>0.1</v>
      </c>
      <c r="P941" t="s">
        <v>38</v>
      </c>
      <c r="R941">
        <v>89</v>
      </c>
      <c r="S941" s="3">
        <v>1912.97</v>
      </c>
    </row>
    <row r="942" spans="1:19" x14ac:dyDescent="0.2">
      <c r="A942" t="s">
        <v>1614</v>
      </c>
      <c r="B942" s="2">
        <v>46043</v>
      </c>
      <c r="C942" s="2">
        <v>46114</v>
      </c>
      <c r="D942" t="s">
        <v>1615</v>
      </c>
      <c r="E942" t="s">
        <v>91</v>
      </c>
      <c r="F942" t="s">
        <v>22</v>
      </c>
      <c r="G942" t="s">
        <v>34</v>
      </c>
      <c r="H942" t="s">
        <v>49</v>
      </c>
      <c r="I942" t="s">
        <v>42</v>
      </c>
      <c r="J942" t="s">
        <v>57</v>
      </c>
      <c r="K942" t="s">
        <v>50</v>
      </c>
      <c r="L942" t="s">
        <v>28</v>
      </c>
      <c r="M942" s="3">
        <v>33000</v>
      </c>
      <c r="N942" s="4">
        <v>0</v>
      </c>
      <c r="O942" s="4">
        <v>1</v>
      </c>
      <c r="P942" t="s">
        <v>29</v>
      </c>
      <c r="R942">
        <v>71</v>
      </c>
      <c r="S942" s="3">
        <v>2750</v>
      </c>
    </row>
    <row r="943" spans="1:19" x14ac:dyDescent="0.2">
      <c r="A943" t="s">
        <v>1616</v>
      </c>
      <c r="B943" s="2">
        <v>45969</v>
      </c>
      <c r="C943" s="2">
        <v>46117</v>
      </c>
      <c r="D943" t="s">
        <v>1617</v>
      </c>
      <c r="E943" t="s">
        <v>21</v>
      </c>
      <c r="F943" t="s">
        <v>74</v>
      </c>
      <c r="G943" t="s">
        <v>23</v>
      </c>
      <c r="H943" t="s">
        <v>41</v>
      </c>
      <c r="I943" t="s">
        <v>35</v>
      </c>
      <c r="J943" t="s">
        <v>43</v>
      </c>
      <c r="K943" t="s">
        <v>37</v>
      </c>
      <c r="L943" t="s">
        <v>51</v>
      </c>
      <c r="M943" s="3">
        <v>107300</v>
      </c>
      <c r="N943" s="4">
        <v>4.3999999999999997E-2</v>
      </c>
      <c r="O943" s="4">
        <v>0.1</v>
      </c>
      <c r="P943" t="s">
        <v>38</v>
      </c>
      <c r="R943">
        <v>148</v>
      </c>
      <c r="S943" s="3">
        <v>8546.27</v>
      </c>
    </row>
    <row r="944" spans="1:19" x14ac:dyDescent="0.2">
      <c r="A944" t="s">
        <v>1618</v>
      </c>
      <c r="B944" s="2">
        <v>45970</v>
      </c>
      <c r="C944" s="2">
        <v>46112</v>
      </c>
      <c r="D944" t="s">
        <v>1619</v>
      </c>
      <c r="E944" t="s">
        <v>62</v>
      </c>
      <c r="F944" t="s">
        <v>22</v>
      </c>
      <c r="G944" t="s">
        <v>92</v>
      </c>
      <c r="H944" t="s">
        <v>98</v>
      </c>
      <c r="I944" t="s">
        <v>42</v>
      </c>
      <c r="J944" t="s">
        <v>26</v>
      </c>
      <c r="K944" t="s">
        <v>78</v>
      </c>
      <c r="L944" t="s">
        <v>51</v>
      </c>
      <c r="M944" s="3">
        <v>36600</v>
      </c>
      <c r="N944" s="4">
        <v>0.11899999999999999</v>
      </c>
      <c r="O944" s="4">
        <v>0.6</v>
      </c>
      <c r="P944" t="s">
        <v>79</v>
      </c>
      <c r="R944">
        <v>142</v>
      </c>
      <c r="S944" s="3">
        <v>2687.06</v>
      </c>
    </row>
    <row r="945" spans="1:19" x14ac:dyDescent="0.2">
      <c r="A945" t="s">
        <v>1620</v>
      </c>
      <c r="B945" s="2">
        <v>46163</v>
      </c>
      <c r="C945" s="2">
        <v>46225</v>
      </c>
      <c r="D945" t="s">
        <v>1217</v>
      </c>
      <c r="E945" t="s">
        <v>62</v>
      </c>
      <c r="F945" t="s">
        <v>48</v>
      </c>
      <c r="G945" t="s">
        <v>23</v>
      </c>
      <c r="H945" t="s">
        <v>95</v>
      </c>
      <c r="I945" t="s">
        <v>42</v>
      </c>
      <c r="J945" t="s">
        <v>26</v>
      </c>
      <c r="K945" t="s">
        <v>106</v>
      </c>
      <c r="L945" t="s">
        <v>51</v>
      </c>
      <c r="M945" s="3">
        <v>7600</v>
      </c>
      <c r="N945" s="4">
        <v>8.5000000000000006E-2</v>
      </c>
      <c r="O945" s="4">
        <v>0.2</v>
      </c>
      <c r="P945" t="s">
        <v>38</v>
      </c>
      <c r="R945">
        <v>62</v>
      </c>
      <c r="S945" s="3">
        <v>579.39</v>
      </c>
    </row>
    <row r="946" spans="1:19" x14ac:dyDescent="0.2">
      <c r="A946" t="s">
        <v>1621</v>
      </c>
      <c r="B946" s="2">
        <v>46151</v>
      </c>
      <c r="C946" s="2">
        <v>46333</v>
      </c>
      <c r="D946" t="s">
        <v>1622</v>
      </c>
      <c r="E946" t="s">
        <v>62</v>
      </c>
      <c r="F946" t="s">
        <v>22</v>
      </c>
      <c r="G946" t="s">
        <v>23</v>
      </c>
      <c r="H946" t="s">
        <v>137</v>
      </c>
      <c r="I946" t="s">
        <v>65</v>
      </c>
      <c r="J946" t="s">
        <v>26</v>
      </c>
      <c r="K946" t="s">
        <v>106</v>
      </c>
      <c r="L946" t="s">
        <v>51</v>
      </c>
      <c r="M946" s="3">
        <v>31600</v>
      </c>
      <c r="N946" s="4">
        <v>7.9000000000000001E-2</v>
      </c>
      <c r="O946" s="4">
        <v>0.2</v>
      </c>
      <c r="P946" t="s">
        <v>38</v>
      </c>
      <c r="R946">
        <v>182</v>
      </c>
      <c r="S946" s="3">
        <v>2425.1799999999998</v>
      </c>
    </row>
    <row r="947" spans="1:19" x14ac:dyDescent="0.2">
      <c r="A947" t="s">
        <v>1623</v>
      </c>
      <c r="B947" s="2">
        <v>46269</v>
      </c>
      <c r="C947" s="2">
        <v>46295</v>
      </c>
      <c r="D947" t="s">
        <v>979</v>
      </c>
      <c r="E947" t="s">
        <v>21</v>
      </c>
      <c r="F947" t="s">
        <v>22</v>
      </c>
      <c r="G947" t="s">
        <v>55</v>
      </c>
      <c r="H947" t="s">
        <v>69</v>
      </c>
      <c r="I947" t="s">
        <v>35</v>
      </c>
      <c r="J947" t="s">
        <v>85</v>
      </c>
      <c r="K947" t="s">
        <v>37</v>
      </c>
      <c r="L947" t="s">
        <v>44</v>
      </c>
      <c r="M947" s="3">
        <v>63900</v>
      </c>
      <c r="N947" s="4">
        <v>0.08</v>
      </c>
      <c r="O947" s="4">
        <v>0.1</v>
      </c>
      <c r="P947" t="s">
        <v>38</v>
      </c>
      <c r="R947">
        <v>26</v>
      </c>
      <c r="S947" s="3">
        <v>4899.57</v>
      </c>
    </row>
    <row r="948" spans="1:19" x14ac:dyDescent="0.2">
      <c r="A948" t="s">
        <v>1624</v>
      </c>
      <c r="B948" s="2">
        <v>46046</v>
      </c>
      <c r="C948" s="2">
        <v>46130</v>
      </c>
      <c r="D948" t="s">
        <v>316</v>
      </c>
      <c r="E948" t="s">
        <v>68</v>
      </c>
      <c r="F948" t="s">
        <v>48</v>
      </c>
      <c r="G948" t="s">
        <v>34</v>
      </c>
      <c r="H948" t="s">
        <v>56</v>
      </c>
      <c r="I948" t="s">
        <v>99</v>
      </c>
      <c r="J948" t="s">
        <v>57</v>
      </c>
      <c r="K948" t="s">
        <v>88</v>
      </c>
      <c r="L948" t="s">
        <v>28</v>
      </c>
      <c r="M948" s="3">
        <v>20100</v>
      </c>
      <c r="N948" s="4">
        <v>0.10299999999999999</v>
      </c>
      <c r="O948" s="4">
        <v>0.3</v>
      </c>
      <c r="P948" t="s">
        <v>38</v>
      </c>
      <c r="R948">
        <v>84</v>
      </c>
      <c r="S948" s="3">
        <v>1501.95</v>
      </c>
    </row>
    <row r="949" spans="1:19" x14ac:dyDescent="0.2">
      <c r="A949" t="s">
        <v>1625</v>
      </c>
      <c r="B949" s="2">
        <v>46232</v>
      </c>
      <c r="C949" s="2">
        <v>46335</v>
      </c>
      <c r="D949" t="s">
        <v>330</v>
      </c>
      <c r="E949" t="s">
        <v>111</v>
      </c>
      <c r="F949" t="s">
        <v>74</v>
      </c>
      <c r="G949" t="s">
        <v>63</v>
      </c>
      <c r="H949" t="s">
        <v>69</v>
      </c>
      <c r="I949" t="s">
        <v>65</v>
      </c>
      <c r="J949" t="s">
        <v>26</v>
      </c>
      <c r="K949" t="s">
        <v>88</v>
      </c>
      <c r="L949" t="s">
        <v>51</v>
      </c>
      <c r="M949" s="3">
        <v>206800</v>
      </c>
      <c r="N949" s="4">
        <v>2.3E-2</v>
      </c>
      <c r="O949" s="4">
        <v>0.4</v>
      </c>
      <c r="P949" t="s">
        <v>38</v>
      </c>
      <c r="R949">
        <v>103</v>
      </c>
      <c r="S949" s="3">
        <v>16832.490000000002</v>
      </c>
    </row>
    <row r="950" spans="1:19" x14ac:dyDescent="0.2">
      <c r="A950" t="s">
        <v>1626</v>
      </c>
      <c r="B950" s="2">
        <v>46008</v>
      </c>
      <c r="C950" s="2">
        <v>46060</v>
      </c>
      <c r="D950" t="s">
        <v>236</v>
      </c>
      <c r="E950" t="s">
        <v>68</v>
      </c>
      <c r="F950" t="s">
        <v>74</v>
      </c>
      <c r="G950" t="s">
        <v>92</v>
      </c>
      <c r="H950" t="s">
        <v>83</v>
      </c>
      <c r="I950" t="s">
        <v>35</v>
      </c>
      <c r="J950" t="s">
        <v>43</v>
      </c>
      <c r="K950" t="s">
        <v>106</v>
      </c>
      <c r="L950" t="s">
        <v>44</v>
      </c>
      <c r="M950" s="3">
        <v>160000</v>
      </c>
      <c r="N950" s="4">
        <v>4.9000000000000002E-2</v>
      </c>
      <c r="O950" s="4">
        <v>0.15</v>
      </c>
      <c r="P950" t="s">
        <v>38</v>
      </c>
      <c r="R950">
        <v>52</v>
      </c>
      <c r="S950" s="3">
        <v>12675.09</v>
      </c>
    </row>
    <row r="951" spans="1:19" x14ac:dyDescent="0.2">
      <c r="A951" t="s">
        <v>1627</v>
      </c>
      <c r="B951" s="2">
        <v>46115</v>
      </c>
      <c r="C951" s="2">
        <v>46181</v>
      </c>
      <c r="D951" t="s">
        <v>101</v>
      </c>
      <c r="E951" t="s">
        <v>21</v>
      </c>
      <c r="F951" t="s">
        <v>48</v>
      </c>
      <c r="G951" t="s">
        <v>63</v>
      </c>
      <c r="H951" t="s">
        <v>77</v>
      </c>
      <c r="I951" t="s">
        <v>42</v>
      </c>
      <c r="J951" t="s">
        <v>43</v>
      </c>
      <c r="K951" t="s">
        <v>106</v>
      </c>
      <c r="L951" t="s">
        <v>44</v>
      </c>
      <c r="M951" s="3">
        <v>14900</v>
      </c>
      <c r="N951" s="4">
        <v>4.4999999999999998E-2</v>
      </c>
      <c r="O951" s="4">
        <v>0.2</v>
      </c>
      <c r="P951" t="s">
        <v>38</v>
      </c>
      <c r="R951">
        <v>66</v>
      </c>
      <c r="S951" s="3">
        <v>1185.4000000000001</v>
      </c>
    </row>
    <row r="952" spans="1:19" x14ac:dyDescent="0.2">
      <c r="A952" t="s">
        <v>1628</v>
      </c>
      <c r="B952" s="2">
        <v>46067</v>
      </c>
      <c r="C952" s="2">
        <v>46207</v>
      </c>
      <c r="D952" t="s">
        <v>1629</v>
      </c>
      <c r="E952" t="s">
        <v>54</v>
      </c>
      <c r="F952" t="s">
        <v>48</v>
      </c>
      <c r="G952" t="s">
        <v>63</v>
      </c>
      <c r="H952" t="s">
        <v>24</v>
      </c>
      <c r="I952" t="s">
        <v>84</v>
      </c>
      <c r="J952" t="s">
        <v>36</v>
      </c>
      <c r="K952" t="s">
        <v>37</v>
      </c>
      <c r="L952" t="s">
        <v>51</v>
      </c>
      <c r="M952" s="3">
        <v>17900</v>
      </c>
      <c r="N952" s="4">
        <v>2.9000000000000001E-2</v>
      </c>
      <c r="O952" s="4">
        <v>0.1</v>
      </c>
      <c r="P952" t="s">
        <v>38</v>
      </c>
      <c r="R952">
        <v>140</v>
      </c>
      <c r="S952" s="3">
        <v>1447.84</v>
      </c>
    </row>
    <row r="953" spans="1:19" x14ac:dyDescent="0.2">
      <c r="A953" t="s">
        <v>1630</v>
      </c>
      <c r="B953" s="2">
        <v>46064</v>
      </c>
      <c r="C953" s="2">
        <v>46189</v>
      </c>
      <c r="D953" t="s">
        <v>870</v>
      </c>
      <c r="E953" t="s">
        <v>62</v>
      </c>
      <c r="F953" t="s">
        <v>48</v>
      </c>
      <c r="G953" t="s">
        <v>23</v>
      </c>
      <c r="H953" t="s">
        <v>98</v>
      </c>
      <c r="I953" t="s">
        <v>25</v>
      </c>
      <c r="J953" t="s">
        <v>36</v>
      </c>
      <c r="K953" t="s">
        <v>78</v>
      </c>
      <c r="L953" t="s">
        <v>51</v>
      </c>
      <c r="M953" s="3">
        <v>28200</v>
      </c>
      <c r="N953" s="4">
        <v>0.13500000000000001</v>
      </c>
      <c r="O953" s="4">
        <v>0.55000000000000004</v>
      </c>
      <c r="P953" t="s">
        <v>79</v>
      </c>
      <c r="R953">
        <v>125</v>
      </c>
      <c r="S953" s="3">
        <v>2033.15</v>
      </c>
    </row>
    <row r="954" spans="1:19" x14ac:dyDescent="0.2">
      <c r="A954" t="s">
        <v>1631</v>
      </c>
      <c r="B954" s="2">
        <v>46102</v>
      </c>
      <c r="C954" s="2">
        <v>46248</v>
      </c>
      <c r="D954" t="s">
        <v>103</v>
      </c>
      <c r="E954" t="s">
        <v>62</v>
      </c>
      <c r="F954" t="s">
        <v>22</v>
      </c>
      <c r="G954" t="s">
        <v>63</v>
      </c>
      <c r="H954" t="s">
        <v>41</v>
      </c>
      <c r="I954" t="s">
        <v>84</v>
      </c>
      <c r="J954" t="s">
        <v>57</v>
      </c>
      <c r="K954" t="s">
        <v>37</v>
      </c>
      <c r="L954" t="s">
        <v>51</v>
      </c>
      <c r="M954" s="3">
        <v>48300</v>
      </c>
      <c r="N954" s="4">
        <v>0.247</v>
      </c>
      <c r="O954" s="4">
        <v>0.05</v>
      </c>
      <c r="P954" t="s">
        <v>38</v>
      </c>
      <c r="R954">
        <v>146</v>
      </c>
      <c r="S954" s="3">
        <v>3029.08</v>
      </c>
    </row>
    <row r="955" spans="1:19" x14ac:dyDescent="0.2">
      <c r="A955" t="s">
        <v>1632</v>
      </c>
      <c r="B955" s="2">
        <v>46069</v>
      </c>
      <c r="C955" s="2">
        <v>46209</v>
      </c>
      <c r="D955" t="s">
        <v>1633</v>
      </c>
      <c r="E955" t="s">
        <v>33</v>
      </c>
      <c r="F955" t="s">
        <v>48</v>
      </c>
      <c r="G955" t="s">
        <v>34</v>
      </c>
      <c r="H955" t="s">
        <v>24</v>
      </c>
      <c r="I955" t="s">
        <v>84</v>
      </c>
      <c r="J955" t="s">
        <v>85</v>
      </c>
      <c r="K955" t="s">
        <v>37</v>
      </c>
      <c r="L955" t="s">
        <v>51</v>
      </c>
      <c r="M955" s="3">
        <v>15500</v>
      </c>
      <c r="N955" s="4">
        <v>0.108</v>
      </c>
      <c r="O955" s="4">
        <v>0.15</v>
      </c>
      <c r="P955" t="s">
        <v>38</v>
      </c>
      <c r="R955">
        <v>140</v>
      </c>
      <c r="S955" s="3">
        <v>1151.58</v>
      </c>
    </row>
    <row r="956" spans="1:19" x14ac:dyDescent="0.2">
      <c r="A956" t="s">
        <v>1634</v>
      </c>
      <c r="B956" s="2">
        <v>46163</v>
      </c>
      <c r="C956" s="2">
        <v>46264</v>
      </c>
      <c r="D956" t="s">
        <v>414</v>
      </c>
      <c r="E956" t="s">
        <v>82</v>
      </c>
      <c r="F956" t="s">
        <v>48</v>
      </c>
      <c r="G956" t="s">
        <v>55</v>
      </c>
      <c r="H956" t="s">
        <v>69</v>
      </c>
      <c r="I956" t="s">
        <v>99</v>
      </c>
      <c r="J956" t="s">
        <v>43</v>
      </c>
      <c r="K956" t="s">
        <v>50</v>
      </c>
      <c r="L956" t="s">
        <v>28</v>
      </c>
      <c r="M956" s="3">
        <v>13700</v>
      </c>
      <c r="N956" s="4">
        <v>0.17499999999999999</v>
      </c>
      <c r="O956" s="4">
        <v>0.95</v>
      </c>
      <c r="P956" t="s">
        <v>29</v>
      </c>
      <c r="R956">
        <v>101</v>
      </c>
      <c r="S956" s="3">
        <v>941.94</v>
      </c>
    </row>
    <row r="957" spans="1:19" x14ac:dyDescent="0.2">
      <c r="A957" t="s">
        <v>1635</v>
      </c>
      <c r="B957" s="2">
        <v>46192</v>
      </c>
      <c r="C957" s="2">
        <v>46220</v>
      </c>
      <c r="D957" t="s">
        <v>963</v>
      </c>
      <c r="E957" t="s">
        <v>33</v>
      </c>
      <c r="F957" t="s">
        <v>22</v>
      </c>
      <c r="G957" t="s">
        <v>63</v>
      </c>
      <c r="H957" t="s">
        <v>49</v>
      </c>
      <c r="I957" t="s">
        <v>35</v>
      </c>
      <c r="J957" t="s">
        <v>43</v>
      </c>
      <c r="K957" t="s">
        <v>58</v>
      </c>
      <c r="L957" t="s">
        <v>44</v>
      </c>
      <c r="M957" s="3">
        <v>37300</v>
      </c>
      <c r="N957" s="4">
        <v>0.17199999999999999</v>
      </c>
      <c r="O957" s="4">
        <v>0.75</v>
      </c>
      <c r="P957" t="s">
        <v>59</v>
      </c>
      <c r="R957">
        <v>28</v>
      </c>
      <c r="S957" s="3">
        <v>2572.94</v>
      </c>
    </row>
    <row r="958" spans="1:19" x14ac:dyDescent="0.2">
      <c r="A958" t="s">
        <v>1636</v>
      </c>
      <c r="B958" s="2">
        <v>46260</v>
      </c>
      <c r="C958" s="2">
        <v>46329</v>
      </c>
      <c r="D958" t="s">
        <v>67</v>
      </c>
      <c r="E958" t="s">
        <v>82</v>
      </c>
      <c r="F958" t="s">
        <v>22</v>
      </c>
      <c r="G958" t="s">
        <v>34</v>
      </c>
      <c r="H958" t="s">
        <v>64</v>
      </c>
      <c r="I958" t="s">
        <v>99</v>
      </c>
      <c r="J958" t="s">
        <v>36</v>
      </c>
      <c r="K958" t="s">
        <v>58</v>
      </c>
      <c r="L958" t="s">
        <v>51</v>
      </c>
      <c r="M958" s="3">
        <v>26800</v>
      </c>
      <c r="N958" s="4">
        <v>6.7000000000000004E-2</v>
      </c>
      <c r="O958" s="4">
        <v>0.8</v>
      </c>
      <c r="P958" t="s">
        <v>59</v>
      </c>
      <c r="R958">
        <v>69</v>
      </c>
      <c r="S958" s="3">
        <v>2083.4299999999998</v>
      </c>
    </row>
    <row r="959" spans="1:19" x14ac:dyDescent="0.2">
      <c r="A959" t="s">
        <v>1637</v>
      </c>
      <c r="B959" s="2">
        <v>46206</v>
      </c>
      <c r="C959" s="2">
        <v>46300</v>
      </c>
      <c r="D959" t="s">
        <v>463</v>
      </c>
      <c r="E959" t="s">
        <v>111</v>
      </c>
      <c r="F959" t="s">
        <v>48</v>
      </c>
      <c r="G959" t="s">
        <v>34</v>
      </c>
      <c r="H959" t="s">
        <v>64</v>
      </c>
      <c r="I959" t="s">
        <v>35</v>
      </c>
      <c r="J959" t="s">
        <v>36</v>
      </c>
      <c r="K959" t="s">
        <v>78</v>
      </c>
      <c r="L959" t="s">
        <v>44</v>
      </c>
      <c r="M959" s="3">
        <v>22800</v>
      </c>
      <c r="N959" s="4">
        <v>0.122</v>
      </c>
      <c r="O959" s="4">
        <v>0.55000000000000004</v>
      </c>
      <c r="P959" t="s">
        <v>79</v>
      </c>
      <c r="R959">
        <v>94</v>
      </c>
      <c r="S959" s="3">
        <v>1668.74</v>
      </c>
    </row>
    <row r="960" spans="1:19" x14ac:dyDescent="0.2">
      <c r="A960" t="s">
        <v>1638</v>
      </c>
      <c r="B960" s="2">
        <v>46042</v>
      </c>
      <c r="C960" s="2">
        <v>46205</v>
      </c>
      <c r="D960" t="s">
        <v>427</v>
      </c>
      <c r="E960" t="s">
        <v>33</v>
      </c>
      <c r="F960" t="s">
        <v>22</v>
      </c>
      <c r="G960" t="s">
        <v>23</v>
      </c>
      <c r="H960" t="s">
        <v>95</v>
      </c>
      <c r="I960" t="s">
        <v>65</v>
      </c>
      <c r="J960" t="s">
        <v>85</v>
      </c>
      <c r="K960" t="s">
        <v>27</v>
      </c>
      <c r="L960" t="s">
        <v>28</v>
      </c>
      <c r="M960" s="3">
        <v>91000</v>
      </c>
      <c r="N960" s="4">
        <v>0.16400000000000001</v>
      </c>
      <c r="O960" s="4">
        <v>0</v>
      </c>
      <c r="P960" t="s">
        <v>29</v>
      </c>
      <c r="Q960" t="s">
        <v>45</v>
      </c>
      <c r="R960">
        <v>163</v>
      </c>
      <c r="S960" s="3">
        <v>6338.16</v>
      </c>
    </row>
    <row r="961" spans="1:19" x14ac:dyDescent="0.2">
      <c r="A961" t="s">
        <v>1639</v>
      </c>
      <c r="B961" s="2">
        <v>46010</v>
      </c>
      <c r="C961" s="2">
        <v>46101</v>
      </c>
      <c r="D961" t="s">
        <v>868</v>
      </c>
      <c r="E961" t="s">
        <v>68</v>
      </c>
      <c r="F961" t="s">
        <v>48</v>
      </c>
      <c r="G961" t="s">
        <v>55</v>
      </c>
      <c r="H961" t="s">
        <v>41</v>
      </c>
      <c r="I961" t="s">
        <v>42</v>
      </c>
      <c r="J961" t="s">
        <v>57</v>
      </c>
      <c r="K961" t="s">
        <v>50</v>
      </c>
      <c r="L961" t="s">
        <v>44</v>
      </c>
      <c r="M961" s="3">
        <v>25700</v>
      </c>
      <c r="N961" s="4">
        <v>9.8000000000000004E-2</v>
      </c>
      <c r="O961" s="4">
        <v>0.95</v>
      </c>
      <c r="P961" t="s">
        <v>29</v>
      </c>
      <c r="R961">
        <v>91</v>
      </c>
      <c r="S961" s="3">
        <v>1931.75</v>
      </c>
    </row>
    <row r="962" spans="1:19" x14ac:dyDescent="0.2">
      <c r="A962" t="s">
        <v>1640</v>
      </c>
      <c r="B962" s="2">
        <v>46095</v>
      </c>
      <c r="C962" s="2">
        <v>46233</v>
      </c>
      <c r="D962" t="s">
        <v>1347</v>
      </c>
      <c r="E962" t="s">
        <v>68</v>
      </c>
      <c r="F962" t="s">
        <v>22</v>
      </c>
      <c r="G962" t="s">
        <v>34</v>
      </c>
      <c r="H962" t="s">
        <v>98</v>
      </c>
      <c r="I962" t="s">
        <v>84</v>
      </c>
      <c r="J962" t="s">
        <v>36</v>
      </c>
      <c r="K962" t="s">
        <v>37</v>
      </c>
      <c r="L962" t="s">
        <v>51</v>
      </c>
      <c r="M962" s="3">
        <v>34500</v>
      </c>
      <c r="N962" s="4">
        <v>0</v>
      </c>
      <c r="O962" s="4">
        <v>0.1</v>
      </c>
      <c r="P962" t="s">
        <v>38</v>
      </c>
      <c r="R962">
        <v>138</v>
      </c>
      <c r="S962" s="3">
        <v>2875</v>
      </c>
    </row>
    <row r="963" spans="1:19" x14ac:dyDescent="0.2">
      <c r="A963" t="s">
        <v>1641</v>
      </c>
      <c r="B963" s="2">
        <v>46261</v>
      </c>
      <c r="C963" s="2">
        <v>46313</v>
      </c>
      <c r="D963" t="s">
        <v>1315</v>
      </c>
      <c r="E963" t="s">
        <v>68</v>
      </c>
      <c r="F963" t="s">
        <v>48</v>
      </c>
      <c r="G963" t="s">
        <v>63</v>
      </c>
      <c r="H963" t="s">
        <v>98</v>
      </c>
      <c r="I963" t="s">
        <v>25</v>
      </c>
      <c r="J963" t="s">
        <v>26</v>
      </c>
      <c r="K963" t="s">
        <v>106</v>
      </c>
      <c r="L963" t="s">
        <v>28</v>
      </c>
      <c r="M963" s="3">
        <v>15400</v>
      </c>
      <c r="N963" s="4">
        <v>0.109</v>
      </c>
      <c r="O963" s="4">
        <v>0.2</v>
      </c>
      <c r="P963" t="s">
        <v>38</v>
      </c>
      <c r="R963">
        <v>52</v>
      </c>
      <c r="S963" s="3">
        <v>1143.93</v>
      </c>
    </row>
    <row r="964" spans="1:19" x14ac:dyDescent="0.2">
      <c r="A964" t="s">
        <v>1642</v>
      </c>
      <c r="B964" s="2">
        <v>46183</v>
      </c>
      <c r="C964" s="2">
        <v>46225</v>
      </c>
      <c r="D964" t="s">
        <v>1581</v>
      </c>
      <c r="E964" t="s">
        <v>21</v>
      </c>
      <c r="F964" t="s">
        <v>22</v>
      </c>
      <c r="G964" t="s">
        <v>34</v>
      </c>
      <c r="H964" t="s">
        <v>64</v>
      </c>
      <c r="I964" t="s">
        <v>35</v>
      </c>
      <c r="J964" t="s">
        <v>26</v>
      </c>
      <c r="K964" t="s">
        <v>106</v>
      </c>
      <c r="L964" t="s">
        <v>28</v>
      </c>
      <c r="M964" s="3">
        <v>71500</v>
      </c>
      <c r="N964" s="4">
        <v>2.4E-2</v>
      </c>
      <c r="O964" s="4">
        <v>0.2</v>
      </c>
      <c r="P964" t="s">
        <v>38</v>
      </c>
      <c r="R964">
        <v>42</v>
      </c>
      <c r="S964" s="3">
        <v>5814.76</v>
      </c>
    </row>
    <row r="965" spans="1:19" x14ac:dyDescent="0.2">
      <c r="A965" t="s">
        <v>1643</v>
      </c>
      <c r="B965" s="2">
        <v>45945</v>
      </c>
      <c r="C965" s="2">
        <v>46070</v>
      </c>
      <c r="D965" t="s">
        <v>1476</v>
      </c>
      <c r="E965" t="s">
        <v>68</v>
      </c>
      <c r="F965" t="s">
        <v>74</v>
      </c>
      <c r="G965" t="s">
        <v>23</v>
      </c>
      <c r="H965" t="s">
        <v>64</v>
      </c>
      <c r="I965" t="s">
        <v>99</v>
      </c>
      <c r="J965" t="s">
        <v>43</v>
      </c>
      <c r="K965" t="s">
        <v>50</v>
      </c>
      <c r="L965" t="s">
        <v>51</v>
      </c>
      <c r="M965" s="3">
        <v>159900</v>
      </c>
      <c r="N965" s="4">
        <v>0.221</v>
      </c>
      <c r="O965" s="4">
        <v>1</v>
      </c>
      <c r="P965" t="s">
        <v>29</v>
      </c>
      <c r="R965">
        <v>125</v>
      </c>
      <c r="S965" s="3">
        <v>10378.93</v>
      </c>
    </row>
    <row r="966" spans="1:19" x14ac:dyDescent="0.2">
      <c r="A966" t="s">
        <v>1644</v>
      </c>
      <c r="B966" s="2">
        <v>46221</v>
      </c>
      <c r="C966" s="2">
        <v>46302</v>
      </c>
      <c r="D966" t="s">
        <v>800</v>
      </c>
      <c r="E966" t="s">
        <v>33</v>
      </c>
      <c r="F966" t="s">
        <v>48</v>
      </c>
      <c r="G966" t="s">
        <v>63</v>
      </c>
      <c r="H966" t="s">
        <v>95</v>
      </c>
      <c r="I966" t="s">
        <v>65</v>
      </c>
      <c r="J966" t="s">
        <v>43</v>
      </c>
      <c r="K966" t="s">
        <v>88</v>
      </c>
      <c r="L966" t="s">
        <v>28</v>
      </c>
      <c r="M966" s="3">
        <v>9600</v>
      </c>
      <c r="N966" s="4">
        <v>0.16300000000000001</v>
      </c>
      <c r="O966" s="4">
        <v>0.35</v>
      </c>
      <c r="P966" t="s">
        <v>38</v>
      </c>
      <c r="R966">
        <v>81</v>
      </c>
      <c r="S966" s="3">
        <v>669.63</v>
      </c>
    </row>
    <row r="967" spans="1:19" x14ac:dyDescent="0.2">
      <c r="A967" t="s">
        <v>1645</v>
      </c>
      <c r="B967" s="2">
        <v>46115</v>
      </c>
      <c r="C967" s="2">
        <v>46152</v>
      </c>
      <c r="D967" t="s">
        <v>1646</v>
      </c>
      <c r="E967" t="s">
        <v>111</v>
      </c>
      <c r="F967" t="s">
        <v>22</v>
      </c>
      <c r="G967" t="s">
        <v>23</v>
      </c>
      <c r="H967" t="s">
        <v>120</v>
      </c>
      <c r="I967" t="s">
        <v>99</v>
      </c>
      <c r="J967" t="s">
        <v>36</v>
      </c>
      <c r="K967" t="s">
        <v>50</v>
      </c>
      <c r="L967" t="s">
        <v>28</v>
      </c>
      <c r="M967" s="3">
        <v>87600</v>
      </c>
      <c r="N967" s="4">
        <v>0.221</v>
      </c>
      <c r="O967" s="4">
        <v>1</v>
      </c>
      <c r="P967" t="s">
        <v>29</v>
      </c>
      <c r="R967">
        <v>37</v>
      </c>
      <c r="S967" s="3">
        <v>5690.29</v>
      </c>
    </row>
    <row r="968" spans="1:19" x14ac:dyDescent="0.2">
      <c r="A968" t="s">
        <v>1647</v>
      </c>
      <c r="B968" s="2">
        <v>46274</v>
      </c>
      <c r="C968" s="2">
        <v>46308</v>
      </c>
      <c r="D968" t="s">
        <v>764</v>
      </c>
      <c r="E968" t="s">
        <v>21</v>
      </c>
      <c r="F968" t="s">
        <v>74</v>
      </c>
      <c r="G968" t="s">
        <v>63</v>
      </c>
      <c r="H968" t="s">
        <v>120</v>
      </c>
      <c r="I968" t="s">
        <v>42</v>
      </c>
      <c r="J968" t="s">
        <v>57</v>
      </c>
      <c r="K968" t="s">
        <v>78</v>
      </c>
      <c r="L968" t="s">
        <v>51</v>
      </c>
      <c r="M968" s="3">
        <v>180200</v>
      </c>
      <c r="N968" s="4">
        <v>7.9000000000000001E-2</v>
      </c>
      <c r="O968" s="4">
        <v>0.55000000000000004</v>
      </c>
      <c r="P968" t="s">
        <v>79</v>
      </c>
      <c r="R968">
        <v>34</v>
      </c>
      <c r="S968" s="3">
        <v>13830.12</v>
      </c>
    </row>
    <row r="969" spans="1:19" x14ac:dyDescent="0.2">
      <c r="A969" t="s">
        <v>1648</v>
      </c>
      <c r="B969" s="2">
        <v>46225</v>
      </c>
      <c r="C969" s="2">
        <v>46322</v>
      </c>
      <c r="D969" t="s">
        <v>1649</v>
      </c>
      <c r="E969" t="s">
        <v>111</v>
      </c>
      <c r="F969" t="s">
        <v>48</v>
      </c>
      <c r="G969" t="s">
        <v>23</v>
      </c>
      <c r="H969" t="s">
        <v>120</v>
      </c>
      <c r="I969" t="s">
        <v>42</v>
      </c>
      <c r="J969" t="s">
        <v>26</v>
      </c>
      <c r="K969" t="s">
        <v>78</v>
      </c>
      <c r="L969" t="s">
        <v>51</v>
      </c>
      <c r="M969" s="3">
        <v>9400</v>
      </c>
      <c r="N969" s="4">
        <v>0.09</v>
      </c>
      <c r="O969" s="4">
        <v>0.5</v>
      </c>
      <c r="P969" t="s">
        <v>79</v>
      </c>
      <c r="R969">
        <v>97</v>
      </c>
      <c r="S969" s="3">
        <v>712.71</v>
      </c>
    </row>
    <row r="970" spans="1:19" x14ac:dyDescent="0.2">
      <c r="A970" t="s">
        <v>1650</v>
      </c>
      <c r="B970" s="2">
        <v>46116</v>
      </c>
      <c r="C970" s="2">
        <v>46240</v>
      </c>
      <c r="D970" t="s">
        <v>498</v>
      </c>
      <c r="E970" t="s">
        <v>33</v>
      </c>
      <c r="F970" t="s">
        <v>48</v>
      </c>
      <c r="G970" t="s">
        <v>92</v>
      </c>
      <c r="H970" t="s">
        <v>69</v>
      </c>
      <c r="I970" t="s">
        <v>65</v>
      </c>
      <c r="J970" t="s">
        <v>57</v>
      </c>
      <c r="K970" t="s">
        <v>37</v>
      </c>
      <c r="L970" t="s">
        <v>28</v>
      </c>
      <c r="M970" s="3">
        <v>24000</v>
      </c>
      <c r="N970" s="4">
        <v>0</v>
      </c>
      <c r="O970" s="4">
        <v>0.1</v>
      </c>
      <c r="P970" t="s">
        <v>38</v>
      </c>
      <c r="R970">
        <v>124</v>
      </c>
      <c r="S970" s="3">
        <v>2000</v>
      </c>
    </row>
    <row r="971" spans="1:19" x14ac:dyDescent="0.2">
      <c r="A971" t="s">
        <v>1651</v>
      </c>
      <c r="B971" s="2">
        <v>46066</v>
      </c>
      <c r="C971" s="2">
        <v>46134</v>
      </c>
      <c r="D971" t="s">
        <v>1109</v>
      </c>
      <c r="E971" t="s">
        <v>62</v>
      </c>
      <c r="F971" t="s">
        <v>74</v>
      </c>
      <c r="G971" t="s">
        <v>63</v>
      </c>
      <c r="H971" t="s">
        <v>64</v>
      </c>
      <c r="I971" t="s">
        <v>35</v>
      </c>
      <c r="J971" t="s">
        <v>57</v>
      </c>
      <c r="K971" t="s">
        <v>88</v>
      </c>
      <c r="L971" t="s">
        <v>51</v>
      </c>
      <c r="M971" s="3">
        <v>210500</v>
      </c>
      <c r="N971" s="4">
        <v>0.14099999999999999</v>
      </c>
      <c r="O971" s="4">
        <v>0.35</v>
      </c>
      <c r="P971" t="s">
        <v>38</v>
      </c>
      <c r="R971">
        <v>68</v>
      </c>
      <c r="S971" s="3">
        <v>15077.02</v>
      </c>
    </row>
    <row r="972" spans="1:19" x14ac:dyDescent="0.2">
      <c r="A972" t="s">
        <v>1652</v>
      </c>
      <c r="B972" s="2">
        <v>45934</v>
      </c>
      <c r="C972" s="2">
        <v>46048</v>
      </c>
      <c r="D972" t="s">
        <v>612</v>
      </c>
      <c r="E972" t="s">
        <v>33</v>
      </c>
      <c r="F972" t="s">
        <v>22</v>
      </c>
      <c r="G972" t="s">
        <v>55</v>
      </c>
      <c r="H972" t="s">
        <v>137</v>
      </c>
      <c r="I972" t="s">
        <v>99</v>
      </c>
      <c r="J972" t="s">
        <v>57</v>
      </c>
      <c r="K972" t="s">
        <v>88</v>
      </c>
      <c r="L972" t="s">
        <v>51</v>
      </c>
      <c r="M972" s="3">
        <v>86800</v>
      </c>
      <c r="N972" s="4">
        <v>0</v>
      </c>
      <c r="O972" s="4">
        <v>0.35</v>
      </c>
      <c r="P972" t="s">
        <v>38</v>
      </c>
      <c r="R972">
        <v>114</v>
      </c>
      <c r="S972" s="3">
        <v>7233.33</v>
      </c>
    </row>
    <row r="973" spans="1:19" x14ac:dyDescent="0.2">
      <c r="A973" t="s">
        <v>1653</v>
      </c>
      <c r="B973" s="2">
        <v>46255</v>
      </c>
      <c r="C973" s="2">
        <v>46280</v>
      </c>
      <c r="D973" t="s">
        <v>1510</v>
      </c>
      <c r="E973" t="s">
        <v>54</v>
      </c>
      <c r="F973" t="s">
        <v>48</v>
      </c>
      <c r="G973" t="s">
        <v>55</v>
      </c>
      <c r="H973" t="s">
        <v>64</v>
      </c>
      <c r="I973" t="s">
        <v>84</v>
      </c>
      <c r="J973" t="s">
        <v>85</v>
      </c>
      <c r="K973" t="s">
        <v>37</v>
      </c>
      <c r="L973" t="s">
        <v>44</v>
      </c>
      <c r="M973" s="3">
        <v>19800</v>
      </c>
      <c r="N973" s="4">
        <v>0.10199999999999999</v>
      </c>
      <c r="O973" s="4">
        <v>0.1</v>
      </c>
      <c r="P973" t="s">
        <v>38</v>
      </c>
      <c r="R973">
        <v>25</v>
      </c>
      <c r="S973" s="3">
        <v>1482.24</v>
      </c>
    </row>
    <row r="974" spans="1:19" x14ac:dyDescent="0.2">
      <c r="A974" t="s">
        <v>1654</v>
      </c>
      <c r="B974" s="2">
        <v>45950</v>
      </c>
      <c r="C974" s="2">
        <v>45991</v>
      </c>
      <c r="D974" t="s">
        <v>1112</v>
      </c>
      <c r="E974" t="s">
        <v>33</v>
      </c>
      <c r="F974" t="s">
        <v>22</v>
      </c>
      <c r="G974" t="s">
        <v>63</v>
      </c>
      <c r="H974" t="s">
        <v>41</v>
      </c>
      <c r="I974" t="s">
        <v>35</v>
      </c>
      <c r="J974" t="s">
        <v>43</v>
      </c>
      <c r="K974" t="s">
        <v>78</v>
      </c>
      <c r="L974" t="s">
        <v>51</v>
      </c>
      <c r="M974" s="3">
        <v>89200</v>
      </c>
      <c r="N974" s="4">
        <v>4.2000000000000003E-2</v>
      </c>
      <c r="O974" s="4">
        <v>0.6</v>
      </c>
      <c r="P974" t="s">
        <v>79</v>
      </c>
      <c r="R974">
        <v>41</v>
      </c>
      <c r="S974" s="3">
        <v>7120.28</v>
      </c>
    </row>
    <row r="975" spans="1:19" x14ac:dyDescent="0.2">
      <c r="A975" t="s">
        <v>1655</v>
      </c>
      <c r="B975" s="2">
        <v>46225</v>
      </c>
      <c r="C975" s="2">
        <v>46259</v>
      </c>
      <c r="D975" t="s">
        <v>1656</v>
      </c>
      <c r="E975" t="s">
        <v>21</v>
      </c>
      <c r="F975" t="s">
        <v>48</v>
      </c>
      <c r="G975" t="s">
        <v>23</v>
      </c>
      <c r="H975" t="s">
        <v>24</v>
      </c>
      <c r="I975" t="s">
        <v>65</v>
      </c>
      <c r="J975" t="s">
        <v>26</v>
      </c>
      <c r="K975" t="s">
        <v>106</v>
      </c>
      <c r="L975" t="s">
        <v>28</v>
      </c>
      <c r="M975" s="3">
        <v>14600</v>
      </c>
      <c r="N975" s="4">
        <v>0.19600000000000001</v>
      </c>
      <c r="O975" s="4">
        <v>0.2</v>
      </c>
      <c r="P975" t="s">
        <v>38</v>
      </c>
      <c r="R975">
        <v>34</v>
      </c>
      <c r="S975" s="3">
        <v>978.39</v>
      </c>
    </row>
    <row r="976" spans="1:19" x14ac:dyDescent="0.2">
      <c r="A976" t="s">
        <v>1657</v>
      </c>
      <c r="B976" s="2">
        <v>46124</v>
      </c>
      <c r="C976" s="2">
        <v>46269</v>
      </c>
      <c r="D976" t="s">
        <v>1658</v>
      </c>
      <c r="E976" t="s">
        <v>68</v>
      </c>
      <c r="F976" t="s">
        <v>22</v>
      </c>
      <c r="G976" t="s">
        <v>23</v>
      </c>
      <c r="H976" t="s">
        <v>83</v>
      </c>
      <c r="I976" t="s">
        <v>99</v>
      </c>
      <c r="J976" t="s">
        <v>26</v>
      </c>
      <c r="K976" t="s">
        <v>58</v>
      </c>
      <c r="L976" t="s">
        <v>44</v>
      </c>
      <c r="M976" s="3">
        <v>48700</v>
      </c>
      <c r="N976" s="4">
        <v>0.161</v>
      </c>
      <c r="O976" s="4">
        <v>0.75</v>
      </c>
      <c r="P976" t="s">
        <v>59</v>
      </c>
      <c r="R976">
        <v>145</v>
      </c>
      <c r="S976" s="3">
        <v>3404.45</v>
      </c>
    </row>
    <row r="977" spans="1:19" x14ac:dyDescent="0.2">
      <c r="A977" t="s">
        <v>1659</v>
      </c>
      <c r="B977" s="2">
        <v>46239</v>
      </c>
      <c r="C977" s="2">
        <v>46262</v>
      </c>
      <c r="D977" t="s">
        <v>581</v>
      </c>
      <c r="E977" t="s">
        <v>21</v>
      </c>
      <c r="F977" t="s">
        <v>48</v>
      </c>
      <c r="G977" t="s">
        <v>23</v>
      </c>
      <c r="H977" t="s">
        <v>64</v>
      </c>
      <c r="I977" t="s">
        <v>42</v>
      </c>
      <c r="J977" t="s">
        <v>36</v>
      </c>
      <c r="K977" t="s">
        <v>50</v>
      </c>
      <c r="L977" t="s">
        <v>44</v>
      </c>
      <c r="M977" s="3">
        <v>27200</v>
      </c>
      <c r="N977" s="4">
        <v>0.152</v>
      </c>
      <c r="O977" s="4">
        <v>1</v>
      </c>
      <c r="P977" t="s">
        <v>29</v>
      </c>
      <c r="R977">
        <v>23</v>
      </c>
      <c r="S977" s="3">
        <v>1922.69</v>
      </c>
    </row>
    <row r="978" spans="1:19" x14ac:dyDescent="0.2">
      <c r="A978" t="s">
        <v>1660</v>
      </c>
      <c r="B978" s="2">
        <v>46040</v>
      </c>
      <c r="C978" s="2">
        <v>46155</v>
      </c>
      <c r="D978" t="s">
        <v>435</v>
      </c>
      <c r="E978" t="s">
        <v>62</v>
      </c>
      <c r="F978" t="s">
        <v>48</v>
      </c>
      <c r="G978" t="s">
        <v>23</v>
      </c>
      <c r="H978" t="s">
        <v>120</v>
      </c>
      <c r="I978" t="s">
        <v>42</v>
      </c>
      <c r="J978" t="s">
        <v>36</v>
      </c>
      <c r="K978" t="s">
        <v>37</v>
      </c>
      <c r="L978" t="s">
        <v>28</v>
      </c>
      <c r="M978" s="3">
        <v>16100</v>
      </c>
      <c r="N978" s="4">
        <v>0.125</v>
      </c>
      <c r="O978" s="4">
        <v>0.1</v>
      </c>
      <c r="P978" t="s">
        <v>38</v>
      </c>
      <c r="R978">
        <v>115</v>
      </c>
      <c r="S978" s="3">
        <v>1173.48</v>
      </c>
    </row>
    <row r="979" spans="1:19" x14ac:dyDescent="0.2">
      <c r="A979" t="s">
        <v>1661</v>
      </c>
      <c r="B979" s="2">
        <v>46223</v>
      </c>
      <c r="C979" s="2">
        <v>46253</v>
      </c>
      <c r="D979" t="s">
        <v>1629</v>
      </c>
      <c r="E979" t="s">
        <v>111</v>
      </c>
      <c r="F979" t="s">
        <v>74</v>
      </c>
      <c r="G979" t="s">
        <v>55</v>
      </c>
      <c r="H979" t="s">
        <v>83</v>
      </c>
      <c r="I979" t="s">
        <v>99</v>
      </c>
      <c r="J979" t="s">
        <v>85</v>
      </c>
      <c r="K979" t="s">
        <v>106</v>
      </c>
      <c r="L979" t="s">
        <v>44</v>
      </c>
      <c r="M979" s="3">
        <v>127500</v>
      </c>
      <c r="N979" s="4">
        <v>8.5000000000000006E-2</v>
      </c>
      <c r="O979" s="4">
        <v>0.2</v>
      </c>
      <c r="P979" t="s">
        <v>38</v>
      </c>
      <c r="R979">
        <v>30</v>
      </c>
      <c r="S979" s="3">
        <v>9721.14</v>
      </c>
    </row>
    <row r="980" spans="1:19" x14ac:dyDescent="0.2">
      <c r="A980" t="s">
        <v>1662</v>
      </c>
      <c r="B980" s="2">
        <v>46234</v>
      </c>
      <c r="C980" s="2">
        <v>46304</v>
      </c>
      <c r="D980" t="s">
        <v>128</v>
      </c>
      <c r="E980" t="s">
        <v>111</v>
      </c>
      <c r="F980" t="s">
        <v>22</v>
      </c>
      <c r="G980" t="s">
        <v>34</v>
      </c>
      <c r="H980" t="s">
        <v>98</v>
      </c>
      <c r="I980" t="s">
        <v>25</v>
      </c>
      <c r="J980" t="s">
        <v>85</v>
      </c>
      <c r="K980" t="s">
        <v>88</v>
      </c>
      <c r="L980" t="s">
        <v>51</v>
      </c>
      <c r="M980" s="3">
        <v>81900</v>
      </c>
      <c r="N980" s="4">
        <v>0.192</v>
      </c>
      <c r="O980" s="4">
        <v>0.35</v>
      </c>
      <c r="P980" t="s">
        <v>38</v>
      </c>
      <c r="R980">
        <v>70</v>
      </c>
      <c r="S980" s="3">
        <v>5515.44</v>
      </c>
    </row>
    <row r="981" spans="1:19" x14ac:dyDescent="0.2">
      <c r="A981" t="s">
        <v>1663</v>
      </c>
      <c r="B981" s="2">
        <v>46219</v>
      </c>
      <c r="C981" s="2">
        <v>46277</v>
      </c>
      <c r="D981" t="s">
        <v>377</v>
      </c>
      <c r="E981" t="s">
        <v>68</v>
      </c>
      <c r="F981" t="s">
        <v>22</v>
      </c>
      <c r="G981" t="s">
        <v>23</v>
      </c>
      <c r="H981" t="s">
        <v>56</v>
      </c>
      <c r="I981" t="s">
        <v>99</v>
      </c>
      <c r="J981" t="s">
        <v>85</v>
      </c>
      <c r="K981" t="s">
        <v>27</v>
      </c>
      <c r="L981" t="s">
        <v>28</v>
      </c>
      <c r="M981" s="3">
        <v>93600</v>
      </c>
      <c r="N981" s="4">
        <v>3.5999999999999997E-2</v>
      </c>
      <c r="O981" s="4">
        <v>0</v>
      </c>
      <c r="P981" t="s">
        <v>29</v>
      </c>
      <c r="Q981" t="s">
        <v>209</v>
      </c>
      <c r="R981">
        <v>58</v>
      </c>
      <c r="S981" s="3">
        <v>7515.64</v>
      </c>
    </row>
    <row r="982" spans="1:19" x14ac:dyDescent="0.2">
      <c r="A982" t="s">
        <v>1664</v>
      </c>
      <c r="B982" s="2">
        <v>46020</v>
      </c>
      <c r="C982" s="2">
        <v>46038</v>
      </c>
      <c r="D982" t="s">
        <v>122</v>
      </c>
      <c r="E982" t="s">
        <v>91</v>
      </c>
      <c r="F982" t="s">
        <v>22</v>
      </c>
      <c r="G982" t="s">
        <v>63</v>
      </c>
      <c r="H982" t="s">
        <v>120</v>
      </c>
      <c r="I982" t="s">
        <v>65</v>
      </c>
      <c r="J982" t="s">
        <v>26</v>
      </c>
      <c r="K982" t="s">
        <v>50</v>
      </c>
      <c r="L982" t="s">
        <v>51</v>
      </c>
      <c r="M982" s="3">
        <v>64700</v>
      </c>
      <c r="N982" s="4">
        <v>0.17</v>
      </c>
      <c r="O982" s="4">
        <v>1</v>
      </c>
      <c r="P982" t="s">
        <v>29</v>
      </c>
      <c r="R982">
        <v>18</v>
      </c>
      <c r="S982" s="3">
        <v>4474.16</v>
      </c>
    </row>
    <row r="983" spans="1:19" x14ac:dyDescent="0.2">
      <c r="A983" t="s">
        <v>1665</v>
      </c>
      <c r="B983" s="2">
        <v>45956</v>
      </c>
      <c r="C983" s="2">
        <v>45979</v>
      </c>
      <c r="D983" t="s">
        <v>1666</v>
      </c>
      <c r="E983" t="s">
        <v>91</v>
      </c>
      <c r="F983" t="s">
        <v>74</v>
      </c>
      <c r="G983" t="s">
        <v>34</v>
      </c>
      <c r="H983" t="s">
        <v>77</v>
      </c>
      <c r="I983" t="s">
        <v>25</v>
      </c>
      <c r="J983" t="s">
        <v>43</v>
      </c>
      <c r="K983" t="s">
        <v>27</v>
      </c>
      <c r="L983" t="s">
        <v>44</v>
      </c>
      <c r="M983" s="3">
        <v>225600</v>
      </c>
      <c r="N983" s="4">
        <v>0.20899999999999999</v>
      </c>
      <c r="O983" s="4">
        <v>0</v>
      </c>
      <c r="P983" t="s">
        <v>29</v>
      </c>
      <c r="Q983" t="s">
        <v>126</v>
      </c>
      <c r="R983">
        <v>23</v>
      </c>
      <c r="S983" s="3">
        <v>14873.04</v>
      </c>
    </row>
    <row r="984" spans="1:19" x14ac:dyDescent="0.2">
      <c r="A984" t="s">
        <v>1667</v>
      </c>
      <c r="B984" s="2">
        <v>46045</v>
      </c>
      <c r="C984" s="2">
        <v>46119</v>
      </c>
      <c r="D984" t="s">
        <v>1668</v>
      </c>
      <c r="E984" t="s">
        <v>111</v>
      </c>
      <c r="F984" t="s">
        <v>74</v>
      </c>
      <c r="G984" t="s">
        <v>23</v>
      </c>
      <c r="H984" t="s">
        <v>98</v>
      </c>
      <c r="I984" t="s">
        <v>42</v>
      </c>
      <c r="J984" t="s">
        <v>43</v>
      </c>
      <c r="K984" t="s">
        <v>27</v>
      </c>
      <c r="L984" t="s">
        <v>51</v>
      </c>
      <c r="M984" s="3">
        <v>307300</v>
      </c>
      <c r="N984" s="4">
        <v>0.02</v>
      </c>
      <c r="O984" s="4">
        <v>0.05</v>
      </c>
      <c r="P984" t="s">
        <v>29</v>
      </c>
      <c r="Q984" t="s">
        <v>45</v>
      </c>
      <c r="R984">
        <v>74</v>
      </c>
      <c r="S984" s="3">
        <v>25088.54</v>
      </c>
    </row>
    <row r="985" spans="1:19" x14ac:dyDescent="0.2">
      <c r="A985" t="s">
        <v>1669</v>
      </c>
      <c r="B985" s="2">
        <v>46028</v>
      </c>
      <c r="C985" s="2">
        <v>46157</v>
      </c>
      <c r="D985" t="s">
        <v>821</v>
      </c>
      <c r="E985" t="s">
        <v>82</v>
      </c>
      <c r="F985" t="s">
        <v>48</v>
      </c>
      <c r="G985" t="s">
        <v>23</v>
      </c>
      <c r="H985" t="s">
        <v>69</v>
      </c>
      <c r="I985" t="s">
        <v>99</v>
      </c>
      <c r="J985" t="s">
        <v>26</v>
      </c>
      <c r="K985" t="s">
        <v>106</v>
      </c>
      <c r="L985" t="s">
        <v>51</v>
      </c>
      <c r="M985" s="3">
        <v>7700</v>
      </c>
      <c r="N985" s="4">
        <v>5.2999999999999999E-2</v>
      </c>
      <c r="O985" s="4">
        <v>0.15</v>
      </c>
      <c r="P985" t="s">
        <v>38</v>
      </c>
      <c r="R985">
        <v>129</v>
      </c>
      <c r="S985" s="3">
        <v>607.66</v>
      </c>
    </row>
    <row r="986" spans="1:19" x14ac:dyDescent="0.2">
      <c r="A986" t="s">
        <v>1670</v>
      </c>
      <c r="B986" s="2">
        <v>46268</v>
      </c>
      <c r="C986" s="2">
        <v>46282</v>
      </c>
      <c r="D986" t="s">
        <v>507</v>
      </c>
      <c r="E986" t="s">
        <v>21</v>
      </c>
      <c r="F986" t="s">
        <v>48</v>
      </c>
      <c r="G986" t="s">
        <v>55</v>
      </c>
      <c r="H986" t="s">
        <v>120</v>
      </c>
      <c r="I986" t="s">
        <v>65</v>
      </c>
      <c r="J986" t="s">
        <v>43</v>
      </c>
      <c r="K986" t="s">
        <v>37</v>
      </c>
      <c r="L986" t="s">
        <v>44</v>
      </c>
      <c r="M986" s="3">
        <v>23700</v>
      </c>
      <c r="N986" s="4">
        <v>0</v>
      </c>
      <c r="O986" s="4">
        <v>0.1</v>
      </c>
      <c r="P986" t="s">
        <v>38</v>
      </c>
      <c r="R986">
        <v>14</v>
      </c>
      <c r="S986" s="3">
        <v>1975</v>
      </c>
    </row>
    <row r="987" spans="1:19" x14ac:dyDescent="0.2">
      <c r="A987" t="s">
        <v>1671</v>
      </c>
      <c r="B987" s="2">
        <v>45960</v>
      </c>
      <c r="C987" s="2">
        <v>46024</v>
      </c>
      <c r="D987" t="s">
        <v>738</v>
      </c>
      <c r="E987" t="s">
        <v>54</v>
      </c>
      <c r="F987" t="s">
        <v>48</v>
      </c>
      <c r="G987" t="s">
        <v>92</v>
      </c>
      <c r="H987" t="s">
        <v>56</v>
      </c>
      <c r="I987" t="s">
        <v>99</v>
      </c>
      <c r="J987" t="s">
        <v>43</v>
      </c>
      <c r="K987" t="s">
        <v>88</v>
      </c>
      <c r="L987" t="s">
        <v>44</v>
      </c>
      <c r="M987" s="3">
        <v>15300</v>
      </c>
      <c r="N987" s="4">
        <v>0.14799999999999999</v>
      </c>
      <c r="O987" s="4">
        <v>0.35</v>
      </c>
      <c r="P987" t="s">
        <v>38</v>
      </c>
      <c r="R987">
        <v>64</v>
      </c>
      <c r="S987" s="3">
        <v>1086.1600000000001</v>
      </c>
    </row>
    <row r="988" spans="1:19" x14ac:dyDescent="0.2">
      <c r="A988" t="s">
        <v>1672</v>
      </c>
      <c r="B988" s="2">
        <v>46108</v>
      </c>
      <c r="C988" s="2">
        <v>46229</v>
      </c>
      <c r="D988" t="s">
        <v>523</v>
      </c>
      <c r="E988" t="s">
        <v>91</v>
      </c>
      <c r="F988" t="s">
        <v>22</v>
      </c>
      <c r="G988" t="s">
        <v>92</v>
      </c>
      <c r="H988" t="s">
        <v>64</v>
      </c>
      <c r="I988" t="s">
        <v>25</v>
      </c>
      <c r="J988" t="s">
        <v>26</v>
      </c>
      <c r="K988" t="s">
        <v>27</v>
      </c>
      <c r="L988" t="s">
        <v>28</v>
      </c>
      <c r="M988" s="3">
        <v>66600</v>
      </c>
      <c r="N988" s="4">
        <v>0</v>
      </c>
      <c r="O988" s="4">
        <v>0</v>
      </c>
      <c r="P988" t="s">
        <v>29</v>
      </c>
      <c r="Q988" t="s">
        <v>152</v>
      </c>
      <c r="R988">
        <v>121</v>
      </c>
      <c r="S988" s="3">
        <v>5550</v>
      </c>
    </row>
    <row r="989" spans="1:19" x14ac:dyDescent="0.2">
      <c r="A989" t="s">
        <v>1673</v>
      </c>
      <c r="B989" s="2">
        <v>46146</v>
      </c>
      <c r="C989" s="2">
        <v>46216</v>
      </c>
      <c r="D989" t="s">
        <v>1674</v>
      </c>
      <c r="E989" t="s">
        <v>111</v>
      </c>
      <c r="F989" t="s">
        <v>74</v>
      </c>
      <c r="G989" t="s">
        <v>55</v>
      </c>
      <c r="H989" t="s">
        <v>56</v>
      </c>
      <c r="I989" t="s">
        <v>84</v>
      </c>
      <c r="J989" t="s">
        <v>43</v>
      </c>
      <c r="K989" t="s">
        <v>37</v>
      </c>
      <c r="L989" t="s">
        <v>51</v>
      </c>
      <c r="M989" s="3">
        <v>208800</v>
      </c>
      <c r="N989" s="4">
        <v>0.16900000000000001</v>
      </c>
      <c r="O989" s="4">
        <v>0.15</v>
      </c>
      <c r="P989" t="s">
        <v>38</v>
      </c>
      <c r="R989">
        <v>70</v>
      </c>
      <c r="S989" s="3">
        <v>14465.58</v>
      </c>
    </row>
    <row r="990" spans="1:19" x14ac:dyDescent="0.2">
      <c r="A990" t="s">
        <v>1675</v>
      </c>
      <c r="B990" s="2">
        <v>46208</v>
      </c>
      <c r="C990" s="2">
        <v>46247</v>
      </c>
      <c r="D990" t="s">
        <v>531</v>
      </c>
      <c r="E990" t="s">
        <v>33</v>
      </c>
      <c r="F990" t="s">
        <v>22</v>
      </c>
      <c r="G990" t="s">
        <v>63</v>
      </c>
      <c r="H990" t="s">
        <v>69</v>
      </c>
      <c r="I990" t="s">
        <v>42</v>
      </c>
      <c r="J990" t="s">
        <v>85</v>
      </c>
      <c r="K990" t="s">
        <v>37</v>
      </c>
      <c r="L990" t="s">
        <v>44</v>
      </c>
      <c r="M990" s="3">
        <v>40100</v>
      </c>
      <c r="N990" s="4">
        <v>0.20100000000000001</v>
      </c>
      <c r="O990" s="4">
        <v>0.1</v>
      </c>
      <c r="P990" t="s">
        <v>38</v>
      </c>
      <c r="R990">
        <v>39</v>
      </c>
      <c r="S990" s="3">
        <v>2668.76</v>
      </c>
    </row>
    <row r="991" spans="1:19" x14ac:dyDescent="0.2">
      <c r="A991" t="s">
        <v>1676</v>
      </c>
      <c r="B991" s="2">
        <v>46168</v>
      </c>
      <c r="C991" s="2">
        <v>46215</v>
      </c>
      <c r="D991" t="s">
        <v>1677</v>
      </c>
      <c r="E991" t="s">
        <v>111</v>
      </c>
      <c r="F991" t="s">
        <v>74</v>
      </c>
      <c r="G991" t="s">
        <v>92</v>
      </c>
      <c r="H991" t="s">
        <v>95</v>
      </c>
      <c r="I991" t="s">
        <v>25</v>
      </c>
      <c r="J991" t="s">
        <v>85</v>
      </c>
      <c r="K991" t="s">
        <v>78</v>
      </c>
      <c r="L991" t="s">
        <v>44</v>
      </c>
      <c r="M991" s="3">
        <v>345900</v>
      </c>
      <c r="N991" s="4">
        <v>0.11</v>
      </c>
      <c r="O991" s="4">
        <v>0.5</v>
      </c>
      <c r="P991" t="s">
        <v>79</v>
      </c>
      <c r="R991">
        <v>47</v>
      </c>
      <c r="S991" s="3">
        <v>25655.62</v>
      </c>
    </row>
    <row r="992" spans="1:19" x14ac:dyDescent="0.2">
      <c r="A992" t="s">
        <v>1678</v>
      </c>
      <c r="B992" s="2">
        <v>46229</v>
      </c>
      <c r="C992" s="2">
        <v>46314</v>
      </c>
      <c r="D992" t="s">
        <v>265</v>
      </c>
      <c r="E992" t="s">
        <v>33</v>
      </c>
      <c r="F992" t="s">
        <v>22</v>
      </c>
      <c r="G992" t="s">
        <v>34</v>
      </c>
      <c r="H992" t="s">
        <v>77</v>
      </c>
      <c r="I992" t="s">
        <v>42</v>
      </c>
      <c r="J992" t="s">
        <v>43</v>
      </c>
      <c r="K992" t="s">
        <v>88</v>
      </c>
      <c r="L992" t="s">
        <v>28</v>
      </c>
      <c r="M992" s="3">
        <v>38300</v>
      </c>
      <c r="N992" s="4">
        <v>0.154</v>
      </c>
      <c r="O992" s="4">
        <v>0.3</v>
      </c>
      <c r="P992" t="s">
        <v>38</v>
      </c>
      <c r="R992">
        <v>85</v>
      </c>
      <c r="S992" s="3">
        <v>2699.11</v>
      </c>
    </row>
    <row r="993" spans="1:19" x14ac:dyDescent="0.2">
      <c r="A993" t="s">
        <v>1679</v>
      </c>
      <c r="B993" s="2">
        <v>46271</v>
      </c>
      <c r="C993" s="2">
        <v>46277</v>
      </c>
      <c r="D993" t="s">
        <v>1617</v>
      </c>
      <c r="E993" t="s">
        <v>21</v>
      </c>
      <c r="F993" t="s">
        <v>48</v>
      </c>
      <c r="G993" t="s">
        <v>23</v>
      </c>
      <c r="H993" t="s">
        <v>95</v>
      </c>
      <c r="I993" t="s">
        <v>25</v>
      </c>
      <c r="J993" t="s">
        <v>36</v>
      </c>
      <c r="K993" t="s">
        <v>27</v>
      </c>
      <c r="L993" t="s">
        <v>28</v>
      </c>
      <c r="M993" s="3">
        <v>8400</v>
      </c>
      <c r="N993" s="4">
        <v>0.193</v>
      </c>
      <c r="O993" s="4">
        <v>0</v>
      </c>
      <c r="P993" t="s">
        <v>29</v>
      </c>
      <c r="Q993" t="s">
        <v>222</v>
      </c>
      <c r="R993">
        <v>6</v>
      </c>
      <c r="S993" s="3">
        <v>564.6</v>
      </c>
    </row>
    <row r="994" spans="1:19" x14ac:dyDescent="0.2">
      <c r="A994" t="s">
        <v>1680</v>
      </c>
      <c r="B994" s="2">
        <v>46090</v>
      </c>
      <c r="C994" s="2">
        <v>46259</v>
      </c>
      <c r="D994" t="s">
        <v>1681</v>
      </c>
      <c r="E994" t="s">
        <v>54</v>
      </c>
      <c r="F994" t="s">
        <v>48</v>
      </c>
      <c r="G994" t="s">
        <v>55</v>
      </c>
      <c r="H994" t="s">
        <v>64</v>
      </c>
      <c r="I994" t="s">
        <v>25</v>
      </c>
      <c r="J994" t="s">
        <v>57</v>
      </c>
      <c r="K994" t="s">
        <v>50</v>
      </c>
      <c r="L994" t="s">
        <v>51</v>
      </c>
      <c r="M994" s="3">
        <v>25700</v>
      </c>
      <c r="N994" s="4">
        <v>0.19</v>
      </c>
      <c r="O994" s="4">
        <v>1</v>
      </c>
      <c r="P994" t="s">
        <v>29</v>
      </c>
      <c r="R994">
        <v>169</v>
      </c>
      <c r="S994" s="3">
        <v>1735.24</v>
      </c>
    </row>
    <row r="995" spans="1:19" x14ac:dyDescent="0.2">
      <c r="A995" t="s">
        <v>1682</v>
      </c>
      <c r="B995" s="2">
        <v>46253</v>
      </c>
      <c r="C995" s="2">
        <v>46306</v>
      </c>
      <c r="D995" t="s">
        <v>535</v>
      </c>
      <c r="E995" t="s">
        <v>111</v>
      </c>
      <c r="F995" t="s">
        <v>22</v>
      </c>
      <c r="G995" t="s">
        <v>63</v>
      </c>
      <c r="H995" t="s">
        <v>77</v>
      </c>
      <c r="I995" t="s">
        <v>99</v>
      </c>
      <c r="J995" t="s">
        <v>85</v>
      </c>
      <c r="K995" t="s">
        <v>106</v>
      </c>
      <c r="L995" t="s">
        <v>28</v>
      </c>
      <c r="M995" s="3">
        <v>92800</v>
      </c>
      <c r="N995" s="4">
        <v>7.9000000000000001E-2</v>
      </c>
      <c r="O995" s="4">
        <v>0.15</v>
      </c>
      <c r="P995" t="s">
        <v>38</v>
      </c>
      <c r="R995">
        <v>53</v>
      </c>
      <c r="S995" s="3">
        <v>7123.01</v>
      </c>
    </row>
    <row r="996" spans="1:19" x14ac:dyDescent="0.2">
      <c r="A996" t="s">
        <v>1683</v>
      </c>
      <c r="B996" s="2">
        <v>46122</v>
      </c>
      <c r="C996" s="2">
        <v>46199</v>
      </c>
      <c r="D996" t="s">
        <v>1562</v>
      </c>
      <c r="E996" t="s">
        <v>33</v>
      </c>
      <c r="F996" t="s">
        <v>48</v>
      </c>
      <c r="G996" t="s">
        <v>34</v>
      </c>
      <c r="H996" t="s">
        <v>77</v>
      </c>
      <c r="I996" t="s">
        <v>25</v>
      </c>
      <c r="J996" t="s">
        <v>26</v>
      </c>
      <c r="K996" t="s">
        <v>37</v>
      </c>
      <c r="L996" t="s">
        <v>44</v>
      </c>
      <c r="M996" s="3">
        <v>29000</v>
      </c>
      <c r="N996" s="4">
        <v>9.1999999999999998E-2</v>
      </c>
      <c r="O996" s="4">
        <v>0.1</v>
      </c>
      <c r="P996" t="s">
        <v>38</v>
      </c>
      <c r="R996">
        <v>77</v>
      </c>
      <c r="S996" s="3">
        <v>2194.21</v>
      </c>
    </row>
    <row r="997" spans="1:19" x14ac:dyDescent="0.2">
      <c r="A997" t="s">
        <v>1684</v>
      </c>
      <c r="B997" s="2">
        <v>46238</v>
      </c>
      <c r="C997" s="2">
        <v>46277</v>
      </c>
      <c r="D997" t="s">
        <v>663</v>
      </c>
      <c r="E997" t="s">
        <v>68</v>
      </c>
      <c r="F997" t="s">
        <v>48</v>
      </c>
      <c r="G997" t="s">
        <v>55</v>
      </c>
      <c r="H997" t="s">
        <v>120</v>
      </c>
      <c r="I997" t="s">
        <v>65</v>
      </c>
      <c r="J997" t="s">
        <v>57</v>
      </c>
      <c r="K997" t="s">
        <v>27</v>
      </c>
      <c r="L997" t="s">
        <v>44</v>
      </c>
      <c r="M997" s="3">
        <v>23400</v>
      </c>
      <c r="N997" s="4">
        <v>7.1999999999999995E-2</v>
      </c>
      <c r="O997" s="4">
        <v>0</v>
      </c>
      <c r="P997" t="s">
        <v>29</v>
      </c>
      <c r="Q997" t="s">
        <v>209</v>
      </c>
      <c r="R997">
        <v>39</v>
      </c>
      <c r="S997" s="3">
        <v>1809.26</v>
      </c>
    </row>
    <row r="998" spans="1:19" x14ac:dyDescent="0.2">
      <c r="A998" t="s">
        <v>1685</v>
      </c>
      <c r="B998" s="2">
        <v>46122</v>
      </c>
      <c r="C998" s="2">
        <v>46164</v>
      </c>
      <c r="D998" t="s">
        <v>1686</v>
      </c>
      <c r="E998" t="s">
        <v>111</v>
      </c>
      <c r="F998" t="s">
        <v>48</v>
      </c>
      <c r="G998" t="s">
        <v>34</v>
      </c>
      <c r="H998" t="s">
        <v>120</v>
      </c>
      <c r="I998" t="s">
        <v>35</v>
      </c>
      <c r="J998" t="s">
        <v>36</v>
      </c>
      <c r="K998" t="s">
        <v>78</v>
      </c>
      <c r="L998" t="s">
        <v>51</v>
      </c>
      <c r="M998" s="3">
        <v>21400</v>
      </c>
      <c r="N998" s="4">
        <v>0.14599999999999999</v>
      </c>
      <c r="O998" s="4">
        <v>0.55000000000000004</v>
      </c>
      <c r="P998" t="s">
        <v>79</v>
      </c>
      <c r="R998">
        <v>42</v>
      </c>
      <c r="S998" s="3">
        <v>1523.84</v>
      </c>
    </row>
    <row r="999" spans="1:19" x14ac:dyDescent="0.2">
      <c r="A999" t="s">
        <v>1687</v>
      </c>
      <c r="B999" s="2">
        <v>46021</v>
      </c>
      <c r="C999" s="2">
        <v>46099</v>
      </c>
      <c r="D999" t="s">
        <v>1688</v>
      </c>
      <c r="E999" t="s">
        <v>91</v>
      </c>
      <c r="F999" t="s">
        <v>48</v>
      </c>
      <c r="G999" t="s">
        <v>63</v>
      </c>
      <c r="H999" t="s">
        <v>41</v>
      </c>
      <c r="I999" t="s">
        <v>99</v>
      </c>
      <c r="J999" t="s">
        <v>57</v>
      </c>
      <c r="K999" t="s">
        <v>88</v>
      </c>
      <c r="L999" t="s">
        <v>51</v>
      </c>
      <c r="M999" s="3">
        <v>12000</v>
      </c>
      <c r="N999" s="4">
        <v>9.1999999999999998E-2</v>
      </c>
      <c r="O999" s="4">
        <v>0.35</v>
      </c>
      <c r="P999" t="s">
        <v>38</v>
      </c>
      <c r="R999">
        <v>78</v>
      </c>
      <c r="S999" s="3">
        <v>907.65</v>
      </c>
    </row>
    <row r="1000" spans="1:19" x14ac:dyDescent="0.2">
      <c r="A1000" t="s">
        <v>1689</v>
      </c>
      <c r="B1000" s="2">
        <v>46027</v>
      </c>
      <c r="C1000" s="2">
        <v>46048</v>
      </c>
      <c r="D1000" t="s">
        <v>1690</v>
      </c>
      <c r="E1000" t="s">
        <v>82</v>
      </c>
      <c r="F1000" t="s">
        <v>48</v>
      </c>
      <c r="G1000" t="s">
        <v>92</v>
      </c>
      <c r="H1000" t="s">
        <v>56</v>
      </c>
      <c r="I1000" t="s">
        <v>42</v>
      </c>
      <c r="J1000" t="s">
        <v>36</v>
      </c>
      <c r="K1000" t="s">
        <v>50</v>
      </c>
      <c r="L1000" t="s">
        <v>51</v>
      </c>
      <c r="M1000" s="3">
        <v>29700</v>
      </c>
      <c r="N1000" s="4">
        <v>0.21299999999999999</v>
      </c>
      <c r="O1000" s="4">
        <v>1</v>
      </c>
      <c r="P1000" t="s">
        <v>29</v>
      </c>
      <c r="R1000">
        <v>21</v>
      </c>
      <c r="S1000" s="3">
        <v>1946.59</v>
      </c>
    </row>
    <row r="1001" spans="1:19" x14ac:dyDescent="0.2">
      <c r="A1001" t="s">
        <v>1691</v>
      </c>
      <c r="B1001" s="2">
        <v>45989</v>
      </c>
      <c r="C1001" s="2">
        <v>46090</v>
      </c>
      <c r="D1001" t="s">
        <v>1692</v>
      </c>
      <c r="E1001" t="s">
        <v>21</v>
      </c>
      <c r="F1001" t="s">
        <v>22</v>
      </c>
      <c r="G1001" t="s">
        <v>55</v>
      </c>
      <c r="H1001" t="s">
        <v>69</v>
      </c>
      <c r="I1001" t="s">
        <v>35</v>
      </c>
      <c r="J1001" t="s">
        <v>26</v>
      </c>
      <c r="K1001" t="s">
        <v>106</v>
      </c>
      <c r="L1001" t="s">
        <v>28</v>
      </c>
      <c r="M1001" s="3">
        <v>43500</v>
      </c>
      <c r="N1001" s="4">
        <v>9.2999999999999999E-2</v>
      </c>
      <c r="O1001" s="4">
        <v>0.2</v>
      </c>
      <c r="P1001" t="s">
        <v>38</v>
      </c>
      <c r="R1001">
        <v>101</v>
      </c>
      <c r="S1001" s="3">
        <v>3288.57</v>
      </c>
    </row>
    <row r="1002" spans="1:19" x14ac:dyDescent="0.2">
      <c r="A1002" t="s">
        <v>1693</v>
      </c>
      <c r="B1002" s="2">
        <v>46035</v>
      </c>
      <c r="C1002" s="2">
        <v>46131</v>
      </c>
      <c r="D1002" t="s">
        <v>517</v>
      </c>
      <c r="E1002" t="s">
        <v>62</v>
      </c>
      <c r="F1002" t="s">
        <v>74</v>
      </c>
      <c r="G1002" t="s">
        <v>23</v>
      </c>
      <c r="H1002" t="s">
        <v>83</v>
      </c>
      <c r="I1002" t="s">
        <v>25</v>
      </c>
      <c r="J1002" t="s">
        <v>26</v>
      </c>
      <c r="K1002" t="s">
        <v>58</v>
      </c>
      <c r="L1002" t="s">
        <v>28</v>
      </c>
      <c r="M1002" s="3">
        <v>319000</v>
      </c>
      <c r="N1002" s="4">
        <v>0.29299999999999998</v>
      </c>
      <c r="O1002" s="4">
        <v>0.75</v>
      </c>
      <c r="P1002" t="s">
        <v>59</v>
      </c>
      <c r="R1002">
        <v>96</v>
      </c>
      <c r="S1002" s="3">
        <v>18781.400000000001</v>
      </c>
    </row>
    <row r="1003" spans="1:19" x14ac:dyDescent="0.2">
      <c r="A1003" t="s">
        <v>1694</v>
      </c>
      <c r="B1003" s="2">
        <v>46130</v>
      </c>
      <c r="C1003" s="2">
        <v>46193</v>
      </c>
      <c r="D1003" t="s">
        <v>1508</v>
      </c>
      <c r="E1003" t="s">
        <v>91</v>
      </c>
      <c r="F1003" t="s">
        <v>48</v>
      </c>
      <c r="G1003" t="s">
        <v>63</v>
      </c>
      <c r="H1003" t="s">
        <v>77</v>
      </c>
      <c r="I1003" t="s">
        <v>84</v>
      </c>
      <c r="J1003" t="s">
        <v>85</v>
      </c>
      <c r="K1003" t="s">
        <v>78</v>
      </c>
      <c r="L1003" t="s">
        <v>44</v>
      </c>
      <c r="M1003" s="3">
        <v>13600</v>
      </c>
      <c r="N1003" s="4">
        <v>0.18099999999999999</v>
      </c>
      <c r="O1003" s="4">
        <v>0.55000000000000004</v>
      </c>
      <c r="P1003" t="s">
        <v>79</v>
      </c>
      <c r="R1003">
        <v>63</v>
      </c>
      <c r="S1003" s="3">
        <v>928.44</v>
      </c>
    </row>
    <row r="1004" spans="1:19" x14ac:dyDescent="0.2">
      <c r="A1004" t="s">
        <v>1695</v>
      </c>
      <c r="B1004" s="2">
        <v>45982</v>
      </c>
      <c r="C1004" s="2">
        <v>46078</v>
      </c>
      <c r="D1004" t="s">
        <v>1696</v>
      </c>
      <c r="E1004" t="s">
        <v>62</v>
      </c>
      <c r="F1004" t="s">
        <v>48</v>
      </c>
      <c r="G1004" t="s">
        <v>23</v>
      </c>
      <c r="H1004" t="s">
        <v>56</v>
      </c>
      <c r="I1004" t="s">
        <v>25</v>
      </c>
      <c r="J1004" t="s">
        <v>36</v>
      </c>
      <c r="K1004" t="s">
        <v>50</v>
      </c>
      <c r="L1004" t="s">
        <v>51</v>
      </c>
      <c r="M1004" s="3">
        <v>16700</v>
      </c>
      <c r="N1004" s="4">
        <v>6.2E-2</v>
      </c>
      <c r="O1004" s="4">
        <v>0.95</v>
      </c>
      <c r="P1004" t="s">
        <v>29</v>
      </c>
      <c r="R1004">
        <v>96</v>
      </c>
      <c r="S1004" s="3">
        <v>1305.46</v>
      </c>
    </row>
    <row r="1005" spans="1:19" x14ac:dyDescent="0.2">
      <c r="A1005" t="s">
        <v>1697</v>
      </c>
      <c r="B1005" s="2">
        <v>46098</v>
      </c>
      <c r="C1005" s="2">
        <v>46190</v>
      </c>
      <c r="D1005" t="s">
        <v>684</v>
      </c>
      <c r="E1005" t="s">
        <v>21</v>
      </c>
      <c r="F1005" t="s">
        <v>48</v>
      </c>
      <c r="G1005" t="s">
        <v>63</v>
      </c>
      <c r="H1005" t="s">
        <v>24</v>
      </c>
      <c r="I1005" t="s">
        <v>65</v>
      </c>
      <c r="J1005" t="s">
        <v>85</v>
      </c>
      <c r="K1005" t="s">
        <v>106</v>
      </c>
      <c r="L1005" t="s">
        <v>28</v>
      </c>
      <c r="M1005" s="3">
        <v>15300</v>
      </c>
      <c r="N1005" s="4">
        <v>8.8999999999999996E-2</v>
      </c>
      <c r="O1005" s="4">
        <v>0.2</v>
      </c>
      <c r="P1005" t="s">
        <v>38</v>
      </c>
      <c r="R1005">
        <v>92</v>
      </c>
      <c r="S1005" s="3">
        <v>1161.01</v>
      </c>
    </row>
    <row r="1006" spans="1:19" x14ac:dyDescent="0.2">
      <c r="A1006" t="s">
        <v>1698</v>
      </c>
      <c r="B1006" s="2">
        <v>46089</v>
      </c>
      <c r="C1006" s="2">
        <v>46177</v>
      </c>
      <c r="D1006" t="s">
        <v>321</v>
      </c>
      <c r="E1006" t="s">
        <v>82</v>
      </c>
      <c r="F1006" t="s">
        <v>22</v>
      </c>
      <c r="G1006" t="s">
        <v>34</v>
      </c>
      <c r="H1006" t="s">
        <v>120</v>
      </c>
      <c r="I1006" t="s">
        <v>35</v>
      </c>
      <c r="J1006" t="s">
        <v>57</v>
      </c>
      <c r="K1006" t="s">
        <v>78</v>
      </c>
      <c r="L1006" t="s">
        <v>51</v>
      </c>
      <c r="M1006" s="3">
        <v>65500</v>
      </c>
      <c r="N1006" s="4">
        <v>8.2000000000000003E-2</v>
      </c>
      <c r="O1006" s="4">
        <v>0.5</v>
      </c>
      <c r="P1006" t="s">
        <v>79</v>
      </c>
      <c r="R1006">
        <v>88</v>
      </c>
      <c r="S1006" s="3">
        <v>5011.6499999999996</v>
      </c>
    </row>
    <row r="1007" spans="1:19" x14ac:dyDescent="0.2">
      <c r="A1007" t="s">
        <v>1699</v>
      </c>
      <c r="B1007" s="2">
        <v>46121</v>
      </c>
      <c r="C1007" s="2">
        <v>46277</v>
      </c>
      <c r="D1007" t="s">
        <v>1700</v>
      </c>
      <c r="E1007" t="s">
        <v>68</v>
      </c>
      <c r="F1007" t="s">
        <v>48</v>
      </c>
      <c r="G1007" t="s">
        <v>23</v>
      </c>
      <c r="H1007" t="s">
        <v>56</v>
      </c>
      <c r="I1007" t="s">
        <v>65</v>
      </c>
      <c r="J1007" t="s">
        <v>43</v>
      </c>
      <c r="K1007" t="s">
        <v>50</v>
      </c>
      <c r="L1007" t="s">
        <v>28</v>
      </c>
      <c r="M1007" s="3">
        <v>6000</v>
      </c>
      <c r="N1007" s="4">
        <v>0.109</v>
      </c>
      <c r="O1007" s="4">
        <v>1</v>
      </c>
      <c r="P1007" t="s">
        <v>29</v>
      </c>
      <c r="R1007">
        <v>156</v>
      </c>
      <c r="S1007" s="3">
        <v>445.57</v>
      </c>
    </row>
    <row r="1008" spans="1:19" x14ac:dyDescent="0.2">
      <c r="A1008" t="s">
        <v>1701</v>
      </c>
      <c r="B1008" s="2">
        <v>46268</v>
      </c>
      <c r="C1008" s="2">
        <v>46311</v>
      </c>
      <c r="D1008" t="s">
        <v>47</v>
      </c>
      <c r="E1008" t="s">
        <v>54</v>
      </c>
      <c r="F1008" t="s">
        <v>22</v>
      </c>
      <c r="G1008" t="s">
        <v>63</v>
      </c>
      <c r="H1008" t="s">
        <v>95</v>
      </c>
      <c r="I1008" t="s">
        <v>65</v>
      </c>
      <c r="J1008" t="s">
        <v>43</v>
      </c>
      <c r="K1008" t="s">
        <v>78</v>
      </c>
      <c r="L1008" t="s">
        <v>44</v>
      </c>
      <c r="M1008" s="3">
        <v>96800</v>
      </c>
      <c r="N1008" s="4">
        <v>0.06</v>
      </c>
      <c r="O1008" s="4">
        <v>0.55000000000000004</v>
      </c>
      <c r="P1008" t="s">
        <v>79</v>
      </c>
      <c r="R1008">
        <v>43</v>
      </c>
      <c r="S1008" s="3">
        <v>7583.28</v>
      </c>
    </row>
    <row r="1009" spans="1:19" x14ac:dyDescent="0.2">
      <c r="A1009" t="s">
        <v>1702</v>
      </c>
      <c r="B1009" s="2">
        <v>46102</v>
      </c>
      <c r="C1009" s="2">
        <v>46268</v>
      </c>
      <c r="D1009" t="s">
        <v>1703</v>
      </c>
      <c r="E1009" t="s">
        <v>21</v>
      </c>
      <c r="F1009" t="s">
        <v>48</v>
      </c>
      <c r="G1009" t="s">
        <v>34</v>
      </c>
      <c r="H1009" t="s">
        <v>56</v>
      </c>
      <c r="I1009" t="s">
        <v>25</v>
      </c>
      <c r="J1009" t="s">
        <v>26</v>
      </c>
      <c r="K1009" t="s">
        <v>50</v>
      </c>
      <c r="L1009" t="s">
        <v>44</v>
      </c>
      <c r="M1009" s="3">
        <v>25800</v>
      </c>
      <c r="N1009" s="4">
        <v>0.124</v>
      </c>
      <c r="O1009" s="4">
        <v>1</v>
      </c>
      <c r="P1009" t="s">
        <v>29</v>
      </c>
      <c r="R1009">
        <v>166</v>
      </c>
      <c r="S1009" s="3">
        <v>1883.07</v>
      </c>
    </row>
    <row r="1010" spans="1:19" x14ac:dyDescent="0.2">
      <c r="A1010" t="s">
        <v>1704</v>
      </c>
      <c r="B1010" s="2">
        <v>46118</v>
      </c>
      <c r="C1010" s="2">
        <v>46225</v>
      </c>
      <c r="D1010" t="s">
        <v>1094</v>
      </c>
      <c r="E1010" t="s">
        <v>21</v>
      </c>
      <c r="F1010" t="s">
        <v>22</v>
      </c>
      <c r="G1010" t="s">
        <v>55</v>
      </c>
      <c r="H1010" t="s">
        <v>77</v>
      </c>
      <c r="I1010" t="s">
        <v>42</v>
      </c>
      <c r="J1010" t="s">
        <v>36</v>
      </c>
      <c r="K1010" t="s">
        <v>106</v>
      </c>
      <c r="L1010" t="s">
        <v>51</v>
      </c>
      <c r="M1010" s="3">
        <v>79900</v>
      </c>
      <c r="N1010" s="4">
        <v>0.17100000000000001</v>
      </c>
      <c r="O1010" s="4">
        <v>0.2</v>
      </c>
      <c r="P1010" t="s">
        <v>38</v>
      </c>
      <c r="R1010">
        <v>107</v>
      </c>
      <c r="S1010" s="3">
        <v>5519.3</v>
      </c>
    </row>
    <row r="1011" spans="1:19" x14ac:dyDescent="0.2">
      <c r="A1011" t="s">
        <v>1705</v>
      </c>
      <c r="B1011" s="2">
        <v>46047</v>
      </c>
      <c r="C1011" s="2">
        <v>46091</v>
      </c>
      <c r="D1011" t="s">
        <v>67</v>
      </c>
      <c r="E1011" t="s">
        <v>62</v>
      </c>
      <c r="F1011" t="s">
        <v>48</v>
      </c>
      <c r="G1011" t="s">
        <v>55</v>
      </c>
      <c r="H1011" t="s">
        <v>64</v>
      </c>
      <c r="I1011" t="s">
        <v>99</v>
      </c>
      <c r="J1011" t="s">
        <v>85</v>
      </c>
      <c r="K1011" t="s">
        <v>78</v>
      </c>
      <c r="L1011" t="s">
        <v>28</v>
      </c>
      <c r="M1011" s="3">
        <v>19500</v>
      </c>
      <c r="N1011" s="4">
        <v>5.0999999999999997E-2</v>
      </c>
      <c r="O1011" s="4">
        <v>0.55000000000000004</v>
      </c>
      <c r="P1011" t="s">
        <v>79</v>
      </c>
      <c r="R1011">
        <v>44</v>
      </c>
      <c r="S1011" s="3">
        <v>1541.63</v>
      </c>
    </row>
    <row r="1012" spans="1:19" x14ac:dyDescent="0.2">
      <c r="A1012" t="s">
        <v>1706</v>
      </c>
      <c r="B1012" s="2">
        <v>46067</v>
      </c>
      <c r="C1012" s="2">
        <v>46174</v>
      </c>
      <c r="D1012" t="s">
        <v>380</v>
      </c>
      <c r="E1012" t="s">
        <v>68</v>
      </c>
      <c r="F1012" t="s">
        <v>74</v>
      </c>
      <c r="G1012" t="s">
        <v>92</v>
      </c>
      <c r="H1012" t="s">
        <v>49</v>
      </c>
      <c r="I1012" t="s">
        <v>42</v>
      </c>
      <c r="J1012" t="s">
        <v>26</v>
      </c>
      <c r="K1012" t="s">
        <v>78</v>
      </c>
      <c r="L1012" t="s">
        <v>51</v>
      </c>
      <c r="M1012" s="3">
        <v>228000</v>
      </c>
      <c r="N1012" s="4">
        <v>5.8999999999999997E-2</v>
      </c>
      <c r="O1012" s="4">
        <v>0.55000000000000004</v>
      </c>
      <c r="P1012" t="s">
        <v>79</v>
      </c>
      <c r="R1012">
        <v>107</v>
      </c>
      <c r="S1012" s="3">
        <v>17875.439999999999</v>
      </c>
    </row>
    <row r="1013" spans="1:19" x14ac:dyDescent="0.2">
      <c r="A1013" t="s">
        <v>1707</v>
      </c>
      <c r="B1013" s="2">
        <v>46120</v>
      </c>
      <c r="C1013" s="2">
        <v>46246</v>
      </c>
      <c r="D1013" t="s">
        <v>953</v>
      </c>
      <c r="E1013" t="s">
        <v>82</v>
      </c>
      <c r="F1013" t="s">
        <v>22</v>
      </c>
      <c r="G1013" t="s">
        <v>63</v>
      </c>
      <c r="H1013" t="s">
        <v>64</v>
      </c>
      <c r="I1013" t="s">
        <v>42</v>
      </c>
      <c r="J1013" t="s">
        <v>36</v>
      </c>
      <c r="K1013" t="s">
        <v>88</v>
      </c>
      <c r="L1013" t="s">
        <v>51</v>
      </c>
      <c r="M1013" s="3">
        <v>28800</v>
      </c>
      <c r="N1013" s="4">
        <v>8.1000000000000003E-2</v>
      </c>
      <c r="O1013" s="4">
        <v>0.35</v>
      </c>
      <c r="P1013" t="s">
        <v>38</v>
      </c>
      <c r="R1013">
        <v>126</v>
      </c>
      <c r="S1013" s="3">
        <v>2206.5100000000002</v>
      </c>
    </row>
    <row r="1014" spans="1:19" x14ac:dyDescent="0.2">
      <c r="A1014" t="s">
        <v>1708</v>
      </c>
      <c r="B1014" s="2">
        <v>45992</v>
      </c>
      <c r="C1014" s="2">
        <v>46086</v>
      </c>
      <c r="D1014" t="s">
        <v>1709</v>
      </c>
      <c r="E1014" t="s">
        <v>33</v>
      </c>
      <c r="F1014" t="s">
        <v>74</v>
      </c>
      <c r="G1014" t="s">
        <v>92</v>
      </c>
      <c r="H1014" t="s">
        <v>69</v>
      </c>
      <c r="I1014" t="s">
        <v>42</v>
      </c>
      <c r="J1014" t="s">
        <v>57</v>
      </c>
      <c r="K1014" t="s">
        <v>37</v>
      </c>
      <c r="L1014" t="s">
        <v>51</v>
      </c>
      <c r="M1014" s="3">
        <v>220500</v>
      </c>
      <c r="N1014" s="4">
        <v>0.09</v>
      </c>
      <c r="O1014" s="4">
        <v>0.15</v>
      </c>
      <c r="P1014" t="s">
        <v>38</v>
      </c>
      <c r="R1014">
        <v>94</v>
      </c>
      <c r="S1014" s="3">
        <v>16714.080000000002</v>
      </c>
    </row>
    <row r="1015" spans="1:19" x14ac:dyDescent="0.2">
      <c r="A1015" t="s">
        <v>1710</v>
      </c>
      <c r="B1015" s="2">
        <v>46151</v>
      </c>
      <c r="C1015" s="2">
        <v>46303</v>
      </c>
      <c r="D1015" t="s">
        <v>585</v>
      </c>
      <c r="E1015" t="s">
        <v>82</v>
      </c>
      <c r="F1015" t="s">
        <v>48</v>
      </c>
      <c r="G1015" t="s">
        <v>23</v>
      </c>
      <c r="H1015" t="s">
        <v>41</v>
      </c>
      <c r="I1015" t="s">
        <v>65</v>
      </c>
      <c r="J1015" t="s">
        <v>57</v>
      </c>
      <c r="K1015" t="s">
        <v>78</v>
      </c>
      <c r="L1015" t="s">
        <v>51</v>
      </c>
      <c r="M1015" s="3">
        <v>18500</v>
      </c>
      <c r="N1015" s="4">
        <v>4.9000000000000002E-2</v>
      </c>
      <c r="O1015" s="4">
        <v>0.5</v>
      </c>
      <c r="P1015" t="s">
        <v>79</v>
      </c>
      <c r="R1015">
        <v>152</v>
      </c>
      <c r="S1015" s="3">
        <v>1466.44</v>
      </c>
    </row>
    <row r="1016" spans="1:19" x14ac:dyDescent="0.2">
      <c r="A1016" t="s">
        <v>1711</v>
      </c>
      <c r="B1016" s="2">
        <v>46006</v>
      </c>
      <c r="C1016" s="2">
        <v>46053</v>
      </c>
      <c r="D1016" t="s">
        <v>1712</v>
      </c>
      <c r="E1016" t="s">
        <v>111</v>
      </c>
      <c r="F1016" t="s">
        <v>22</v>
      </c>
      <c r="G1016" t="s">
        <v>63</v>
      </c>
      <c r="H1016" t="s">
        <v>98</v>
      </c>
      <c r="I1016" t="s">
        <v>84</v>
      </c>
      <c r="J1016" t="s">
        <v>85</v>
      </c>
      <c r="K1016" t="s">
        <v>88</v>
      </c>
      <c r="L1016" t="s">
        <v>51</v>
      </c>
      <c r="M1016" s="3">
        <v>66200</v>
      </c>
      <c r="N1016" s="4">
        <v>8.3000000000000004E-2</v>
      </c>
      <c r="O1016" s="4">
        <v>0.35</v>
      </c>
      <c r="P1016" t="s">
        <v>38</v>
      </c>
      <c r="R1016">
        <v>47</v>
      </c>
      <c r="S1016" s="3">
        <v>5059.21</v>
      </c>
    </row>
    <row r="1017" spans="1:19" x14ac:dyDescent="0.2">
      <c r="A1017" t="s">
        <v>1713</v>
      </c>
      <c r="B1017" s="2">
        <v>46186</v>
      </c>
      <c r="C1017" s="2">
        <v>46293</v>
      </c>
      <c r="D1017" t="s">
        <v>1714</v>
      </c>
      <c r="E1017" t="s">
        <v>111</v>
      </c>
      <c r="F1017" t="s">
        <v>48</v>
      </c>
      <c r="G1017" t="s">
        <v>34</v>
      </c>
      <c r="H1017" t="s">
        <v>120</v>
      </c>
      <c r="I1017" t="s">
        <v>25</v>
      </c>
      <c r="J1017" t="s">
        <v>43</v>
      </c>
      <c r="K1017" t="s">
        <v>78</v>
      </c>
      <c r="L1017" t="s">
        <v>44</v>
      </c>
      <c r="M1017" s="3">
        <v>20500</v>
      </c>
      <c r="N1017" s="4">
        <v>0.126</v>
      </c>
      <c r="O1017" s="4">
        <v>0.55000000000000004</v>
      </c>
      <c r="P1017" t="s">
        <v>79</v>
      </c>
      <c r="R1017">
        <v>107</v>
      </c>
      <c r="S1017" s="3">
        <v>1492.9</v>
      </c>
    </row>
    <row r="1018" spans="1:19" x14ac:dyDescent="0.2">
      <c r="A1018" t="s">
        <v>1715</v>
      </c>
      <c r="B1018" s="2">
        <v>45989</v>
      </c>
      <c r="C1018" s="2">
        <v>46096</v>
      </c>
      <c r="D1018" t="s">
        <v>217</v>
      </c>
      <c r="E1018" t="s">
        <v>62</v>
      </c>
      <c r="F1018" t="s">
        <v>74</v>
      </c>
      <c r="G1018" t="s">
        <v>34</v>
      </c>
      <c r="H1018" t="s">
        <v>24</v>
      </c>
      <c r="I1018" t="s">
        <v>65</v>
      </c>
      <c r="J1018" t="s">
        <v>57</v>
      </c>
      <c r="K1018" t="s">
        <v>88</v>
      </c>
      <c r="L1018" t="s">
        <v>44</v>
      </c>
      <c r="M1018" s="3">
        <v>111800</v>
      </c>
      <c r="N1018" s="4">
        <v>0.158</v>
      </c>
      <c r="O1018" s="4">
        <v>0.35</v>
      </c>
      <c r="P1018" t="s">
        <v>38</v>
      </c>
      <c r="R1018">
        <v>107</v>
      </c>
      <c r="S1018" s="3">
        <v>7843.55</v>
      </c>
    </row>
    <row r="1019" spans="1:19" x14ac:dyDescent="0.2">
      <c r="A1019" t="s">
        <v>1716</v>
      </c>
      <c r="B1019" s="2">
        <v>46262</v>
      </c>
      <c r="C1019" s="2">
        <v>46303</v>
      </c>
      <c r="D1019" t="s">
        <v>1599</v>
      </c>
      <c r="E1019" t="s">
        <v>91</v>
      </c>
      <c r="F1019" t="s">
        <v>48</v>
      </c>
      <c r="G1019" t="s">
        <v>23</v>
      </c>
      <c r="H1019" t="s">
        <v>77</v>
      </c>
      <c r="I1019" t="s">
        <v>35</v>
      </c>
      <c r="J1019" t="s">
        <v>85</v>
      </c>
      <c r="K1019" t="s">
        <v>58</v>
      </c>
      <c r="L1019" t="s">
        <v>44</v>
      </c>
      <c r="M1019" s="3">
        <v>15800</v>
      </c>
      <c r="N1019" s="4">
        <v>0.29599999999999999</v>
      </c>
      <c r="O1019" s="4">
        <v>0.75</v>
      </c>
      <c r="P1019" t="s">
        <v>59</v>
      </c>
      <c r="R1019">
        <v>41</v>
      </c>
      <c r="S1019" s="3">
        <v>926.3</v>
      </c>
    </row>
    <row r="1020" spans="1:19" x14ac:dyDescent="0.2">
      <c r="A1020" t="s">
        <v>1717</v>
      </c>
      <c r="B1020" s="2">
        <v>45964</v>
      </c>
      <c r="C1020" s="2">
        <v>46104</v>
      </c>
      <c r="D1020" t="s">
        <v>965</v>
      </c>
      <c r="E1020" t="s">
        <v>111</v>
      </c>
      <c r="F1020" t="s">
        <v>48</v>
      </c>
      <c r="G1020" t="s">
        <v>63</v>
      </c>
      <c r="H1020" t="s">
        <v>64</v>
      </c>
      <c r="I1020" t="s">
        <v>65</v>
      </c>
      <c r="J1020" t="s">
        <v>43</v>
      </c>
      <c r="K1020" t="s">
        <v>37</v>
      </c>
      <c r="L1020" t="s">
        <v>44</v>
      </c>
      <c r="M1020" s="3">
        <v>25400</v>
      </c>
      <c r="N1020" s="4">
        <v>0.188</v>
      </c>
      <c r="O1020" s="4">
        <v>0.1</v>
      </c>
      <c r="P1020" t="s">
        <v>38</v>
      </c>
      <c r="R1020">
        <v>140</v>
      </c>
      <c r="S1020" s="3">
        <v>1719.54</v>
      </c>
    </row>
    <row r="1021" spans="1:19" x14ac:dyDescent="0.2">
      <c r="A1021" t="s">
        <v>1718</v>
      </c>
      <c r="B1021" s="2">
        <v>46178</v>
      </c>
      <c r="C1021" s="2">
        <v>46206</v>
      </c>
      <c r="D1021" t="s">
        <v>438</v>
      </c>
      <c r="E1021" t="s">
        <v>82</v>
      </c>
      <c r="F1021" t="s">
        <v>74</v>
      </c>
      <c r="G1021" t="s">
        <v>55</v>
      </c>
      <c r="H1021" t="s">
        <v>120</v>
      </c>
      <c r="I1021" t="s">
        <v>35</v>
      </c>
      <c r="J1021" t="s">
        <v>36</v>
      </c>
      <c r="K1021" t="s">
        <v>88</v>
      </c>
      <c r="L1021" t="s">
        <v>28</v>
      </c>
      <c r="M1021" s="3">
        <v>303900</v>
      </c>
      <c r="N1021" s="4">
        <v>0.114</v>
      </c>
      <c r="O1021" s="4">
        <v>0.3</v>
      </c>
      <c r="P1021" t="s">
        <v>38</v>
      </c>
      <c r="R1021">
        <v>28</v>
      </c>
      <c r="S1021" s="3">
        <v>22443.87</v>
      </c>
    </row>
    <row r="1022" spans="1:19" x14ac:dyDescent="0.2">
      <c r="A1022" t="s">
        <v>1719</v>
      </c>
      <c r="B1022" s="2">
        <v>46227</v>
      </c>
      <c r="C1022" s="2">
        <v>46272</v>
      </c>
      <c r="D1022" t="s">
        <v>332</v>
      </c>
      <c r="E1022" t="s">
        <v>33</v>
      </c>
      <c r="F1022" t="s">
        <v>74</v>
      </c>
      <c r="G1022" t="s">
        <v>55</v>
      </c>
      <c r="H1022" t="s">
        <v>49</v>
      </c>
      <c r="I1022" t="s">
        <v>99</v>
      </c>
      <c r="J1022" t="s">
        <v>57</v>
      </c>
      <c r="K1022" t="s">
        <v>88</v>
      </c>
      <c r="L1022" t="s">
        <v>44</v>
      </c>
      <c r="M1022" s="3">
        <v>233600</v>
      </c>
      <c r="N1022" s="4">
        <v>3.5999999999999997E-2</v>
      </c>
      <c r="O1022" s="4">
        <v>0.3</v>
      </c>
      <c r="P1022" t="s">
        <v>38</v>
      </c>
      <c r="R1022">
        <v>45</v>
      </c>
      <c r="S1022" s="3">
        <v>18774.95</v>
      </c>
    </row>
    <row r="1023" spans="1:19" x14ac:dyDescent="0.2">
      <c r="A1023" t="s">
        <v>1720</v>
      </c>
      <c r="B1023" s="2">
        <v>46153</v>
      </c>
      <c r="C1023" s="2">
        <v>46265</v>
      </c>
      <c r="D1023" t="s">
        <v>1668</v>
      </c>
      <c r="E1023" t="s">
        <v>33</v>
      </c>
      <c r="F1023" t="s">
        <v>48</v>
      </c>
      <c r="G1023" t="s">
        <v>63</v>
      </c>
      <c r="H1023" t="s">
        <v>41</v>
      </c>
      <c r="I1023" t="s">
        <v>35</v>
      </c>
      <c r="J1023" t="s">
        <v>36</v>
      </c>
      <c r="K1023" t="s">
        <v>88</v>
      </c>
      <c r="L1023" t="s">
        <v>44</v>
      </c>
      <c r="M1023" s="3">
        <v>11100</v>
      </c>
      <c r="N1023" s="4">
        <v>0.13200000000000001</v>
      </c>
      <c r="O1023" s="4">
        <v>0.35</v>
      </c>
      <c r="P1023" t="s">
        <v>38</v>
      </c>
      <c r="R1023">
        <v>112</v>
      </c>
      <c r="S1023" s="3">
        <v>802.67</v>
      </c>
    </row>
    <row r="1024" spans="1:19" x14ac:dyDescent="0.2">
      <c r="A1024" t="s">
        <v>1721</v>
      </c>
      <c r="B1024" s="2">
        <v>46071</v>
      </c>
      <c r="C1024" s="2">
        <v>46209</v>
      </c>
      <c r="D1024" t="s">
        <v>192</v>
      </c>
      <c r="E1024" t="s">
        <v>62</v>
      </c>
      <c r="F1024" t="s">
        <v>22</v>
      </c>
      <c r="G1024" t="s">
        <v>23</v>
      </c>
      <c r="H1024" t="s">
        <v>98</v>
      </c>
      <c r="I1024" t="s">
        <v>84</v>
      </c>
      <c r="J1024" t="s">
        <v>36</v>
      </c>
      <c r="K1024" t="s">
        <v>37</v>
      </c>
      <c r="L1024" t="s">
        <v>44</v>
      </c>
      <c r="M1024" s="3">
        <v>31100</v>
      </c>
      <c r="N1024" s="4">
        <v>0.17499999999999999</v>
      </c>
      <c r="O1024" s="4">
        <v>0.1</v>
      </c>
      <c r="P1024" t="s">
        <v>38</v>
      </c>
      <c r="R1024">
        <v>138</v>
      </c>
      <c r="S1024" s="3">
        <v>2138.56</v>
      </c>
    </row>
    <row r="1025" spans="1:19" x14ac:dyDescent="0.2">
      <c r="A1025" t="s">
        <v>1722</v>
      </c>
      <c r="B1025" s="2">
        <v>46123</v>
      </c>
      <c r="C1025" s="2">
        <v>46169</v>
      </c>
      <c r="D1025" t="s">
        <v>298</v>
      </c>
      <c r="E1025" t="s">
        <v>62</v>
      </c>
      <c r="F1025" t="s">
        <v>74</v>
      </c>
      <c r="G1025" t="s">
        <v>34</v>
      </c>
      <c r="H1025" t="s">
        <v>64</v>
      </c>
      <c r="I1025" t="s">
        <v>99</v>
      </c>
      <c r="J1025" t="s">
        <v>26</v>
      </c>
      <c r="K1025" t="s">
        <v>50</v>
      </c>
      <c r="L1025" t="s">
        <v>51</v>
      </c>
      <c r="M1025" s="3">
        <v>240400</v>
      </c>
      <c r="N1025" s="4">
        <v>3.4000000000000002E-2</v>
      </c>
      <c r="O1025" s="4">
        <v>1</v>
      </c>
      <c r="P1025" t="s">
        <v>29</v>
      </c>
      <c r="R1025">
        <v>46</v>
      </c>
      <c r="S1025" s="3">
        <v>19360.53</v>
      </c>
    </row>
    <row r="1026" spans="1:19" x14ac:dyDescent="0.2">
      <c r="A1026" t="s">
        <v>1723</v>
      </c>
      <c r="B1026" s="2">
        <v>46191</v>
      </c>
      <c r="C1026" s="2">
        <v>46277</v>
      </c>
      <c r="D1026" t="s">
        <v>1724</v>
      </c>
      <c r="E1026" t="s">
        <v>33</v>
      </c>
      <c r="F1026" t="s">
        <v>48</v>
      </c>
      <c r="G1026" t="s">
        <v>55</v>
      </c>
      <c r="H1026" t="s">
        <v>69</v>
      </c>
      <c r="I1026" t="s">
        <v>35</v>
      </c>
      <c r="J1026" t="s">
        <v>26</v>
      </c>
      <c r="K1026" t="s">
        <v>27</v>
      </c>
      <c r="L1026" t="s">
        <v>44</v>
      </c>
      <c r="M1026" s="3">
        <v>13400</v>
      </c>
      <c r="N1026" s="4">
        <v>3.1E-2</v>
      </c>
      <c r="O1026" s="4">
        <v>0</v>
      </c>
      <c r="P1026" t="s">
        <v>29</v>
      </c>
      <c r="Q1026" t="s">
        <v>222</v>
      </c>
      <c r="R1026">
        <v>86</v>
      </c>
      <c r="S1026" s="3">
        <v>1082.07</v>
      </c>
    </row>
    <row r="1027" spans="1:19" x14ac:dyDescent="0.2">
      <c r="A1027" t="s">
        <v>1725</v>
      </c>
      <c r="B1027" s="2">
        <v>45940</v>
      </c>
      <c r="C1027" s="2">
        <v>45982</v>
      </c>
      <c r="D1027" t="s">
        <v>105</v>
      </c>
      <c r="E1027" t="s">
        <v>62</v>
      </c>
      <c r="F1027" t="s">
        <v>22</v>
      </c>
      <c r="G1027" t="s">
        <v>92</v>
      </c>
      <c r="H1027" t="s">
        <v>137</v>
      </c>
      <c r="I1027" t="s">
        <v>42</v>
      </c>
      <c r="J1027" t="s">
        <v>36</v>
      </c>
      <c r="K1027" t="s">
        <v>78</v>
      </c>
      <c r="L1027" t="s">
        <v>28</v>
      </c>
      <c r="M1027" s="3">
        <v>83300</v>
      </c>
      <c r="N1027" s="4">
        <v>0</v>
      </c>
      <c r="O1027" s="4">
        <v>0.55000000000000004</v>
      </c>
      <c r="P1027" t="s">
        <v>79</v>
      </c>
      <c r="R1027">
        <v>42</v>
      </c>
      <c r="S1027" s="3">
        <v>6941.67</v>
      </c>
    </row>
    <row r="1028" spans="1:19" x14ac:dyDescent="0.2">
      <c r="A1028" t="s">
        <v>1726</v>
      </c>
      <c r="B1028" s="2">
        <v>46243</v>
      </c>
      <c r="C1028" s="2">
        <v>46301</v>
      </c>
      <c r="D1028" t="s">
        <v>717</v>
      </c>
      <c r="E1028" t="s">
        <v>62</v>
      </c>
      <c r="F1028" t="s">
        <v>22</v>
      </c>
      <c r="G1028" t="s">
        <v>92</v>
      </c>
      <c r="H1028" t="s">
        <v>49</v>
      </c>
      <c r="I1028" t="s">
        <v>42</v>
      </c>
      <c r="J1028" t="s">
        <v>36</v>
      </c>
      <c r="K1028" t="s">
        <v>106</v>
      </c>
      <c r="L1028" t="s">
        <v>28</v>
      </c>
      <c r="M1028" s="3">
        <v>59800</v>
      </c>
      <c r="N1028" s="4">
        <v>0.184</v>
      </c>
      <c r="O1028" s="4">
        <v>0.2</v>
      </c>
      <c r="P1028" t="s">
        <v>38</v>
      </c>
      <c r="R1028">
        <v>58</v>
      </c>
      <c r="S1028" s="3">
        <v>4065.92</v>
      </c>
    </row>
    <row r="1029" spans="1:19" x14ac:dyDescent="0.2">
      <c r="A1029" t="s">
        <v>1727</v>
      </c>
      <c r="B1029" s="2">
        <v>46238</v>
      </c>
      <c r="C1029" s="2">
        <v>46277</v>
      </c>
      <c r="D1029" t="s">
        <v>1728</v>
      </c>
      <c r="E1029" t="s">
        <v>68</v>
      </c>
      <c r="F1029" t="s">
        <v>22</v>
      </c>
      <c r="G1029" t="s">
        <v>55</v>
      </c>
      <c r="H1029" t="s">
        <v>98</v>
      </c>
      <c r="I1029" t="s">
        <v>42</v>
      </c>
      <c r="J1029" t="s">
        <v>57</v>
      </c>
      <c r="K1029" t="s">
        <v>50</v>
      </c>
      <c r="L1029" t="s">
        <v>44</v>
      </c>
      <c r="M1029" s="3">
        <v>36400</v>
      </c>
      <c r="N1029" s="4">
        <v>0.11799999999999999</v>
      </c>
      <c r="O1029" s="4">
        <v>0.95</v>
      </c>
      <c r="P1029" t="s">
        <v>29</v>
      </c>
      <c r="R1029">
        <v>39</v>
      </c>
      <c r="S1029" s="3">
        <v>2675.94</v>
      </c>
    </row>
    <row r="1030" spans="1:19" x14ac:dyDescent="0.2">
      <c r="A1030" t="s">
        <v>1729</v>
      </c>
      <c r="B1030" s="2">
        <v>46093</v>
      </c>
      <c r="C1030" s="2">
        <v>46121</v>
      </c>
      <c r="D1030" t="s">
        <v>115</v>
      </c>
      <c r="E1030" t="s">
        <v>91</v>
      </c>
      <c r="F1030" t="s">
        <v>74</v>
      </c>
      <c r="G1030" t="s">
        <v>34</v>
      </c>
      <c r="H1030" t="s">
        <v>98</v>
      </c>
      <c r="I1030" t="s">
        <v>84</v>
      </c>
      <c r="J1030" t="s">
        <v>26</v>
      </c>
      <c r="K1030" t="s">
        <v>106</v>
      </c>
      <c r="L1030" t="s">
        <v>44</v>
      </c>
      <c r="M1030" s="3">
        <v>246700</v>
      </c>
      <c r="N1030" s="4">
        <v>0</v>
      </c>
      <c r="O1030" s="4">
        <v>0.2</v>
      </c>
      <c r="P1030" t="s">
        <v>38</v>
      </c>
      <c r="R1030">
        <v>28</v>
      </c>
      <c r="S1030" s="3">
        <v>20558.330000000002</v>
      </c>
    </row>
    <row r="1031" spans="1:19" x14ac:dyDescent="0.2">
      <c r="A1031" t="s">
        <v>1730</v>
      </c>
      <c r="B1031" s="2">
        <v>45966</v>
      </c>
      <c r="C1031" s="2">
        <v>46066</v>
      </c>
      <c r="D1031" t="s">
        <v>1731</v>
      </c>
      <c r="E1031" t="s">
        <v>62</v>
      </c>
      <c r="F1031" t="s">
        <v>74</v>
      </c>
      <c r="G1031" t="s">
        <v>92</v>
      </c>
      <c r="H1031" t="s">
        <v>95</v>
      </c>
      <c r="I1031" t="s">
        <v>65</v>
      </c>
      <c r="J1031" t="s">
        <v>36</v>
      </c>
      <c r="K1031" t="s">
        <v>50</v>
      </c>
      <c r="L1031" t="s">
        <v>28</v>
      </c>
      <c r="M1031" s="3">
        <v>81400</v>
      </c>
      <c r="N1031" s="4">
        <v>0.157</v>
      </c>
      <c r="O1031" s="4">
        <v>1</v>
      </c>
      <c r="P1031" t="s">
        <v>29</v>
      </c>
      <c r="R1031">
        <v>100</v>
      </c>
      <c r="S1031" s="3">
        <v>5720.02</v>
      </c>
    </row>
    <row r="1032" spans="1:19" x14ac:dyDescent="0.2">
      <c r="A1032" t="s">
        <v>1732</v>
      </c>
      <c r="B1032" s="2">
        <v>46008</v>
      </c>
      <c r="C1032" s="2">
        <v>46117</v>
      </c>
      <c r="D1032" t="s">
        <v>1733</v>
      </c>
      <c r="E1032" t="s">
        <v>62</v>
      </c>
      <c r="F1032" t="s">
        <v>48</v>
      </c>
      <c r="G1032" t="s">
        <v>55</v>
      </c>
      <c r="H1032" t="s">
        <v>95</v>
      </c>
      <c r="I1032" t="s">
        <v>25</v>
      </c>
      <c r="J1032" t="s">
        <v>26</v>
      </c>
      <c r="K1032" t="s">
        <v>78</v>
      </c>
      <c r="L1032" t="s">
        <v>51</v>
      </c>
      <c r="M1032" s="3">
        <v>15000</v>
      </c>
      <c r="N1032" s="4">
        <v>0.152</v>
      </c>
      <c r="O1032" s="4">
        <v>0.55000000000000004</v>
      </c>
      <c r="P1032" t="s">
        <v>79</v>
      </c>
      <c r="R1032">
        <v>109</v>
      </c>
      <c r="S1032" s="3">
        <v>1060.6199999999999</v>
      </c>
    </row>
    <row r="1033" spans="1:19" x14ac:dyDescent="0.2">
      <c r="A1033" t="s">
        <v>1734</v>
      </c>
      <c r="B1033" s="2">
        <v>45986</v>
      </c>
      <c r="C1033" s="2">
        <v>46006</v>
      </c>
      <c r="D1033" t="s">
        <v>1017</v>
      </c>
      <c r="E1033" t="s">
        <v>62</v>
      </c>
      <c r="F1033" t="s">
        <v>74</v>
      </c>
      <c r="G1033" t="s">
        <v>63</v>
      </c>
      <c r="H1033" t="s">
        <v>83</v>
      </c>
      <c r="I1033" t="s">
        <v>65</v>
      </c>
      <c r="J1033" t="s">
        <v>85</v>
      </c>
      <c r="K1033" t="s">
        <v>50</v>
      </c>
      <c r="L1033" t="s">
        <v>51</v>
      </c>
      <c r="M1033" s="3">
        <v>150600</v>
      </c>
      <c r="N1033" s="4">
        <v>0.19800000000000001</v>
      </c>
      <c r="O1033" s="4">
        <v>1</v>
      </c>
      <c r="P1033" t="s">
        <v>29</v>
      </c>
      <c r="R1033">
        <v>20</v>
      </c>
      <c r="S1033" s="3">
        <v>10068.69</v>
      </c>
    </row>
    <row r="1034" spans="1:19" x14ac:dyDescent="0.2">
      <c r="A1034" t="s">
        <v>1735</v>
      </c>
      <c r="B1034" s="2">
        <v>46243</v>
      </c>
      <c r="C1034" s="2">
        <v>46324</v>
      </c>
      <c r="D1034" t="s">
        <v>564</v>
      </c>
      <c r="E1034" t="s">
        <v>33</v>
      </c>
      <c r="F1034" t="s">
        <v>48</v>
      </c>
      <c r="G1034" t="s">
        <v>92</v>
      </c>
      <c r="H1034" t="s">
        <v>41</v>
      </c>
      <c r="I1034" t="s">
        <v>99</v>
      </c>
      <c r="J1034" t="s">
        <v>43</v>
      </c>
      <c r="K1034" t="s">
        <v>106</v>
      </c>
      <c r="L1034" t="s">
        <v>44</v>
      </c>
      <c r="M1034" s="3">
        <v>23800</v>
      </c>
      <c r="N1034" s="4">
        <v>0.153</v>
      </c>
      <c r="O1034" s="4">
        <v>0.2</v>
      </c>
      <c r="P1034" t="s">
        <v>38</v>
      </c>
      <c r="R1034">
        <v>81</v>
      </c>
      <c r="S1034" s="3">
        <v>1679.51</v>
      </c>
    </row>
    <row r="1035" spans="1:19" x14ac:dyDescent="0.2">
      <c r="A1035" t="s">
        <v>1736</v>
      </c>
      <c r="B1035" s="2">
        <v>46095</v>
      </c>
      <c r="C1035" s="2">
        <v>46165</v>
      </c>
      <c r="D1035" t="s">
        <v>746</v>
      </c>
      <c r="E1035" t="s">
        <v>91</v>
      </c>
      <c r="F1035" t="s">
        <v>48</v>
      </c>
      <c r="G1035" t="s">
        <v>92</v>
      </c>
      <c r="H1035" t="s">
        <v>24</v>
      </c>
      <c r="I1035" t="s">
        <v>42</v>
      </c>
      <c r="J1035" t="s">
        <v>36</v>
      </c>
      <c r="K1035" t="s">
        <v>88</v>
      </c>
      <c r="L1035" t="s">
        <v>51</v>
      </c>
      <c r="M1035" s="3">
        <v>28700</v>
      </c>
      <c r="N1035" s="4">
        <v>8.2000000000000003E-2</v>
      </c>
      <c r="O1035" s="4">
        <v>0.3</v>
      </c>
      <c r="P1035" t="s">
        <v>38</v>
      </c>
      <c r="R1035">
        <v>70</v>
      </c>
      <c r="S1035" s="3">
        <v>2195.37</v>
      </c>
    </row>
    <row r="1036" spans="1:19" x14ac:dyDescent="0.2">
      <c r="A1036" t="s">
        <v>1737</v>
      </c>
      <c r="B1036" s="2">
        <v>46044</v>
      </c>
      <c r="C1036" s="2">
        <v>46087</v>
      </c>
      <c r="D1036" t="s">
        <v>1168</v>
      </c>
      <c r="E1036" t="s">
        <v>111</v>
      </c>
      <c r="F1036" t="s">
        <v>22</v>
      </c>
      <c r="G1036" t="s">
        <v>23</v>
      </c>
      <c r="H1036" t="s">
        <v>83</v>
      </c>
      <c r="I1036" t="s">
        <v>35</v>
      </c>
      <c r="J1036" t="s">
        <v>43</v>
      </c>
      <c r="K1036" t="s">
        <v>50</v>
      </c>
      <c r="L1036" t="s">
        <v>44</v>
      </c>
      <c r="M1036" s="3">
        <v>88100</v>
      </c>
      <c r="N1036" s="4">
        <v>7.8E-2</v>
      </c>
      <c r="O1036" s="4">
        <v>1</v>
      </c>
      <c r="P1036" t="s">
        <v>29</v>
      </c>
      <c r="R1036">
        <v>43</v>
      </c>
      <c r="S1036" s="3">
        <v>6767.58</v>
      </c>
    </row>
    <row r="1037" spans="1:19" x14ac:dyDescent="0.2">
      <c r="A1037" t="s">
        <v>1738</v>
      </c>
      <c r="B1037" s="2">
        <v>46029</v>
      </c>
      <c r="C1037" s="2">
        <v>46147</v>
      </c>
      <c r="D1037" t="s">
        <v>736</v>
      </c>
      <c r="E1037" t="s">
        <v>82</v>
      </c>
      <c r="F1037" t="s">
        <v>22</v>
      </c>
      <c r="G1037" t="s">
        <v>63</v>
      </c>
      <c r="H1037" t="s">
        <v>49</v>
      </c>
      <c r="I1037" t="s">
        <v>65</v>
      </c>
      <c r="J1037" t="s">
        <v>85</v>
      </c>
      <c r="K1037" t="s">
        <v>88</v>
      </c>
      <c r="L1037" t="s">
        <v>51</v>
      </c>
      <c r="M1037" s="3">
        <v>29000</v>
      </c>
      <c r="N1037" s="4">
        <v>0.11899999999999999</v>
      </c>
      <c r="O1037" s="4">
        <v>0.35</v>
      </c>
      <c r="P1037" t="s">
        <v>38</v>
      </c>
      <c r="R1037">
        <v>118</v>
      </c>
      <c r="S1037" s="3">
        <v>2127.98</v>
      </c>
    </row>
    <row r="1038" spans="1:19" x14ac:dyDescent="0.2">
      <c r="A1038" t="s">
        <v>1739</v>
      </c>
      <c r="B1038" s="2">
        <v>46122</v>
      </c>
      <c r="C1038" s="2">
        <v>46213</v>
      </c>
      <c r="D1038" t="s">
        <v>1740</v>
      </c>
      <c r="E1038" t="s">
        <v>111</v>
      </c>
      <c r="F1038" t="s">
        <v>74</v>
      </c>
      <c r="G1038" t="s">
        <v>92</v>
      </c>
      <c r="H1038" t="s">
        <v>95</v>
      </c>
      <c r="I1038" t="s">
        <v>25</v>
      </c>
      <c r="J1038" t="s">
        <v>43</v>
      </c>
      <c r="K1038" t="s">
        <v>58</v>
      </c>
      <c r="L1038" t="s">
        <v>28</v>
      </c>
      <c r="M1038" s="3">
        <v>274100</v>
      </c>
      <c r="N1038" s="4">
        <v>0.16400000000000001</v>
      </c>
      <c r="O1038" s="4">
        <v>0.8</v>
      </c>
      <c r="P1038" t="s">
        <v>59</v>
      </c>
      <c r="R1038">
        <v>91</v>
      </c>
      <c r="S1038" s="3">
        <v>19102.689999999999</v>
      </c>
    </row>
    <row r="1039" spans="1:19" x14ac:dyDescent="0.2">
      <c r="A1039" t="s">
        <v>1741</v>
      </c>
      <c r="B1039" s="2">
        <v>46105</v>
      </c>
      <c r="C1039" s="2">
        <v>46133</v>
      </c>
      <c r="D1039" t="s">
        <v>204</v>
      </c>
      <c r="E1039" t="s">
        <v>62</v>
      </c>
      <c r="F1039" t="s">
        <v>48</v>
      </c>
      <c r="G1039" t="s">
        <v>34</v>
      </c>
      <c r="H1039" t="s">
        <v>77</v>
      </c>
      <c r="I1039" t="s">
        <v>25</v>
      </c>
      <c r="J1039" t="s">
        <v>57</v>
      </c>
      <c r="K1039" t="s">
        <v>50</v>
      </c>
      <c r="L1039" t="s">
        <v>44</v>
      </c>
      <c r="M1039" s="3">
        <v>21700</v>
      </c>
      <c r="N1039" s="4">
        <v>7.0999999999999994E-2</v>
      </c>
      <c r="O1039" s="4">
        <v>1</v>
      </c>
      <c r="P1039" t="s">
        <v>29</v>
      </c>
      <c r="R1039">
        <v>28</v>
      </c>
      <c r="S1039" s="3">
        <v>1680.66</v>
      </c>
    </row>
    <row r="1040" spans="1:19" x14ac:dyDescent="0.2">
      <c r="A1040" t="s">
        <v>1742</v>
      </c>
      <c r="B1040" s="2">
        <v>46105</v>
      </c>
      <c r="C1040" s="2">
        <v>46182</v>
      </c>
      <c r="D1040" t="s">
        <v>655</v>
      </c>
      <c r="E1040" t="s">
        <v>111</v>
      </c>
      <c r="F1040" t="s">
        <v>48</v>
      </c>
      <c r="G1040" t="s">
        <v>55</v>
      </c>
      <c r="H1040" t="s">
        <v>95</v>
      </c>
      <c r="I1040" t="s">
        <v>42</v>
      </c>
      <c r="J1040" t="s">
        <v>57</v>
      </c>
      <c r="K1040" t="s">
        <v>78</v>
      </c>
      <c r="L1040" t="s">
        <v>44</v>
      </c>
      <c r="M1040" s="3">
        <v>12300</v>
      </c>
      <c r="N1040" s="4">
        <v>0</v>
      </c>
      <c r="O1040" s="4">
        <v>0.6</v>
      </c>
      <c r="P1040" t="s">
        <v>79</v>
      </c>
      <c r="R1040">
        <v>77</v>
      </c>
      <c r="S1040" s="3">
        <v>1025</v>
      </c>
    </row>
    <row r="1041" spans="1:19" x14ac:dyDescent="0.2">
      <c r="A1041" t="s">
        <v>1743</v>
      </c>
      <c r="B1041" s="2">
        <v>45979</v>
      </c>
      <c r="C1041" s="2">
        <v>46105</v>
      </c>
      <c r="D1041" t="s">
        <v>836</v>
      </c>
      <c r="E1041" t="s">
        <v>62</v>
      </c>
      <c r="F1041" t="s">
        <v>22</v>
      </c>
      <c r="G1041" t="s">
        <v>34</v>
      </c>
      <c r="H1041" t="s">
        <v>49</v>
      </c>
      <c r="I1041" t="s">
        <v>25</v>
      </c>
      <c r="J1041" t="s">
        <v>26</v>
      </c>
      <c r="K1041" t="s">
        <v>58</v>
      </c>
      <c r="L1041" t="s">
        <v>44</v>
      </c>
      <c r="M1041" s="3">
        <v>39500</v>
      </c>
      <c r="N1041" s="4">
        <v>0.16300000000000001</v>
      </c>
      <c r="O1041" s="4">
        <v>0.75</v>
      </c>
      <c r="P1041" t="s">
        <v>59</v>
      </c>
      <c r="R1041">
        <v>126</v>
      </c>
      <c r="S1041" s="3">
        <v>2756.11</v>
      </c>
    </row>
    <row r="1042" spans="1:19" x14ac:dyDescent="0.2">
      <c r="A1042" t="s">
        <v>1744</v>
      </c>
      <c r="B1042" s="2">
        <v>46164</v>
      </c>
      <c r="C1042" s="2">
        <v>46192</v>
      </c>
      <c r="D1042" t="s">
        <v>1191</v>
      </c>
      <c r="E1042" t="s">
        <v>82</v>
      </c>
      <c r="F1042" t="s">
        <v>48</v>
      </c>
      <c r="G1042" t="s">
        <v>63</v>
      </c>
      <c r="H1042" t="s">
        <v>69</v>
      </c>
      <c r="I1042" t="s">
        <v>25</v>
      </c>
      <c r="J1042" t="s">
        <v>57</v>
      </c>
      <c r="K1042" t="s">
        <v>106</v>
      </c>
      <c r="L1042" t="s">
        <v>44</v>
      </c>
      <c r="M1042" s="3">
        <v>12700</v>
      </c>
      <c r="N1042" s="4">
        <v>0.107</v>
      </c>
      <c r="O1042" s="4">
        <v>0.2</v>
      </c>
      <c r="P1042" t="s">
        <v>38</v>
      </c>
      <c r="R1042">
        <v>28</v>
      </c>
      <c r="S1042" s="3">
        <v>944.75</v>
      </c>
    </row>
    <row r="1043" spans="1:19" x14ac:dyDescent="0.2">
      <c r="A1043" t="s">
        <v>1745</v>
      </c>
      <c r="B1043" s="2">
        <v>46222</v>
      </c>
      <c r="C1043" s="2">
        <v>46265</v>
      </c>
      <c r="D1043" t="s">
        <v>1504</v>
      </c>
      <c r="E1043" t="s">
        <v>21</v>
      </c>
      <c r="F1043" t="s">
        <v>74</v>
      </c>
      <c r="G1043" t="s">
        <v>92</v>
      </c>
      <c r="H1043" t="s">
        <v>77</v>
      </c>
      <c r="I1043" t="s">
        <v>35</v>
      </c>
      <c r="J1043" t="s">
        <v>57</v>
      </c>
      <c r="K1043" t="s">
        <v>50</v>
      </c>
      <c r="L1043" t="s">
        <v>28</v>
      </c>
      <c r="M1043" s="3">
        <v>271800</v>
      </c>
      <c r="N1043" s="4">
        <v>0.17699999999999999</v>
      </c>
      <c r="O1043" s="4">
        <v>1</v>
      </c>
      <c r="P1043" t="s">
        <v>29</v>
      </c>
      <c r="R1043">
        <v>43</v>
      </c>
      <c r="S1043" s="3">
        <v>18649.55</v>
      </c>
    </row>
    <row r="1044" spans="1:19" x14ac:dyDescent="0.2">
      <c r="A1044" t="s">
        <v>1746</v>
      </c>
      <c r="B1044" s="2">
        <v>46098</v>
      </c>
      <c r="C1044" s="2">
        <v>46218</v>
      </c>
      <c r="D1044" t="s">
        <v>1674</v>
      </c>
      <c r="E1044" t="s">
        <v>91</v>
      </c>
      <c r="F1044" t="s">
        <v>22</v>
      </c>
      <c r="G1044" t="s">
        <v>55</v>
      </c>
      <c r="H1044" t="s">
        <v>77</v>
      </c>
      <c r="I1044" t="s">
        <v>25</v>
      </c>
      <c r="J1044" t="s">
        <v>85</v>
      </c>
      <c r="K1044" t="s">
        <v>37</v>
      </c>
      <c r="L1044" t="s">
        <v>51</v>
      </c>
      <c r="M1044" s="3">
        <v>55600</v>
      </c>
      <c r="N1044" s="4">
        <v>6.3E-2</v>
      </c>
      <c r="O1044" s="4">
        <v>0.1</v>
      </c>
      <c r="P1044" t="s">
        <v>38</v>
      </c>
      <c r="R1044">
        <v>120</v>
      </c>
      <c r="S1044" s="3">
        <v>4342.41</v>
      </c>
    </row>
    <row r="1045" spans="1:19" x14ac:dyDescent="0.2">
      <c r="A1045" t="s">
        <v>1747</v>
      </c>
      <c r="B1045" s="2">
        <v>46065</v>
      </c>
      <c r="C1045" s="2">
        <v>46213</v>
      </c>
      <c r="D1045" t="s">
        <v>1319</v>
      </c>
      <c r="E1045" t="s">
        <v>68</v>
      </c>
      <c r="F1045" t="s">
        <v>22</v>
      </c>
      <c r="G1045" t="s">
        <v>23</v>
      </c>
      <c r="H1045" t="s">
        <v>69</v>
      </c>
      <c r="I1045" t="s">
        <v>65</v>
      </c>
      <c r="J1045" t="s">
        <v>57</v>
      </c>
      <c r="K1045" t="s">
        <v>78</v>
      </c>
      <c r="L1045" t="s">
        <v>28</v>
      </c>
      <c r="M1045" s="3">
        <v>51900</v>
      </c>
      <c r="N1045" s="4">
        <v>0.114</v>
      </c>
      <c r="O1045" s="4">
        <v>0.55000000000000004</v>
      </c>
      <c r="P1045" t="s">
        <v>79</v>
      </c>
      <c r="R1045">
        <v>148</v>
      </c>
      <c r="S1045" s="3">
        <v>3831.88</v>
      </c>
    </row>
    <row r="1046" spans="1:19" x14ac:dyDescent="0.2">
      <c r="A1046" t="s">
        <v>1748</v>
      </c>
      <c r="B1046" s="2">
        <v>46032</v>
      </c>
      <c r="C1046" s="2">
        <v>46078</v>
      </c>
      <c r="D1046" t="s">
        <v>1011</v>
      </c>
      <c r="E1046" t="s">
        <v>111</v>
      </c>
      <c r="F1046" t="s">
        <v>22</v>
      </c>
      <c r="G1046" t="s">
        <v>63</v>
      </c>
      <c r="H1046" t="s">
        <v>41</v>
      </c>
      <c r="I1046" t="s">
        <v>35</v>
      </c>
      <c r="J1046" t="s">
        <v>26</v>
      </c>
      <c r="K1046" t="s">
        <v>27</v>
      </c>
      <c r="L1046" t="s">
        <v>51</v>
      </c>
      <c r="M1046" s="3">
        <v>45400</v>
      </c>
      <c r="N1046" s="4">
        <v>9.5000000000000001E-2</v>
      </c>
      <c r="O1046" s="4">
        <v>0</v>
      </c>
      <c r="P1046" t="s">
        <v>29</v>
      </c>
      <c r="Q1046" t="s">
        <v>188</v>
      </c>
      <c r="R1046">
        <v>46</v>
      </c>
      <c r="S1046" s="3">
        <v>3425.31</v>
      </c>
    </row>
    <row r="1047" spans="1:19" x14ac:dyDescent="0.2">
      <c r="A1047" t="s">
        <v>1749</v>
      </c>
      <c r="B1047" s="2">
        <v>46201</v>
      </c>
      <c r="C1047" s="2">
        <v>46319</v>
      </c>
      <c r="D1047" t="s">
        <v>1750</v>
      </c>
      <c r="E1047" t="s">
        <v>68</v>
      </c>
      <c r="F1047" t="s">
        <v>22</v>
      </c>
      <c r="G1047" t="s">
        <v>63</v>
      </c>
      <c r="H1047" t="s">
        <v>56</v>
      </c>
      <c r="I1047" t="s">
        <v>35</v>
      </c>
      <c r="J1047" t="s">
        <v>85</v>
      </c>
      <c r="K1047" t="s">
        <v>88</v>
      </c>
      <c r="L1047" t="s">
        <v>51</v>
      </c>
      <c r="M1047" s="3">
        <v>82600</v>
      </c>
      <c r="N1047" s="4">
        <v>0.14199999999999999</v>
      </c>
      <c r="O1047" s="4">
        <v>0.35</v>
      </c>
      <c r="P1047" t="s">
        <v>38</v>
      </c>
      <c r="R1047">
        <v>118</v>
      </c>
      <c r="S1047" s="3">
        <v>5903.93</v>
      </c>
    </row>
    <row r="1048" spans="1:19" x14ac:dyDescent="0.2">
      <c r="A1048" t="s">
        <v>1751</v>
      </c>
      <c r="B1048" s="2">
        <v>46142</v>
      </c>
      <c r="C1048" s="2">
        <v>46203</v>
      </c>
      <c r="D1048" t="s">
        <v>289</v>
      </c>
      <c r="E1048" t="s">
        <v>62</v>
      </c>
      <c r="F1048" t="s">
        <v>48</v>
      </c>
      <c r="G1048" t="s">
        <v>92</v>
      </c>
      <c r="H1048" t="s">
        <v>137</v>
      </c>
      <c r="I1048" t="s">
        <v>42</v>
      </c>
      <c r="J1048" t="s">
        <v>57</v>
      </c>
      <c r="K1048" t="s">
        <v>58</v>
      </c>
      <c r="L1048" t="s">
        <v>28</v>
      </c>
      <c r="M1048" s="3">
        <v>16200</v>
      </c>
      <c r="N1048" s="4">
        <v>8.7999999999999995E-2</v>
      </c>
      <c r="O1048" s="4">
        <v>0.75</v>
      </c>
      <c r="P1048" t="s">
        <v>59</v>
      </c>
      <c r="R1048">
        <v>61</v>
      </c>
      <c r="S1048" s="3">
        <v>1231.1199999999999</v>
      </c>
    </row>
    <row r="1049" spans="1:19" x14ac:dyDescent="0.2">
      <c r="A1049" t="s">
        <v>1752</v>
      </c>
      <c r="B1049" s="2">
        <v>46123</v>
      </c>
      <c r="C1049" s="2">
        <v>46191</v>
      </c>
      <c r="D1049" t="s">
        <v>330</v>
      </c>
      <c r="E1049" t="s">
        <v>91</v>
      </c>
      <c r="F1049" t="s">
        <v>48</v>
      </c>
      <c r="G1049" t="s">
        <v>34</v>
      </c>
      <c r="H1049" t="s">
        <v>64</v>
      </c>
      <c r="I1049" t="s">
        <v>42</v>
      </c>
      <c r="J1049" t="s">
        <v>57</v>
      </c>
      <c r="K1049" t="s">
        <v>58</v>
      </c>
      <c r="L1049" t="s">
        <v>28</v>
      </c>
      <c r="M1049" s="3">
        <v>18500</v>
      </c>
      <c r="N1049" s="4">
        <v>7.0999999999999994E-2</v>
      </c>
      <c r="O1049" s="4">
        <v>0.75</v>
      </c>
      <c r="P1049" t="s">
        <v>59</v>
      </c>
      <c r="R1049">
        <v>68</v>
      </c>
      <c r="S1049" s="3">
        <v>1431.68</v>
      </c>
    </row>
    <row r="1050" spans="1:19" x14ac:dyDescent="0.2">
      <c r="A1050" t="s">
        <v>1753</v>
      </c>
      <c r="B1050" s="2">
        <v>46099</v>
      </c>
      <c r="C1050" s="2">
        <v>46200</v>
      </c>
      <c r="D1050" t="s">
        <v>1754</v>
      </c>
      <c r="E1050" t="s">
        <v>33</v>
      </c>
      <c r="F1050" t="s">
        <v>48</v>
      </c>
      <c r="G1050" t="s">
        <v>92</v>
      </c>
      <c r="H1050" t="s">
        <v>64</v>
      </c>
      <c r="I1050" t="s">
        <v>84</v>
      </c>
      <c r="J1050" t="s">
        <v>26</v>
      </c>
      <c r="K1050" t="s">
        <v>37</v>
      </c>
      <c r="L1050" t="s">
        <v>51</v>
      </c>
      <c r="M1050" s="3">
        <v>12600</v>
      </c>
      <c r="N1050" s="4">
        <v>0.10299999999999999</v>
      </c>
      <c r="O1050" s="4">
        <v>0.05</v>
      </c>
      <c r="P1050" t="s">
        <v>38</v>
      </c>
      <c r="R1050">
        <v>101</v>
      </c>
      <c r="S1050" s="3">
        <v>942.36</v>
      </c>
    </row>
    <row r="1051" spans="1:19" x14ac:dyDescent="0.2">
      <c r="A1051" t="s">
        <v>1755</v>
      </c>
      <c r="B1051" s="2">
        <v>45965</v>
      </c>
      <c r="C1051" s="2">
        <v>46102</v>
      </c>
      <c r="D1051" t="s">
        <v>461</v>
      </c>
      <c r="E1051" t="s">
        <v>82</v>
      </c>
      <c r="F1051" t="s">
        <v>48</v>
      </c>
      <c r="G1051" t="s">
        <v>34</v>
      </c>
      <c r="H1051" t="s">
        <v>41</v>
      </c>
      <c r="I1051" t="s">
        <v>35</v>
      </c>
      <c r="J1051" t="s">
        <v>36</v>
      </c>
      <c r="K1051" t="s">
        <v>50</v>
      </c>
      <c r="L1051" t="s">
        <v>51</v>
      </c>
      <c r="M1051" s="3">
        <v>6400</v>
      </c>
      <c r="N1051" s="4">
        <v>0.14000000000000001</v>
      </c>
      <c r="O1051" s="4">
        <v>0.95</v>
      </c>
      <c r="P1051" t="s">
        <v>29</v>
      </c>
      <c r="R1051">
        <v>137</v>
      </c>
      <c r="S1051" s="3">
        <v>458.48</v>
      </c>
    </row>
    <row r="1052" spans="1:19" x14ac:dyDescent="0.2">
      <c r="A1052" t="s">
        <v>1756</v>
      </c>
      <c r="B1052" s="2">
        <v>46029</v>
      </c>
      <c r="C1052" s="2">
        <v>46159</v>
      </c>
      <c r="D1052" t="s">
        <v>882</v>
      </c>
      <c r="E1052" t="s">
        <v>111</v>
      </c>
      <c r="F1052" t="s">
        <v>48</v>
      </c>
      <c r="G1052" t="s">
        <v>92</v>
      </c>
      <c r="H1052" t="s">
        <v>120</v>
      </c>
      <c r="I1052" t="s">
        <v>35</v>
      </c>
      <c r="J1052" t="s">
        <v>85</v>
      </c>
      <c r="K1052" t="s">
        <v>27</v>
      </c>
      <c r="L1052" t="s">
        <v>51</v>
      </c>
      <c r="M1052" s="3">
        <v>28500</v>
      </c>
      <c r="N1052" s="4">
        <v>8.5999999999999993E-2</v>
      </c>
      <c r="O1052" s="4">
        <v>0</v>
      </c>
      <c r="P1052" t="s">
        <v>29</v>
      </c>
      <c r="Q1052" t="s">
        <v>45</v>
      </c>
      <c r="R1052">
        <v>130</v>
      </c>
      <c r="S1052" s="3">
        <v>2170.2600000000002</v>
      </c>
    </row>
    <row r="1053" spans="1:19" x14ac:dyDescent="0.2">
      <c r="A1053" t="s">
        <v>1757</v>
      </c>
      <c r="B1053" s="2">
        <v>45960</v>
      </c>
      <c r="C1053" s="2">
        <v>46038</v>
      </c>
      <c r="D1053" t="s">
        <v>836</v>
      </c>
      <c r="E1053" t="s">
        <v>54</v>
      </c>
      <c r="F1053" t="s">
        <v>22</v>
      </c>
      <c r="G1053" t="s">
        <v>23</v>
      </c>
      <c r="H1053" t="s">
        <v>83</v>
      </c>
      <c r="I1053" t="s">
        <v>25</v>
      </c>
      <c r="J1053" t="s">
        <v>26</v>
      </c>
      <c r="K1053" t="s">
        <v>106</v>
      </c>
      <c r="L1053" t="s">
        <v>28</v>
      </c>
      <c r="M1053" s="3">
        <v>96300</v>
      </c>
      <c r="N1053" s="4">
        <v>0.14899999999999999</v>
      </c>
      <c r="O1053" s="4">
        <v>0.15</v>
      </c>
      <c r="P1053" t="s">
        <v>38</v>
      </c>
      <c r="R1053">
        <v>78</v>
      </c>
      <c r="S1053" s="3">
        <v>6826</v>
      </c>
    </row>
    <row r="1054" spans="1:19" x14ac:dyDescent="0.2">
      <c r="A1054" t="s">
        <v>1758</v>
      </c>
      <c r="B1054" s="2">
        <v>46173</v>
      </c>
      <c r="C1054" s="2">
        <v>46293</v>
      </c>
      <c r="D1054" t="s">
        <v>1045</v>
      </c>
      <c r="E1054" t="s">
        <v>54</v>
      </c>
      <c r="F1054" t="s">
        <v>48</v>
      </c>
      <c r="G1054" t="s">
        <v>63</v>
      </c>
      <c r="H1054" t="s">
        <v>49</v>
      </c>
      <c r="I1054" t="s">
        <v>35</v>
      </c>
      <c r="J1054" t="s">
        <v>43</v>
      </c>
      <c r="K1054" t="s">
        <v>88</v>
      </c>
      <c r="L1054" t="s">
        <v>44</v>
      </c>
      <c r="M1054" s="3">
        <v>29300</v>
      </c>
      <c r="N1054" s="4">
        <v>0.156</v>
      </c>
      <c r="O1054" s="4">
        <v>0.3</v>
      </c>
      <c r="P1054" t="s">
        <v>38</v>
      </c>
      <c r="R1054">
        <v>120</v>
      </c>
      <c r="S1054" s="3">
        <v>2060.19</v>
      </c>
    </row>
    <row r="1055" spans="1:19" x14ac:dyDescent="0.2">
      <c r="A1055" t="s">
        <v>1759</v>
      </c>
      <c r="B1055" s="2">
        <v>45986</v>
      </c>
      <c r="C1055" s="2">
        <v>46072</v>
      </c>
      <c r="D1055" t="s">
        <v>1352</v>
      </c>
      <c r="E1055" t="s">
        <v>82</v>
      </c>
      <c r="F1055" t="s">
        <v>74</v>
      </c>
      <c r="G1055" t="s">
        <v>55</v>
      </c>
      <c r="H1055" t="s">
        <v>98</v>
      </c>
      <c r="I1055" t="s">
        <v>25</v>
      </c>
      <c r="J1055" t="s">
        <v>26</v>
      </c>
      <c r="K1055" t="s">
        <v>78</v>
      </c>
      <c r="L1055" t="s">
        <v>28</v>
      </c>
      <c r="M1055" s="3">
        <v>107400</v>
      </c>
      <c r="N1055" s="4">
        <v>0.11</v>
      </c>
      <c r="O1055" s="4">
        <v>0.6</v>
      </c>
      <c r="P1055" t="s">
        <v>79</v>
      </c>
      <c r="R1055">
        <v>86</v>
      </c>
      <c r="S1055" s="3">
        <v>7963.69</v>
      </c>
    </row>
    <row r="1056" spans="1:19" x14ac:dyDescent="0.2">
      <c r="A1056" t="s">
        <v>1760</v>
      </c>
      <c r="B1056" s="2">
        <v>46139</v>
      </c>
      <c r="C1056" s="2">
        <v>46193</v>
      </c>
      <c r="D1056" t="s">
        <v>368</v>
      </c>
      <c r="E1056" t="s">
        <v>33</v>
      </c>
      <c r="F1056" t="s">
        <v>22</v>
      </c>
      <c r="G1056" t="s">
        <v>55</v>
      </c>
      <c r="H1056" t="s">
        <v>83</v>
      </c>
      <c r="I1056" t="s">
        <v>84</v>
      </c>
      <c r="J1056" t="s">
        <v>26</v>
      </c>
      <c r="K1056" t="s">
        <v>78</v>
      </c>
      <c r="L1056" t="s">
        <v>28</v>
      </c>
      <c r="M1056" s="3">
        <v>49500</v>
      </c>
      <c r="N1056" s="4">
        <v>0.16500000000000001</v>
      </c>
      <c r="O1056" s="4">
        <v>0.6</v>
      </c>
      <c r="P1056" t="s">
        <v>79</v>
      </c>
      <c r="R1056">
        <v>54</v>
      </c>
      <c r="S1056" s="3">
        <v>3444.52</v>
      </c>
    </row>
    <row r="1057" spans="1:19" x14ac:dyDescent="0.2">
      <c r="A1057" t="s">
        <v>1761</v>
      </c>
      <c r="B1057" s="2">
        <v>46144</v>
      </c>
      <c r="C1057" s="2">
        <v>46231</v>
      </c>
      <c r="D1057" t="s">
        <v>1202</v>
      </c>
      <c r="E1057" t="s">
        <v>33</v>
      </c>
      <c r="F1057" t="s">
        <v>48</v>
      </c>
      <c r="G1057" t="s">
        <v>55</v>
      </c>
      <c r="H1057" t="s">
        <v>98</v>
      </c>
      <c r="I1057" t="s">
        <v>25</v>
      </c>
      <c r="J1057" t="s">
        <v>36</v>
      </c>
      <c r="K1057" t="s">
        <v>27</v>
      </c>
      <c r="L1057" t="s">
        <v>44</v>
      </c>
      <c r="M1057" s="3">
        <v>14300</v>
      </c>
      <c r="N1057" s="4">
        <v>1.2E-2</v>
      </c>
      <c r="O1057" s="4">
        <v>0</v>
      </c>
      <c r="P1057" t="s">
        <v>29</v>
      </c>
      <c r="Q1057" t="s">
        <v>188</v>
      </c>
      <c r="R1057">
        <v>87</v>
      </c>
      <c r="S1057" s="3">
        <v>1177.82</v>
      </c>
    </row>
    <row r="1058" spans="1:19" x14ac:dyDescent="0.2">
      <c r="A1058" t="s">
        <v>1762</v>
      </c>
      <c r="B1058" s="2">
        <v>45965</v>
      </c>
      <c r="C1058" s="2">
        <v>46115</v>
      </c>
      <c r="D1058" t="s">
        <v>1763</v>
      </c>
      <c r="E1058" t="s">
        <v>68</v>
      </c>
      <c r="F1058" t="s">
        <v>48</v>
      </c>
      <c r="G1058" t="s">
        <v>55</v>
      </c>
      <c r="H1058" t="s">
        <v>49</v>
      </c>
      <c r="I1058" t="s">
        <v>84</v>
      </c>
      <c r="J1058" t="s">
        <v>43</v>
      </c>
      <c r="K1058" t="s">
        <v>88</v>
      </c>
      <c r="L1058" t="s">
        <v>44</v>
      </c>
      <c r="M1058" s="3">
        <v>15800</v>
      </c>
      <c r="N1058" s="4">
        <v>0</v>
      </c>
      <c r="O1058" s="4">
        <v>0.35</v>
      </c>
      <c r="P1058" t="s">
        <v>38</v>
      </c>
      <c r="R1058">
        <v>150</v>
      </c>
      <c r="S1058" s="3">
        <v>1316.67</v>
      </c>
    </row>
    <row r="1059" spans="1:19" x14ac:dyDescent="0.2">
      <c r="A1059" t="s">
        <v>1764</v>
      </c>
      <c r="B1059" s="2">
        <v>46079</v>
      </c>
      <c r="C1059" s="2">
        <v>46123</v>
      </c>
      <c r="D1059" t="s">
        <v>366</v>
      </c>
      <c r="E1059" t="s">
        <v>91</v>
      </c>
      <c r="F1059" t="s">
        <v>48</v>
      </c>
      <c r="G1059" t="s">
        <v>34</v>
      </c>
      <c r="H1059" t="s">
        <v>77</v>
      </c>
      <c r="I1059" t="s">
        <v>99</v>
      </c>
      <c r="J1059" t="s">
        <v>85</v>
      </c>
      <c r="K1059" t="s">
        <v>27</v>
      </c>
      <c r="L1059" t="s">
        <v>28</v>
      </c>
      <c r="M1059" s="3">
        <v>16900</v>
      </c>
      <c r="N1059" s="4">
        <v>0.122</v>
      </c>
      <c r="O1059" s="4">
        <v>0</v>
      </c>
      <c r="P1059" t="s">
        <v>29</v>
      </c>
      <c r="Q1059" t="s">
        <v>45</v>
      </c>
      <c r="R1059">
        <v>44</v>
      </c>
      <c r="S1059" s="3">
        <v>1237.07</v>
      </c>
    </row>
    <row r="1060" spans="1:19" x14ac:dyDescent="0.2">
      <c r="A1060" t="s">
        <v>1765</v>
      </c>
      <c r="B1060" s="2">
        <v>46255</v>
      </c>
      <c r="C1060" s="2">
        <v>46298</v>
      </c>
      <c r="D1060" t="s">
        <v>440</v>
      </c>
      <c r="E1060" t="s">
        <v>62</v>
      </c>
      <c r="F1060" t="s">
        <v>48</v>
      </c>
      <c r="G1060" t="s">
        <v>23</v>
      </c>
      <c r="H1060" t="s">
        <v>98</v>
      </c>
      <c r="I1060" t="s">
        <v>99</v>
      </c>
      <c r="J1060" t="s">
        <v>57</v>
      </c>
      <c r="K1060" t="s">
        <v>78</v>
      </c>
      <c r="L1060" t="s">
        <v>44</v>
      </c>
      <c r="M1060" s="3">
        <v>10400</v>
      </c>
      <c r="N1060" s="4">
        <v>0.14099999999999999</v>
      </c>
      <c r="O1060" s="4">
        <v>0.55000000000000004</v>
      </c>
      <c r="P1060" t="s">
        <v>79</v>
      </c>
      <c r="R1060">
        <v>43</v>
      </c>
      <c r="S1060" s="3">
        <v>744.63</v>
      </c>
    </row>
    <row r="1061" spans="1:19" x14ac:dyDescent="0.2">
      <c r="A1061" t="s">
        <v>1766</v>
      </c>
      <c r="B1061" s="2">
        <v>45968</v>
      </c>
      <c r="C1061" s="2">
        <v>46014</v>
      </c>
      <c r="D1061" t="s">
        <v>1767</v>
      </c>
      <c r="E1061" t="s">
        <v>111</v>
      </c>
      <c r="F1061" t="s">
        <v>48</v>
      </c>
      <c r="G1061" t="s">
        <v>92</v>
      </c>
      <c r="H1061" t="s">
        <v>137</v>
      </c>
      <c r="I1061" t="s">
        <v>84</v>
      </c>
      <c r="J1061" t="s">
        <v>85</v>
      </c>
      <c r="K1061" t="s">
        <v>50</v>
      </c>
      <c r="L1061" t="s">
        <v>28</v>
      </c>
      <c r="M1061" s="3">
        <v>27000</v>
      </c>
      <c r="N1061" s="4">
        <v>0.17899999999999999</v>
      </c>
      <c r="O1061" s="4">
        <v>0.95</v>
      </c>
      <c r="P1061" t="s">
        <v>29</v>
      </c>
      <c r="R1061">
        <v>46</v>
      </c>
      <c r="S1061" s="3">
        <v>1848</v>
      </c>
    </row>
    <row r="1062" spans="1:19" x14ac:dyDescent="0.2">
      <c r="A1062" t="s">
        <v>1768</v>
      </c>
      <c r="B1062" s="2">
        <v>46006</v>
      </c>
      <c r="C1062" s="2">
        <v>46152</v>
      </c>
      <c r="D1062" t="s">
        <v>1769</v>
      </c>
      <c r="E1062" t="s">
        <v>91</v>
      </c>
      <c r="F1062" t="s">
        <v>48</v>
      </c>
      <c r="G1062" t="s">
        <v>34</v>
      </c>
      <c r="H1062" t="s">
        <v>120</v>
      </c>
      <c r="I1062" t="s">
        <v>84</v>
      </c>
      <c r="J1062" t="s">
        <v>57</v>
      </c>
      <c r="K1062" t="s">
        <v>88</v>
      </c>
      <c r="L1062" t="s">
        <v>44</v>
      </c>
      <c r="M1062" s="3">
        <v>23300</v>
      </c>
      <c r="N1062" s="4">
        <v>0.13800000000000001</v>
      </c>
      <c r="O1062" s="4">
        <v>0.35</v>
      </c>
      <c r="P1062" t="s">
        <v>38</v>
      </c>
      <c r="R1062">
        <v>146</v>
      </c>
      <c r="S1062" s="3">
        <v>1674.59</v>
      </c>
    </row>
    <row r="1063" spans="1:19" x14ac:dyDescent="0.2">
      <c r="A1063" t="s">
        <v>1770</v>
      </c>
      <c r="B1063" s="2">
        <v>46086</v>
      </c>
      <c r="C1063" s="2">
        <v>46181</v>
      </c>
      <c r="D1063" t="s">
        <v>1092</v>
      </c>
      <c r="E1063" t="s">
        <v>21</v>
      </c>
      <c r="F1063" t="s">
        <v>48</v>
      </c>
      <c r="G1063" t="s">
        <v>23</v>
      </c>
      <c r="H1063" t="s">
        <v>24</v>
      </c>
      <c r="I1063" t="s">
        <v>35</v>
      </c>
      <c r="J1063" t="s">
        <v>85</v>
      </c>
      <c r="K1063" t="s">
        <v>88</v>
      </c>
      <c r="L1063" t="s">
        <v>28</v>
      </c>
      <c r="M1063" s="3">
        <v>18300</v>
      </c>
      <c r="N1063" s="4">
        <v>4.4999999999999998E-2</v>
      </c>
      <c r="O1063" s="4">
        <v>0.35</v>
      </c>
      <c r="P1063" t="s">
        <v>38</v>
      </c>
      <c r="R1063">
        <v>95</v>
      </c>
      <c r="S1063" s="3">
        <v>1456.51</v>
      </c>
    </row>
    <row r="1064" spans="1:19" x14ac:dyDescent="0.2">
      <c r="A1064" t="s">
        <v>1771</v>
      </c>
      <c r="B1064" s="2">
        <v>46155</v>
      </c>
      <c r="C1064" s="2">
        <v>46237</v>
      </c>
      <c r="D1064" t="s">
        <v>594</v>
      </c>
      <c r="E1064" t="s">
        <v>68</v>
      </c>
      <c r="F1064" t="s">
        <v>48</v>
      </c>
      <c r="G1064" t="s">
        <v>34</v>
      </c>
      <c r="H1064" t="s">
        <v>137</v>
      </c>
      <c r="I1064" t="s">
        <v>35</v>
      </c>
      <c r="J1064" t="s">
        <v>85</v>
      </c>
      <c r="K1064" t="s">
        <v>37</v>
      </c>
      <c r="L1064" t="s">
        <v>44</v>
      </c>
      <c r="M1064" s="3">
        <v>17000</v>
      </c>
      <c r="N1064" s="4">
        <v>8.6999999999999994E-2</v>
      </c>
      <c r="O1064" s="4">
        <v>0.15</v>
      </c>
      <c r="P1064" t="s">
        <v>38</v>
      </c>
      <c r="R1064">
        <v>82</v>
      </c>
      <c r="S1064" s="3">
        <v>1293.1099999999999</v>
      </c>
    </row>
    <row r="1065" spans="1:19" x14ac:dyDescent="0.2">
      <c r="A1065" t="s">
        <v>1772</v>
      </c>
      <c r="B1065" s="2">
        <v>46227</v>
      </c>
      <c r="C1065" s="2">
        <v>46256</v>
      </c>
      <c r="D1065" t="s">
        <v>1773</v>
      </c>
      <c r="E1065" t="s">
        <v>54</v>
      </c>
      <c r="F1065" t="s">
        <v>74</v>
      </c>
      <c r="G1065" t="s">
        <v>23</v>
      </c>
      <c r="H1065" t="s">
        <v>24</v>
      </c>
      <c r="I1065" t="s">
        <v>99</v>
      </c>
      <c r="J1065" t="s">
        <v>43</v>
      </c>
      <c r="K1065" t="s">
        <v>58</v>
      </c>
      <c r="L1065" t="s">
        <v>44</v>
      </c>
      <c r="M1065" s="3">
        <v>181600</v>
      </c>
      <c r="N1065" s="4">
        <v>0.121</v>
      </c>
      <c r="O1065" s="4">
        <v>0.75</v>
      </c>
      <c r="P1065" t="s">
        <v>59</v>
      </c>
      <c r="R1065">
        <v>29</v>
      </c>
      <c r="S1065" s="3">
        <v>13307.28</v>
      </c>
    </row>
    <row r="1066" spans="1:19" x14ac:dyDescent="0.2">
      <c r="A1066" t="s">
        <v>1774</v>
      </c>
      <c r="B1066" s="2">
        <v>46002</v>
      </c>
      <c r="C1066" s="2">
        <v>46061</v>
      </c>
      <c r="D1066" t="s">
        <v>1775</v>
      </c>
      <c r="E1066" t="s">
        <v>21</v>
      </c>
      <c r="F1066" t="s">
        <v>22</v>
      </c>
      <c r="G1066" t="s">
        <v>63</v>
      </c>
      <c r="H1066" t="s">
        <v>41</v>
      </c>
      <c r="I1066" t="s">
        <v>25</v>
      </c>
      <c r="J1066" t="s">
        <v>43</v>
      </c>
      <c r="K1066" t="s">
        <v>37</v>
      </c>
      <c r="L1066" t="s">
        <v>51</v>
      </c>
      <c r="M1066" s="3">
        <v>44400</v>
      </c>
      <c r="N1066" s="4">
        <v>7.2999999999999995E-2</v>
      </c>
      <c r="O1066" s="4">
        <v>0.1</v>
      </c>
      <c r="P1066" t="s">
        <v>38</v>
      </c>
      <c r="R1066">
        <v>59</v>
      </c>
      <c r="S1066" s="3">
        <v>3428.75</v>
      </c>
    </row>
    <row r="1067" spans="1:19" x14ac:dyDescent="0.2">
      <c r="A1067" t="s">
        <v>1776</v>
      </c>
      <c r="B1067" s="2">
        <v>46269</v>
      </c>
      <c r="C1067" s="2">
        <v>46277</v>
      </c>
      <c r="D1067" t="s">
        <v>1191</v>
      </c>
      <c r="E1067" t="s">
        <v>54</v>
      </c>
      <c r="F1067" t="s">
        <v>48</v>
      </c>
      <c r="G1067" t="s">
        <v>92</v>
      </c>
      <c r="H1067" t="s">
        <v>56</v>
      </c>
      <c r="I1067" t="s">
        <v>99</v>
      </c>
      <c r="J1067" t="s">
        <v>43</v>
      </c>
      <c r="K1067" t="s">
        <v>50</v>
      </c>
      <c r="L1067" t="s">
        <v>51</v>
      </c>
      <c r="M1067" s="3">
        <v>27600</v>
      </c>
      <c r="N1067" s="4">
        <v>0.1</v>
      </c>
      <c r="O1067" s="4">
        <v>1</v>
      </c>
      <c r="P1067" t="s">
        <v>29</v>
      </c>
      <c r="R1067">
        <v>8</v>
      </c>
      <c r="S1067" s="3">
        <v>2069.67</v>
      </c>
    </row>
    <row r="1068" spans="1:19" x14ac:dyDescent="0.2">
      <c r="A1068" t="s">
        <v>1777</v>
      </c>
      <c r="B1068" s="2">
        <v>45951</v>
      </c>
      <c r="C1068" s="2">
        <v>46055</v>
      </c>
      <c r="D1068" t="s">
        <v>1778</v>
      </c>
      <c r="E1068" t="s">
        <v>54</v>
      </c>
      <c r="F1068" t="s">
        <v>48</v>
      </c>
      <c r="G1068" t="s">
        <v>55</v>
      </c>
      <c r="H1068" t="s">
        <v>98</v>
      </c>
      <c r="I1068" t="s">
        <v>42</v>
      </c>
      <c r="J1068" t="s">
        <v>57</v>
      </c>
      <c r="K1068" t="s">
        <v>88</v>
      </c>
      <c r="L1068" t="s">
        <v>28</v>
      </c>
      <c r="M1068" s="3">
        <v>23400</v>
      </c>
      <c r="N1068" s="4">
        <v>0.10299999999999999</v>
      </c>
      <c r="O1068" s="4">
        <v>0.4</v>
      </c>
      <c r="P1068" t="s">
        <v>38</v>
      </c>
      <c r="R1068">
        <v>104</v>
      </c>
      <c r="S1068" s="3">
        <v>1749.37</v>
      </c>
    </row>
    <row r="1069" spans="1:19" x14ac:dyDescent="0.2">
      <c r="A1069" t="s">
        <v>1779</v>
      </c>
      <c r="B1069" s="2">
        <v>46018</v>
      </c>
      <c r="C1069" s="2">
        <v>46073</v>
      </c>
      <c r="D1069" t="s">
        <v>87</v>
      </c>
      <c r="E1069" t="s">
        <v>54</v>
      </c>
      <c r="F1069" t="s">
        <v>48</v>
      </c>
      <c r="G1069" t="s">
        <v>92</v>
      </c>
      <c r="H1069" t="s">
        <v>24</v>
      </c>
      <c r="I1069" t="s">
        <v>25</v>
      </c>
      <c r="J1069" t="s">
        <v>43</v>
      </c>
      <c r="K1069" t="s">
        <v>27</v>
      </c>
      <c r="L1069" t="s">
        <v>44</v>
      </c>
      <c r="M1069" s="3">
        <v>25500</v>
      </c>
      <c r="N1069" s="4">
        <v>0.16400000000000001</v>
      </c>
      <c r="O1069" s="4">
        <v>0.05</v>
      </c>
      <c r="P1069" t="s">
        <v>29</v>
      </c>
      <c r="Q1069" t="s">
        <v>45</v>
      </c>
      <c r="R1069">
        <v>55</v>
      </c>
      <c r="S1069" s="3">
        <v>1775.97</v>
      </c>
    </row>
    <row r="1070" spans="1:19" x14ac:dyDescent="0.2">
      <c r="A1070" t="s">
        <v>1780</v>
      </c>
      <c r="B1070" s="2">
        <v>45986</v>
      </c>
      <c r="C1070" s="2">
        <v>46030</v>
      </c>
      <c r="D1070" t="s">
        <v>900</v>
      </c>
      <c r="E1070" t="s">
        <v>54</v>
      </c>
      <c r="F1070" t="s">
        <v>48</v>
      </c>
      <c r="G1070" t="s">
        <v>23</v>
      </c>
      <c r="H1070" t="s">
        <v>98</v>
      </c>
      <c r="I1070" t="s">
        <v>99</v>
      </c>
      <c r="J1070" t="s">
        <v>36</v>
      </c>
      <c r="K1070" t="s">
        <v>88</v>
      </c>
      <c r="L1070" t="s">
        <v>44</v>
      </c>
      <c r="M1070" s="3">
        <v>10700</v>
      </c>
      <c r="N1070" s="4">
        <v>8.8999999999999996E-2</v>
      </c>
      <c r="O1070" s="4">
        <v>0.35</v>
      </c>
      <c r="P1070" t="s">
        <v>38</v>
      </c>
      <c r="R1070">
        <v>44</v>
      </c>
      <c r="S1070" s="3">
        <v>812.11</v>
      </c>
    </row>
    <row r="1071" spans="1:19" x14ac:dyDescent="0.2">
      <c r="A1071" t="s">
        <v>1781</v>
      </c>
      <c r="B1071" s="2">
        <v>46273</v>
      </c>
      <c r="C1071" s="2">
        <v>46337</v>
      </c>
      <c r="D1071" t="s">
        <v>1782</v>
      </c>
      <c r="E1071" t="s">
        <v>62</v>
      </c>
      <c r="F1071" t="s">
        <v>74</v>
      </c>
      <c r="G1071" t="s">
        <v>34</v>
      </c>
      <c r="H1071" t="s">
        <v>69</v>
      </c>
      <c r="I1071" t="s">
        <v>65</v>
      </c>
      <c r="J1071" t="s">
        <v>43</v>
      </c>
      <c r="K1071" t="s">
        <v>37</v>
      </c>
      <c r="L1071" t="s">
        <v>44</v>
      </c>
      <c r="M1071" s="3">
        <v>153600</v>
      </c>
      <c r="N1071" s="4">
        <v>8.9999999999999993E-3</v>
      </c>
      <c r="O1071" s="4">
        <v>0.1</v>
      </c>
      <c r="P1071" t="s">
        <v>38</v>
      </c>
      <c r="R1071">
        <v>64</v>
      </c>
      <c r="S1071" s="3">
        <v>12687.21</v>
      </c>
    </row>
    <row r="1072" spans="1:19" x14ac:dyDescent="0.2">
      <c r="A1072" t="s">
        <v>1783</v>
      </c>
      <c r="B1072" s="2">
        <v>46035</v>
      </c>
      <c r="C1072" s="2">
        <v>46100</v>
      </c>
      <c r="D1072" t="s">
        <v>1784</v>
      </c>
      <c r="E1072" t="s">
        <v>82</v>
      </c>
      <c r="F1072" t="s">
        <v>22</v>
      </c>
      <c r="G1072" t="s">
        <v>34</v>
      </c>
      <c r="H1072" t="s">
        <v>95</v>
      </c>
      <c r="I1072" t="s">
        <v>35</v>
      </c>
      <c r="J1072" t="s">
        <v>85</v>
      </c>
      <c r="K1072" t="s">
        <v>106</v>
      </c>
      <c r="L1072" t="s">
        <v>28</v>
      </c>
      <c r="M1072" s="3">
        <v>92600</v>
      </c>
      <c r="N1072" s="4">
        <v>3.4000000000000002E-2</v>
      </c>
      <c r="O1072" s="4">
        <v>0.2</v>
      </c>
      <c r="P1072" t="s">
        <v>38</v>
      </c>
      <c r="R1072">
        <v>65</v>
      </c>
      <c r="S1072" s="3">
        <v>7452.37</v>
      </c>
    </row>
    <row r="1073" spans="1:19" x14ac:dyDescent="0.2">
      <c r="A1073" t="s">
        <v>1785</v>
      </c>
      <c r="B1073" s="2">
        <v>46169</v>
      </c>
      <c r="C1073" s="2">
        <v>46232</v>
      </c>
      <c r="D1073" t="s">
        <v>309</v>
      </c>
      <c r="E1073" t="s">
        <v>21</v>
      </c>
      <c r="F1073" t="s">
        <v>74</v>
      </c>
      <c r="G1073" t="s">
        <v>34</v>
      </c>
      <c r="H1073" t="s">
        <v>41</v>
      </c>
      <c r="I1073" t="s">
        <v>84</v>
      </c>
      <c r="J1073" t="s">
        <v>85</v>
      </c>
      <c r="K1073" t="s">
        <v>78</v>
      </c>
      <c r="L1073" t="s">
        <v>28</v>
      </c>
      <c r="M1073" s="3">
        <v>245200</v>
      </c>
      <c r="N1073" s="4">
        <v>0.128</v>
      </c>
      <c r="O1073" s="4">
        <v>0.55000000000000004</v>
      </c>
      <c r="P1073" t="s">
        <v>79</v>
      </c>
      <c r="R1073">
        <v>63</v>
      </c>
      <c r="S1073" s="3">
        <v>17824.14</v>
      </c>
    </row>
    <row r="1074" spans="1:19" x14ac:dyDescent="0.2">
      <c r="A1074" t="s">
        <v>1786</v>
      </c>
      <c r="B1074" s="2">
        <v>46083</v>
      </c>
      <c r="C1074" s="2">
        <v>46148</v>
      </c>
      <c r="D1074" t="s">
        <v>1532</v>
      </c>
      <c r="E1074" t="s">
        <v>62</v>
      </c>
      <c r="F1074" t="s">
        <v>22</v>
      </c>
      <c r="G1074" t="s">
        <v>63</v>
      </c>
      <c r="H1074" t="s">
        <v>41</v>
      </c>
      <c r="I1074" t="s">
        <v>42</v>
      </c>
      <c r="J1074" t="s">
        <v>36</v>
      </c>
      <c r="K1074" t="s">
        <v>58</v>
      </c>
      <c r="L1074" t="s">
        <v>28</v>
      </c>
      <c r="M1074" s="3">
        <v>40800</v>
      </c>
      <c r="N1074" s="4">
        <v>0.11600000000000001</v>
      </c>
      <c r="O1074" s="4">
        <v>0.7</v>
      </c>
      <c r="P1074" t="s">
        <v>59</v>
      </c>
      <c r="R1074">
        <v>65</v>
      </c>
      <c r="S1074" s="3">
        <v>3005.95</v>
      </c>
    </row>
    <row r="1075" spans="1:19" x14ac:dyDescent="0.2">
      <c r="A1075" t="s">
        <v>1787</v>
      </c>
      <c r="B1075" s="2">
        <v>46026</v>
      </c>
      <c r="C1075" s="2">
        <v>46078</v>
      </c>
      <c r="D1075" t="s">
        <v>1788</v>
      </c>
      <c r="E1075" t="s">
        <v>68</v>
      </c>
      <c r="F1075" t="s">
        <v>22</v>
      </c>
      <c r="G1075" t="s">
        <v>92</v>
      </c>
      <c r="H1075" t="s">
        <v>49</v>
      </c>
      <c r="I1075" t="s">
        <v>35</v>
      </c>
      <c r="J1075" t="s">
        <v>26</v>
      </c>
      <c r="K1075" t="s">
        <v>50</v>
      </c>
      <c r="L1075" t="s">
        <v>44</v>
      </c>
      <c r="M1075" s="3">
        <v>26800</v>
      </c>
      <c r="N1075" s="4">
        <v>9.0999999999999998E-2</v>
      </c>
      <c r="O1075" s="4">
        <v>1</v>
      </c>
      <c r="P1075" t="s">
        <v>29</v>
      </c>
      <c r="R1075">
        <v>52</v>
      </c>
      <c r="S1075" s="3">
        <v>2030.73</v>
      </c>
    </row>
    <row r="1076" spans="1:19" x14ac:dyDescent="0.2">
      <c r="A1076" t="s">
        <v>1789</v>
      </c>
      <c r="B1076" s="2">
        <v>46262</v>
      </c>
      <c r="C1076" s="2">
        <v>46277</v>
      </c>
      <c r="D1076" t="s">
        <v>1790</v>
      </c>
      <c r="E1076" t="s">
        <v>54</v>
      </c>
      <c r="F1076" t="s">
        <v>48</v>
      </c>
      <c r="G1076" t="s">
        <v>34</v>
      </c>
      <c r="H1076" t="s">
        <v>83</v>
      </c>
      <c r="I1076" t="s">
        <v>35</v>
      </c>
      <c r="J1076" t="s">
        <v>43</v>
      </c>
      <c r="K1076" t="s">
        <v>27</v>
      </c>
      <c r="L1076" t="s">
        <v>44</v>
      </c>
      <c r="M1076" s="3">
        <v>18000</v>
      </c>
      <c r="N1076" s="4">
        <v>0.20399999999999999</v>
      </c>
      <c r="O1076" s="4">
        <v>0.05</v>
      </c>
      <c r="P1076" t="s">
        <v>29</v>
      </c>
      <c r="Q1076" t="s">
        <v>30</v>
      </c>
      <c r="R1076">
        <v>15</v>
      </c>
      <c r="S1076" s="3">
        <v>1193.93</v>
      </c>
    </row>
    <row r="1077" spans="1:19" x14ac:dyDescent="0.2">
      <c r="A1077" t="s">
        <v>1791</v>
      </c>
      <c r="B1077" s="2">
        <v>45937</v>
      </c>
      <c r="C1077" s="2">
        <v>46001</v>
      </c>
      <c r="D1077" t="s">
        <v>1792</v>
      </c>
      <c r="E1077" t="s">
        <v>68</v>
      </c>
      <c r="F1077" t="s">
        <v>48</v>
      </c>
      <c r="G1077" t="s">
        <v>55</v>
      </c>
      <c r="H1077" t="s">
        <v>77</v>
      </c>
      <c r="I1077" t="s">
        <v>99</v>
      </c>
      <c r="J1077" t="s">
        <v>85</v>
      </c>
      <c r="K1077" t="s">
        <v>78</v>
      </c>
      <c r="L1077" t="s">
        <v>28</v>
      </c>
      <c r="M1077" s="3">
        <v>25300</v>
      </c>
      <c r="N1077" s="4">
        <v>0.108</v>
      </c>
      <c r="O1077" s="4">
        <v>0.55000000000000004</v>
      </c>
      <c r="P1077" t="s">
        <v>79</v>
      </c>
      <c r="R1077">
        <v>64</v>
      </c>
      <c r="S1077" s="3">
        <v>1881.56</v>
      </c>
    </row>
    <row r="1078" spans="1:19" x14ac:dyDescent="0.2">
      <c r="A1078" t="s">
        <v>1793</v>
      </c>
      <c r="B1078" s="2">
        <v>46066</v>
      </c>
      <c r="C1078" s="2">
        <v>46208</v>
      </c>
      <c r="D1078" t="s">
        <v>1422</v>
      </c>
      <c r="E1078" t="s">
        <v>33</v>
      </c>
      <c r="F1078" t="s">
        <v>22</v>
      </c>
      <c r="G1078" t="s">
        <v>23</v>
      </c>
      <c r="H1078" t="s">
        <v>95</v>
      </c>
      <c r="I1078" t="s">
        <v>65</v>
      </c>
      <c r="J1078" t="s">
        <v>43</v>
      </c>
      <c r="K1078" t="s">
        <v>78</v>
      </c>
      <c r="L1078" t="s">
        <v>28</v>
      </c>
      <c r="M1078" s="3">
        <v>30500</v>
      </c>
      <c r="N1078" s="4">
        <v>0.13200000000000001</v>
      </c>
      <c r="O1078" s="4">
        <v>0.55000000000000004</v>
      </c>
      <c r="P1078" t="s">
        <v>79</v>
      </c>
      <c r="R1078">
        <v>142</v>
      </c>
      <c r="S1078" s="3">
        <v>2205.91</v>
      </c>
    </row>
    <row r="1079" spans="1:19" x14ac:dyDescent="0.2">
      <c r="A1079" t="s">
        <v>1794</v>
      </c>
      <c r="B1079" s="2">
        <v>46044</v>
      </c>
      <c r="C1079" s="2">
        <v>46084</v>
      </c>
      <c r="D1079" t="s">
        <v>1499</v>
      </c>
      <c r="E1079" t="s">
        <v>91</v>
      </c>
      <c r="F1079" t="s">
        <v>22</v>
      </c>
      <c r="G1079" t="s">
        <v>23</v>
      </c>
      <c r="H1079" t="s">
        <v>49</v>
      </c>
      <c r="I1079" t="s">
        <v>99</v>
      </c>
      <c r="J1079" t="s">
        <v>43</v>
      </c>
      <c r="K1079" t="s">
        <v>58</v>
      </c>
      <c r="L1079" t="s">
        <v>51</v>
      </c>
      <c r="M1079" s="3">
        <v>36400</v>
      </c>
      <c r="N1079" s="4">
        <v>9.2999999999999999E-2</v>
      </c>
      <c r="O1079" s="4">
        <v>0.8</v>
      </c>
      <c r="P1079" t="s">
        <v>59</v>
      </c>
      <c r="R1079">
        <v>40</v>
      </c>
      <c r="S1079" s="3">
        <v>2750.58</v>
      </c>
    </row>
    <row r="1080" spans="1:19" x14ac:dyDescent="0.2">
      <c r="A1080" t="s">
        <v>1795</v>
      </c>
      <c r="B1080" s="2">
        <v>46255</v>
      </c>
      <c r="C1080" s="2">
        <v>46282</v>
      </c>
      <c r="D1080" t="s">
        <v>988</v>
      </c>
      <c r="E1080" t="s">
        <v>62</v>
      </c>
      <c r="F1080" t="s">
        <v>22</v>
      </c>
      <c r="G1080" t="s">
        <v>92</v>
      </c>
      <c r="H1080" t="s">
        <v>24</v>
      </c>
      <c r="I1080" t="s">
        <v>99</v>
      </c>
      <c r="J1080" t="s">
        <v>36</v>
      </c>
      <c r="K1080" t="s">
        <v>37</v>
      </c>
      <c r="L1080" t="s">
        <v>28</v>
      </c>
      <c r="M1080" s="3">
        <v>55000</v>
      </c>
      <c r="N1080" s="4">
        <v>5.6000000000000001E-2</v>
      </c>
      <c r="O1080" s="4">
        <v>0.1</v>
      </c>
      <c r="P1080" t="s">
        <v>38</v>
      </c>
      <c r="R1080">
        <v>27</v>
      </c>
      <c r="S1080" s="3">
        <v>4326.71</v>
      </c>
    </row>
    <row r="1081" spans="1:19" x14ac:dyDescent="0.2">
      <c r="A1081" t="s">
        <v>1796</v>
      </c>
      <c r="B1081" s="2">
        <v>46236</v>
      </c>
      <c r="C1081" s="2">
        <v>46266</v>
      </c>
      <c r="D1081" t="s">
        <v>1797</v>
      </c>
      <c r="E1081" t="s">
        <v>21</v>
      </c>
      <c r="F1081" t="s">
        <v>74</v>
      </c>
      <c r="G1081" t="s">
        <v>23</v>
      </c>
      <c r="H1081" t="s">
        <v>95</v>
      </c>
      <c r="I1081" t="s">
        <v>99</v>
      </c>
      <c r="J1081" t="s">
        <v>26</v>
      </c>
      <c r="K1081" t="s">
        <v>106</v>
      </c>
      <c r="L1081" t="s">
        <v>28</v>
      </c>
      <c r="M1081" s="3">
        <v>267000</v>
      </c>
      <c r="N1081" s="4">
        <v>8.8999999999999996E-2</v>
      </c>
      <c r="O1081" s="4">
        <v>0.15</v>
      </c>
      <c r="P1081" t="s">
        <v>38</v>
      </c>
      <c r="R1081">
        <v>30</v>
      </c>
      <c r="S1081" s="3">
        <v>20270.77</v>
      </c>
    </row>
    <row r="1082" spans="1:19" x14ac:dyDescent="0.2">
      <c r="A1082" t="s">
        <v>1798</v>
      </c>
      <c r="B1082" s="2">
        <v>45954</v>
      </c>
      <c r="C1082" s="2">
        <v>45981</v>
      </c>
      <c r="D1082" t="s">
        <v>1105</v>
      </c>
      <c r="E1082" t="s">
        <v>62</v>
      </c>
      <c r="F1082" t="s">
        <v>48</v>
      </c>
      <c r="G1082" t="s">
        <v>34</v>
      </c>
      <c r="H1082" t="s">
        <v>24</v>
      </c>
      <c r="I1082" t="s">
        <v>99</v>
      </c>
      <c r="J1082" t="s">
        <v>26</v>
      </c>
      <c r="K1082" t="s">
        <v>50</v>
      </c>
      <c r="L1082" t="s">
        <v>28</v>
      </c>
      <c r="M1082" s="3">
        <v>30000</v>
      </c>
      <c r="N1082" s="4">
        <v>0.13700000000000001</v>
      </c>
      <c r="O1082" s="4">
        <v>0.95</v>
      </c>
      <c r="P1082" t="s">
        <v>29</v>
      </c>
      <c r="R1082">
        <v>27</v>
      </c>
      <c r="S1082" s="3">
        <v>2157.58</v>
      </c>
    </row>
    <row r="1083" spans="1:19" x14ac:dyDescent="0.2">
      <c r="A1083" t="s">
        <v>1799</v>
      </c>
      <c r="B1083" s="2">
        <v>46112</v>
      </c>
      <c r="C1083" s="2">
        <v>46277</v>
      </c>
      <c r="D1083" t="s">
        <v>1800</v>
      </c>
      <c r="E1083" t="s">
        <v>33</v>
      </c>
      <c r="F1083" t="s">
        <v>48</v>
      </c>
      <c r="G1083" t="s">
        <v>92</v>
      </c>
      <c r="H1083" t="s">
        <v>64</v>
      </c>
      <c r="I1083" t="s">
        <v>25</v>
      </c>
      <c r="J1083" t="s">
        <v>43</v>
      </c>
      <c r="K1083" t="s">
        <v>27</v>
      </c>
      <c r="L1083" t="s">
        <v>44</v>
      </c>
      <c r="M1083" s="3">
        <v>16700</v>
      </c>
      <c r="N1083" s="4">
        <v>0.104</v>
      </c>
      <c r="O1083" s="4">
        <v>0</v>
      </c>
      <c r="P1083" t="s">
        <v>29</v>
      </c>
      <c r="Q1083" t="s">
        <v>30</v>
      </c>
      <c r="R1083">
        <v>165</v>
      </c>
      <c r="S1083" s="3">
        <v>1247</v>
      </c>
    </row>
    <row r="1084" spans="1:19" x14ac:dyDescent="0.2">
      <c r="A1084" t="s">
        <v>1801</v>
      </c>
      <c r="B1084" s="2">
        <v>46137</v>
      </c>
      <c r="C1084" s="2">
        <v>46277</v>
      </c>
      <c r="D1084" t="s">
        <v>1802</v>
      </c>
      <c r="E1084" t="s">
        <v>62</v>
      </c>
      <c r="F1084" t="s">
        <v>48</v>
      </c>
      <c r="G1084" t="s">
        <v>63</v>
      </c>
      <c r="H1084" t="s">
        <v>24</v>
      </c>
      <c r="I1084" t="s">
        <v>25</v>
      </c>
      <c r="J1084" t="s">
        <v>85</v>
      </c>
      <c r="K1084" t="s">
        <v>50</v>
      </c>
      <c r="L1084" t="s">
        <v>44</v>
      </c>
      <c r="M1084" s="3">
        <v>11700</v>
      </c>
      <c r="N1084" s="4">
        <v>8.7999999999999995E-2</v>
      </c>
      <c r="O1084" s="4">
        <v>1</v>
      </c>
      <c r="P1084" t="s">
        <v>29</v>
      </c>
      <c r="R1084">
        <v>140</v>
      </c>
      <c r="S1084" s="3">
        <v>889.34</v>
      </c>
    </row>
    <row r="1085" spans="1:19" x14ac:dyDescent="0.2">
      <c r="A1085" t="s">
        <v>1803</v>
      </c>
      <c r="B1085" s="2">
        <v>46116</v>
      </c>
      <c r="C1085" s="2">
        <v>46199</v>
      </c>
      <c r="D1085" t="s">
        <v>1804</v>
      </c>
      <c r="E1085" t="s">
        <v>111</v>
      </c>
      <c r="F1085" t="s">
        <v>48</v>
      </c>
      <c r="G1085" t="s">
        <v>63</v>
      </c>
      <c r="H1085" t="s">
        <v>137</v>
      </c>
      <c r="I1085" t="s">
        <v>65</v>
      </c>
      <c r="J1085" t="s">
        <v>36</v>
      </c>
      <c r="K1085" t="s">
        <v>78</v>
      </c>
      <c r="L1085" t="s">
        <v>44</v>
      </c>
      <c r="M1085" s="3">
        <v>21000</v>
      </c>
      <c r="N1085" s="4">
        <v>0.11600000000000001</v>
      </c>
      <c r="O1085" s="4">
        <v>0.55000000000000004</v>
      </c>
      <c r="P1085" t="s">
        <v>79</v>
      </c>
      <c r="R1085">
        <v>83</v>
      </c>
      <c r="S1085" s="3">
        <v>1547.07</v>
      </c>
    </row>
    <row r="1086" spans="1:19" x14ac:dyDescent="0.2">
      <c r="A1086" t="s">
        <v>1805</v>
      </c>
      <c r="B1086" s="2">
        <v>45975</v>
      </c>
      <c r="C1086" s="2">
        <v>46099</v>
      </c>
      <c r="D1086" t="s">
        <v>1506</v>
      </c>
      <c r="E1086" t="s">
        <v>62</v>
      </c>
      <c r="F1086" t="s">
        <v>22</v>
      </c>
      <c r="G1086" t="s">
        <v>92</v>
      </c>
      <c r="H1086" t="s">
        <v>69</v>
      </c>
      <c r="I1086" t="s">
        <v>35</v>
      </c>
      <c r="J1086" t="s">
        <v>57</v>
      </c>
      <c r="K1086" t="s">
        <v>27</v>
      </c>
      <c r="L1086" t="s">
        <v>44</v>
      </c>
      <c r="M1086" s="3">
        <v>35900</v>
      </c>
      <c r="N1086" s="4">
        <v>2.1999999999999999E-2</v>
      </c>
      <c r="O1086" s="4">
        <v>0</v>
      </c>
      <c r="P1086" t="s">
        <v>29</v>
      </c>
      <c r="Q1086" t="s">
        <v>209</v>
      </c>
      <c r="R1086">
        <v>124</v>
      </c>
      <c r="S1086" s="3">
        <v>2925.15</v>
      </c>
    </row>
    <row r="1087" spans="1:19" x14ac:dyDescent="0.2">
      <c r="A1087" t="s">
        <v>1806</v>
      </c>
      <c r="B1087" s="2">
        <v>46266</v>
      </c>
      <c r="C1087" s="2">
        <v>46299</v>
      </c>
      <c r="D1087" t="s">
        <v>1807</v>
      </c>
      <c r="E1087" t="s">
        <v>62</v>
      </c>
      <c r="F1087" t="s">
        <v>48</v>
      </c>
      <c r="G1087" t="s">
        <v>23</v>
      </c>
      <c r="H1087" t="s">
        <v>49</v>
      </c>
      <c r="I1087" t="s">
        <v>35</v>
      </c>
      <c r="J1087" t="s">
        <v>36</v>
      </c>
      <c r="K1087" t="s">
        <v>78</v>
      </c>
      <c r="L1087" t="s">
        <v>44</v>
      </c>
      <c r="M1087" s="3">
        <v>10500</v>
      </c>
      <c r="N1087" s="4">
        <v>0.26400000000000001</v>
      </c>
      <c r="O1087" s="4">
        <v>0.6</v>
      </c>
      <c r="P1087" t="s">
        <v>79</v>
      </c>
      <c r="R1087">
        <v>33</v>
      </c>
      <c r="S1087" s="3">
        <v>643.88</v>
      </c>
    </row>
    <row r="1088" spans="1:19" x14ac:dyDescent="0.2">
      <c r="A1088" t="s">
        <v>1808</v>
      </c>
      <c r="B1088" s="2">
        <v>46227</v>
      </c>
      <c r="C1088" s="2">
        <v>46277</v>
      </c>
      <c r="D1088" t="s">
        <v>1476</v>
      </c>
      <c r="E1088" t="s">
        <v>62</v>
      </c>
      <c r="F1088" t="s">
        <v>48</v>
      </c>
      <c r="G1088" t="s">
        <v>92</v>
      </c>
      <c r="H1088" t="s">
        <v>64</v>
      </c>
      <c r="I1088" t="s">
        <v>99</v>
      </c>
      <c r="J1088" t="s">
        <v>85</v>
      </c>
      <c r="K1088" t="s">
        <v>50</v>
      </c>
      <c r="L1088" t="s">
        <v>51</v>
      </c>
      <c r="M1088" s="3">
        <v>6200</v>
      </c>
      <c r="N1088" s="4">
        <v>0.224</v>
      </c>
      <c r="O1088" s="4">
        <v>1</v>
      </c>
      <c r="P1088" t="s">
        <v>29</v>
      </c>
      <c r="R1088">
        <v>50</v>
      </c>
      <c r="S1088" s="3">
        <v>401.19</v>
      </c>
    </row>
    <row r="1089" spans="1:19" x14ac:dyDescent="0.2">
      <c r="A1089" t="s">
        <v>1809</v>
      </c>
      <c r="B1089" s="2">
        <v>45979</v>
      </c>
      <c r="C1089" s="2">
        <v>46030</v>
      </c>
      <c r="D1089" t="s">
        <v>1324</v>
      </c>
      <c r="E1089" t="s">
        <v>33</v>
      </c>
      <c r="F1089" t="s">
        <v>22</v>
      </c>
      <c r="G1089" t="s">
        <v>23</v>
      </c>
      <c r="H1089" t="s">
        <v>95</v>
      </c>
      <c r="I1089" t="s">
        <v>42</v>
      </c>
      <c r="J1089" t="s">
        <v>43</v>
      </c>
      <c r="K1089" t="s">
        <v>78</v>
      </c>
      <c r="L1089" t="s">
        <v>28</v>
      </c>
      <c r="M1089" s="3">
        <v>68000</v>
      </c>
      <c r="N1089" s="4">
        <v>0.13200000000000001</v>
      </c>
      <c r="O1089" s="4">
        <v>0.55000000000000004</v>
      </c>
      <c r="P1089" t="s">
        <v>79</v>
      </c>
      <c r="R1089">
        <v>51</v>
      </c>
      <c r="S1089" s="3">
        <v>4921.12</v>
      </c>
    </row>
    <row r="1090" spans="1:19" x14ac:dyDescent="0.2">
      <c r="A1090" t="s">
        <v>1810</v>
      </c>
      <c r="B1090" s="2">
        <v>46074</v>
      </c>
      <c r="C1090" s="2">
        <v>46198</v>
      </c>
      <c r="D1090" t="s">
        <v>1811</v>
      </c>
      <c r="E1090" t="s">
        <v>54</v>
      </c>
      <c r="F1090" t="s">
        <v>22</v>
      </c>
      <c r="G1090" t="s">
        <v>63</v>
      </c>
      <c r="H1090" t="s">
        <v>98</v>
      </c>
      <c r="I1090" t="s">
        <v>84</v>
      </c>
      <c r="J1090" t="s">
        <v>85</v>
      </c>
      <c r="K1090" t="s">
        <v>106</v>
      </c>
      <c r="L1090" t="s">
        <v>51</v>
      </c>
      <c r="M1090" s="3">
        <v>88300</v>
      </c>
      <c r="N1090" s="4">
        <v>8.5000000000000006E-2</v>
      </c>
      <c r="O1090" s="4">
        <v>0.2</v>
      </c>
      <c r="P1090" t="s">
        <v>38</v>
      </c>
      <c r="R1090">
        <v>124</v>
      </c>
      <c r="S1090" s="3">
        <v>6730.52</v>
      </c>
    </row>
    <row r="1091" spans="1:19" x14ac:dyDescent="0.2">
      <c r="A1091" t="s">
        <v>1812</v>
      </c>
      <c r="B1091" s="2">
        <v>46113</v>
      </c>
      <c r="C1091" s="2">
        <v>46221</v>
      </c>
      <c r="D1091" t="s">
        <v>1813</v>
      </c>
      <c r="E1091" t="s">
        <v>68</v>
      </c>
      <c r="F1091" t="s">
        <v>74</v>
      </c>
      <c r="G1091" t="s">
        <v>63</v>
      </c>
      <c r="H1091" t="s">
        <v>95</v>
      </c>
      <c r="I1091" t="s">
        <v>25</v>
      </c>
      <c r="J1091" t="s">
        <v>57</v>
      </c>
      <c r="K1091" t="s">
        <v>37</v>
      </c>
      <c r="L1091" t="s">
        <v>51</v>
      </c>
      <c r="M1091" s="3">
        <v>126100</v>
      </c>
      <c r="N1091" s="4">
        <v>6.0999999999999999E-2</v>
      </c>
      <c r="O1091" s="4">
        <v>0.1</v>
      </c>
      <c r="P1091" t="s">
        <v>38</v>
      </c>
      <c r="R1091">
        <v>108</v>
      </c>
      <c r="S1091" s="3">
        <v>9867.11</v>
      </c>
    </row>
    <row r="1092" spans="1:19" x14ac:dyDescent="0.2">
      <c r="A1092" t="s">
        <v>1814</v>
      </c>
      <c r="B1092" s="2">
        <v>46068</v>
      </c>
      <c r="C1092" s="2">
        <v>46125</v>
      </c>
      <c r="D1092" t="s">
        <v>443</v>
      </c>
      <c r="E1092" t="s">
        <v>54</v>
      </c>
      <c r="F1092" t="s">
        <v>74</v>
      </c>
      <c r="G1092" t="s">
        <v>55</v>
      </c>
      <c r="H1092" t="s">
        <v>41</v>
      </c>
      <c r="I1092" t="s">
        <v>84</v>
      </c>
      <c r="J1092" t="s">
        <v>43</v>
      </c>
      <c r="K1092" t="s">
        <v>106</v>
      </c>
      <c r="L1092" t="s">
        <v>44</v>
      </c>
      <c r="M1092" s="3">
        <v>248600</v>
      </c>
      <c r="N1092" s="4">
        <v>0.16800000000000001</v>
      </c>
      <c r="O1092" s="4">
        <v>0.2</v>
      </c>
      <c r="P1092" t="s">
        <v>38</v>
      </c>
      <c r="R1092">
        <v>57</v>
      </c>
      <c r="S1092" s="3">
        <v>17245.57</v>
      </c>
    </row>
    <row r="1093" spans="1:19" x14ac:dyDescent="0.2">
      <c r="A1093" t="s">
        <v>1815</v>
      </c>
      <c r="B1093" s="2">
        <v>45949</v>
      </c>
      <c r="C1093" s="2">
        <v>46046</v>
      </c>
      <c r="D1093" t="s">
        <v>999</v>
      </c>
      <c r="E1093" t="s">
        <v>62</v>
      </c>
      <c r="F1093" t="s">
        <v>48</v>
      </c>
      <c r="G1093" t="s">
        <v>23</v>
      </c>
      <c r="H1093" t="s">
        <v>41</v>
      </c>
      <c r="I1093" t="s">
        <v>84</v>
      </c>
      <c r="J1093" t="s">
        <v>57</v>
      </c>
      <c r="K1093" t="s">
        <v>50</v>
      </c>
      <c r="L1093" t="s">
        <v>28</v>
      </c>
      <c r="M1093" s="3">
        <v>16100</v>
      </c>
      <c r="N1093" s="4">
        <v>1.2999999999999999E-2</v>
      </c>
      <c r="O1093" s="4">
        <v>0.95</v>
      </c>
      <c r="P1093" t="s">
        <v>29</v>
      </c>
      <c r="R1093">
        <v>97</v>
      </c>
      <c r="S1093" s="3">
        <v>1323.98</v>
      </c>
    </row>
    <row r="1094" spans="1:19" x14ac:dyDescent="0.2">
      <c r="A1094" t="s">
        <v>1816</v>
      </c>
      <c r="B1094" s="2">
        <v>46047</v>
      </c>
      <c r="C1094" s="2">
        <v>46113</v>
      </c>
      <c r="D1094" t="s">
        <v>1098</v>
      </c>
      <c r="E1094" t="s">
        <v>21</v>
      </c>
      <c r="F1094" t="s">
        <v>74</v>
      </c>
      <c r="G1094" t="s">
        <v>63</v>
      </c>
      <c r="H1094" t="s">
        <v>24</v>
      </c>
      <c r="I1094" t="s">
        <v>35</v>
      </c>
      <c r="J1094" t="s">
        <v>26</v>
      </c>
      <c r="K1094" t="s">
        <v>37</v>
      </c>
      <c r="L1094" t="s">
        <v>51</v>
      </c>
      <c r="M1094" s="3">
        <v>197600</v>
      </c>
      <c r="N1094" s="4">
        <v>0.124</v>
      </c>
      <c r="O1094" s="4">
        <v>0.15</v>
      </c>
      <c r="P1094" t="s">
        <v>38</v>
      </c>
      <c r="R1094">
        <v>66</v>
      </c>
      <c r="S1094" s="3">
        <v>14418.56</v>
      </c>
    </row>
    <row r="1095" spans="1:19" x14ac:dyDescent="0.2">
      <c r="A1095" t="s">
        <v>1817</v>
      </c>
      <c r="B1095" s="2">
        <v>46035</v>
      </c>
      <c r="C1095" s="2">
        <v>46191</v>
      </c>
      <c r="D1095" t="s">
        <v>377</v>
      </c>
      <c r="E1095" t="s">
        <v>62</v>
      </c>
      <c r="F1095" t="s">
        <v>22</v>
      </c>
      <c r="G1095" t="s">
        <v>92</v>
      </c>
      <c r="H1095" t="s">
        <v>41</v>
      </c>
      <c r="I1095" t="s">
        <v>99</v>
      </c>
      <c r="J1095" t="s">
        <v>85</v>
      </c>
      <c r="K1095" t="s">
        <v>27</v>
      </c>
      <c r="L1095" t="s">
        <v>51</v>
      </c>
      <c r="M1095" s="3">
        <v>54900</v>
      </c>
      <c r="N1095" s="4">
        <v>3.5000000000000003E-2</v>
      </c>
      <c r="O1095" s="4">
        <v>0</v>
      </c>
      <c r="P1095" t="s">
        <v>29</v>
      </c>
      <c r="Q1095" t="s">
        <v>222</v>
      </c>
      <c r="R1095">
        <v>156</v>
      </c>
      <c r="S1095" s="3">
        <v>4413.57</v>
      </c>
    </row>
    <row r="1096" spans="1:19" x14ac:dyDescent="0.2">
      <c r="A1096" t="s">
        <v>1818</v>
      </c>
      <c r="B1096" s="2">
        <v>46103</v>
      </c>
      <c r="C1096" s="2">
        <v>46160</v>
      </c>
      <c r="D1096" t="s">
        <v>1819</v>
      </c>
      <c r="E1096" t="s">
        <v>68</v>
      </c>
      <c r="F1096" t="s">
        <v>48</v>
      </c>
      <c r="G1096" t="s">
        <v>23</v>
      </c>
      <c r="H1096" t="s">
        <v>95</v>
      </c>
      <c r="I1096" t="s">
        <v>65</v>
      </c>
      <c r="J1096" t="s">
        <v>85</v>
      </c>
      <c r="K1096" t="s">
        <v>37</v>
      </c>
      <c r="L1096" t="s">
        <v>28</v>
      </c>
      <c r="M1096" s="3">
        <v>18900</v>
      </c>
      <c r="N1096" s="4">
        <v>0.128</v>
      </c>
      <c r="O1096" s="4">
        <v>0.1</v>
      </c>
      <c r="P1096" t="s">
        <v>38</v>
      </c>
      <c r="R1096">
        <v>57</v>
      </c>
      <c r="S1096" s="3">
        <v>1372.99</v>
      </c>
    </row>
    <row r="1097" spans="1:19" x14ac:dyDescent="0.2">
      <c r="A1097" t="s">
        <v>1820</v>
      </c>
      <c r="B1097" s="2">
        <v>45968</v>
      </c>
      <c r="C1097" s="2">
        <v>46063</v>
      </c>
      <c r="D1097" t="s">
        <v>1383</v>
      </c>
      <c r="E1097" t="s">
        <v>68</v>
      </c>
      <c r="F1097" t="s">
        <v>22</v>
      </c>
      <c r="G1097" t="s">
        <v>92</v>
      </c>
      <c r="H1097" t="s">
        <v>64</v>
      </c>
      <c r="I1097" t="s">
        <v>42</v>
      </c>
      <c r="J1097" t="s">
        <v>26</v>
      </c>
      <c r="K1097" t="s">
        <v>50</v>
      </c>
      <c r="L1097" t="s">
        <v>44</v>
      </c>
      <c r="M1097" s="3">
        <v>42100</v>
      </c>
      <c r="N1097" s="4">
        <v>0.216</v>
      </c>
      <c r="O1097" s="4">
        <v>1</v>
      </c>
      <c r="P1097" t="s">
        <v>29</v>
      </c>
      <c r="R1097">
        <v>95</v>
      </c>
      <c r="S1097" s="3">
        <v>2749.13</v>
      </c>
    </row>
    <row r="1098" spans="1:19" x14ac:dyDescent="0.2">
      <c r="A1098" t="s">
        <v>1821</v>
      </c>
      <c r="B1098" s="2">
        <v>45944</v>
      </c>
      <c r="C1098" s="2">
        <v>46033</v>
      </c>
      <c r="D1098" t="s">
        <v>1822</v>
      </c>
      <c r="E1098" t="s">
        <v>62</v>
      </c>
      <c r="F1098" t="s">
        <v>48</v>
      </c>
      <c r="G1098" t="s">
        <v>34</v>
      </c>
      <c r="H1098" t="s">
        <v>120</v>
      </c>
      <c r="I1098" t="s">
        <v>84</v>
      </c>
      <c r="J1098" t="s">
        <v>36</v>
      </c>
      <c r="K1098" t="s">
        <v>88</v>
      </c>
      <c r="L1098" t="s">
        <v>44</v>
      </c>
      <c r="M1098" s="3">
        <v>19900</v>
      </c>
      <c r="N1098" s="4">
        <v>8.4000000000000005E-2</v>
      </c>
      <c r="O1098" s="4">
        <v>0.35</v>
      </c>
      <c r="P1098" t="s">
        <v>38</v>
      </c>
      <c r="R1098">
        <v>89</v>
      </c>
      <c r="S1098" s="3">
        <v>1518.86</v>
      </c>
    </row>
    <row r="1099" spans="1:19" x14ac:dyDescent="0.2">
      <c r="A1099" t="s">
        <v>1823</v>
      </c>
      <c r="B1099" s="2">
        <v>46250</v>
      </c>
      <c r="C1099" s="2">
        <v>46288</v>
      </c>
      <c r="D1099" t="s">
        <v>1824</v>
      </c>
      <c r="E1099" t="s">
        <v>68</v>
      </c>
      <c r="F1099" t="s">
        <v>48</v>
      </c>
      <c r="G1099" t="s">
        <v>55</v>
      </c>
      <c r="H1099" t="s">
        <v>95</v>
      </c>
      <c r="I1099" t="s">
        <v>65</v>
      </c>
      <c r="J1099" t="s">
        <v>36</v>
      </c>
      <c r="K1099" t="s">
        <v>37</v>
      </c>
      <c r="L1099" t="s">
        <v>28</v>
      </c>
      <c r="M1099" s="3">
        <v>24000</v>
      </c>
      <c r="N1099" s="4">
        <v>0.1</v>
      </c>
      <c r="O1099" s="4">
        <v>0.1</v>
      </c>
      <c r="P1099" t="s">
        <v>38</v>
      </c>
      <c r="R1099">
        <v>38</v>
      </c>
      <c r="S1099" s="3">
        <v>1799.57</v>
      </c>
    </row>
    <row r="1100" spans="1:19" x14ac:dyDescent="0.2">
      <c r="A1100" t="s">
        <v>1825</v>
      </c>
      <c r="B1100" s="2">
        <v>46092</v>
      </c>
      <c r="C1100" s="2">
        <v>46164</v>
      </c>
      <c r="D1100" t="s">
        <v>1826</v>
      </c>
      <c r="E1100" t="s">
        <v>111</v>
      </c>
      <c r="F1100" t="s">
        <v>48</v>
      </c>
      <c r="G1100" t="s">
        <v>34</v>
      </c>
      <c r="H1100" t="s">
        <v>95</v>
      </c>
      <c r="I1100" t="s">
        <v>65</v>
      </c>
      <c r="J1100" t="s">
        <v>43</v>
      </c>
      <c r="K1100" t="s">
        <v>37</v>
      </c>
      <c r="L1100" t="s">
        <v>44</v>
      </c>
      <c r="M1100" s="3">
        <v>6800</v>
      </c>
      <c r="N1100" s="4">
        <v>0.13500000000000001</v>
      </c>
      <c r="O1100" s="4">
        <v>0.1</v>
      </c>
      <c r="P1100" t="s">
        <v>38</v>
      </c>
      <c r="R1100">
        <v>72</v>
      </c>
      <c r="S1100" s="3">
        <v>490.42</v>
      </c>
    </row>
    <row r="1101" spans="1:19" x14ac:dyDescent="0.2">
      <c r="A1101" t="s">
        <v>1827</v>
      </c>
      <c r="B1101" s="2">
        <v>45983</v>
      </c>
      <c r="C1101" s="2">
        <v>46012</v>
      </c>
      <c r="D1101" t="s">
        <v>149</v>
      </c>
      <c r="E1101" t="s">
        <v>82</v>
      </c>
      <c r="F1101" t="s">
        <v>48</v>
      </c>
      <c r="G1101" t="s">
        <v>55</v>
      </c>
      <c r="H1101" t="s">
        <v>98</v>
      </c>
      <c r="I1101" t="s">
        <v>42</v>
      </c>
      <c r="J1101" t="s">
        <v>36</v>
      </c>
      <c r="K1101" t="s">
        <v>37</v>
      </c>
      <c r="L1101" t="s">
        <v>28</v>
      </c>
      <c r="M1101" s="3">
        <v>7300</v>
      </c>
      <c r="N1101" s="4">
        <v>0.16300000000000001</v>
      </c>
      <c r="O1101" s="4">
        <v>0.1</v>
      </c>
      <c r="P1101" t="s">
        <v>38</v>
      </c>
      <c r="R1101">
        <v>29</v>
      </c>
      <c r="S1101" s="3">
        <v>509.31</v>
      </c>
    </row>
    <row r="1102" spans="1:19" x14ac:dyDescent="0.2">
      <c r="A1102" t="s">
        <v>1828</v>
      </c>
      <c r="B1102" s="2">
        <v>46199</v>
      </c>
      <c r="C1102" s="2">
        <v>46261</v>
      </c>
      <c r="D1102" t="s">
        <v>348</v>
      </c>
      <c r="E1102" t="s">
        <v>68</v>
      </c>
      <c r="F1102" t="s">
        <v>22</v>
      </c>
      <c r="G1102" t="s">
        <v>63</v>
      </c>
      <c r="H1102" t="s">
        <v>95</v>
      </c>
      <c r="I1102" t="s">
        <v>25</v>
      </c>
      <c r="J1102" t="s">
        <v>43</v>
      </c>
      <c r="K1102" t="s">
        <v>58</v>
      </c>
      <c r="L1102" t="s">
        <v>44</v>
      </c>
      <c r="M1102" s="3">
        <v>53900</v>
      </c>
      <c r="N1102" s="4">
        <v>9.9000000000000005E-2</v>
      </c>
      <c r="O1102" s="4">
        <v>0.75</v>
      </c>
      <c r="P1102" t="s">
        <v>59</v>
      </c>
      <c r="R1102">
        <v>62</v>
      </c>
      <c r="S1102" s="3">
        <v>4048.62</v>
      </c>
    </row>
    <row r="1103" spans="1:19" x14ac:dyDescent="0.2">
      <c r="A1103" t="s">
        <v>1829</v>
      </c>
      <c r="B1103" s="2">
        <v>46185</v>
      </c>
      <c r="C1103" s="2">
        <v>46242</v>
      </c>
      <c r="D1103" t="s">
        <v>139</v>
      </c>
      <c r="E1103" t="s">
        <v>62</v>
      </c>
      <c r="F1103" t="s">
        <v>74</v>
      </c>
      <c r="G1103" t="s">
        <v>55</v>
      </c>
      <c r="H1103" t="s">
        <v>64</v>
      </c>
      <c r="I1103" t="s">
        <v>35</v>
      </c>
      <c r="J1103" t="s">
        <v>57</v>
      </c>
      <c r="K1103" t="s">
        <v>78</v>
      </c>
      <c r="L1103" t="s">
        <v>44</v>
      </c>
      <c r="M1103" s="3">
        <v>314300</v>
      </c>
      <c r="N1103" s="4">
        <v>3.1E-2</v>
      </c>
      <c r="O1103" s="4">
        <v>0.55000000000000004</v>
      </c>
      <c r="P1103" t="s">
        <v>79</v>
      </c>
      <c r="R1103">
        <v>57</v>
      </c>
      <c r="S1103" s="3">
        <v>25370.35</v>
      </c>
    </row>
    <row r="1104" spans="1:19" x14ac:dyDescent="0.2">
      <c r="A1104" t="s">
        <v>1830</v>
      </c>
      <c r="B1104" s="2">
        <v>45978</v>
      </c>
      <c r="C1104" s="2">
        <v>46031</v>
      </c>
      <c r="D1104" t="s">
        <v>1831</v>
      </c>
      <c r="E1104" t="s">
        <v>82</v>
      </c>
      <c r="F1104" t="s">
        <v>48</v>
      </c>
      <c r="G1104" t="s">
        <v>34</v>
      </c>
      <c r="H1104" t="s">
        <v>98</v>
      </c>
      <c r="I1104" t="s">
        <v>25</v>
      </c>
      <c r="J1104" t="s">
        <v>36</v>
      </c>
      <c r="K1104" t="s">
        <v>37</v>
      </c>
      <c r="L1104" t="s">
        <v>28</v>
      </c>
      <c r="M1104" s="3">
        <v>22200</v>
      </c>
      <c r="N1104" s="4">
        <v>5.1999999999999998E-2</v>
      </c>
      <c r="O1104" s="4">
        <v>0.15</v>
      </c>
      <c r="P1104" t="s">
        <v>38</v>
      </c>
      <c r="R1104">
        <v>53</v>
      </c>
      <c r="S1104" s="3">
        <v>1754.31</v>
      </c>
    </row>
    <row r="1105" spans="1:19" x14ac:dyDescent="0.2">
      <c r="A1105" t="s">
        <v>1832</v>
      </c>
      <c r="B1105" s="2">
        <v>46119</v>
      </c>
      <c r="C1105" s="2">
        <v>46234</v>
      </c>
      <c r="D1105" t="s">
        <v>1833</v>
      </c>
      <c r="E1105" t="s">
        <v>82</v>
      </c>
      <c r="F1105" t="s">
        <v>22</v>
      </c>
      <c r="G1105" t="s">
        <v>63</v>
      </c>
      <c r="H1105" t="s">
        <v>24</v>
      </c>
      <c r="I1105" t="s">
        <v>25</v>
      </c>
      <c r="J1105" t="s">
        <v>43</v>
      </c>
      <c r="K1105" t="s">
        <v>78</v>
      </c>
      <c r="L1105" t="s">
        <v>44</v>
      </c>
      <c r="M1105" s="3">
        <v>27600</v>
      </c>
      <c r="N1105" s="4">
        <v>8.7999999999999995E-2</v>
      </c>
      <c r="O1105" s="4">
        <v>0.55000000000000004</v>
      </c>
      <c r="P1105" t="s">
        <v>79</v>
      </c>
      <c r="R1105">
        <v>115</v>
      </c>
      <c r="S1105" s="3">
        <v>2098.6</v>
      </c>
    </row>
    <row r="1106" spans="1:19" x14ac:dyDescent="0.2">
      <c r="A1106" t="s">
        <v>1834</v>
      </c>
      <c r="B1106" s="2">
        <v>46224</v>
      </c>
      <c r="C1106" s="2">
        <v>46292</v>
      </c>
      <c r="D1106" t="s">
        <v>1835</v>
      </c>
      <c r="E1106" t="s">
        <v>91</v>
      </c>
      <c r="F1106" t="s">
        <v>74</v>
      </c>
      <c r="G1106" t="s">
        <v>63</v>
      </c>
      <c r="H1106" t="s">
        <v>95</v>
      </c>
      <c r="I1106" t="s">
        <v>35</v>
      </c>
      <c r="J1106" t="s">
        <v>43</v>
      </c>
      <c r="K1106" t="s">
        <v>78</v>
      </c>
      <c r="L1106" t="s">
        <v>44</v>
      </c>
      <c r="M1106" s="3">
        <v>248400</v>
      </c>
      <c r="N1106" s="4">
        <v>0.109</v>
      </c>
      <c r="O1106" s="4">
        <v>0.5</v>
      </c>
      <c r="P1106" t="s">
        <v>79</v>
      </c>
      <c r="R1106">
        <v>68</v>
      </c>
      <c r="S1106" s="3">
        <v>18449.07</v>
      </c>
    </row>
    <row r="1107" spans="1:19" x14ac:dyDescent="0.2">
      <c r="A1107" t="s">
        <v>1836</v>
      </c>
      <c r="B1107" s="2">
        <v>45955</v>
      </c>
      <c r="C1107" s="2">
        <v>46102</v>
      </c>
      <c r="D1107" t="s">
        <v>1096</v>
      </c>
      <c r="E1107" t="s">
        <v>68</v>
      </c>
      <c r="F1107" t="s">
        <v>74</v>
      </c>
      <c r="G1107" t="s">
        <v>34</v>
      </c>
      <c r="H1107" t="s">
        <v>137</v>
      </c>
      <c r="I1107" t="s">
        <v>84</v>
      </c>
      <c r="J1107" t="s">
        <v>26</v>
      </c>
      <c r="K1107" t="s">
        <v>50</v>
      </c>
      <c r="L1107" t="s">
        <v>44</v>
      </c>
      <c r="M1107" s="3">
        <v>170800</v>
      </c>
      <c r="N1107" s="4">
        <v>0.157</v>
      </c>
      <c r="O1107" s="4">
        <v>1</v>
      </c>
      <c r="P1107" t="s">
        <v>29</v>
      </c>
      <c r="R1107">
        <v>147</v>
      </c>
      <c r="S1107" s="3">
        <v>11999.63</v>
      </c>
    </row>
    <row r="1108" spans="1:19" x14ac:dyDescent="0.2">
      <c r="A1108" t="s">
        <v>1837</v>
      </c>
      <c r="B1108" s="2">
        <v>46140</v>
      </c>
      <c r="C1108" s="2">
        <v>46166</v>
      </c>
      <c r="D1108" t="s">
        <v>890</v>
      </c>
      <c r="E1108" t="s">
        <v>82</v>
      </c>
      <c r="F1108" t="s">
        <v>48</v>
      </c>
      <c r="G1108" t="s">
        <v>55</v>
      </c>
      <c r="H1108" t="s">
        <v>77</v>
      </c>
      <c r="I1108" t="s">
        <v>25</v>
      </c>
      <c r="J1108" t="s">
        <v>43</v>
      </c>
      <c r="K1108" t="s">
        <v>37</v>
      </c>
      <c r="L1108" t="s">
        <v>28</v>
      </c>
      <c r="M1108" s="3">
        <v>23500</v>
      </c>
      <c r="N1108" s="4">
        <v>0.18099999999999999</v>
      </c>
      <c r="O1108" s="4">
        <v>0.1</v>
      </c>
      <c r="P1108" t="s">
        <v>38</v>
      </c>
      <c r="R1108">
        <v>26</v>
      </c>
      <c r="S1108" s="3">
        <v>1604.43</v>
      </c>
    </row>
    <row r="1109" spans="1:19" x14ac:dyDescent="0.2">
      <c r="A1109" t="s">
        <v>1838</v>
      </c>
      <c r="B1109" s="2">
        <v>46133</v>
      </c>
      <c r="C1109" s="2">
        <v>46327</v>
      </c>
      <c r="D1109" t="s">
        <v>977</v>
      </c>
      <c r="E1109" t="s">
        <v>62</v>
      </c>
      <c r="F1109" t="s">
        <v>48</v>
      </c>
      <c r="G1109" t="s">
        <v>23</v>
      </c>
      <c r="H1109" t="s">
        <v>41</v>
      </c>
      <c r="I1109" t="s">
        <v>65</v>
      </c>
      <c r="J1109" t="s">
        <v>26</v>
      </c>
      <c r="K1109" t="s">
        <v>106</v>
      </c>
      <c r="L1109" t="s">
        <v>51</v>
      </c>
      <c r="M1109" s="3">
        <v>28700</v>
      </c>
      <c r="N1109" s="4">
        <v>0</v>
      </c>
      <c r="O1109" s="4">
        <v>0.25</v>
      </c>
      <c r="P1109" t="s">
        <v>38</v>
      </c>
      <c r="R1109">
        <v>194</v>
      </c>
      <c r="S1109" s="3">
        <v>2391.67</v>
      </c>
    </row>
    <row r="1110" spans="1:19" x14ac:dyDescent="0.2">
      <c r="A1110" t="s">
        <v>1839</v>
      </c>
      <c r="B1110" s="2">
        <v>46074</v>
      </c>
      <c r="C1110" s="2">
        <v>46169</v>
      </c>
      <c r="D1110" t="s">
        <v>1289</v>
      </c>
      <c r="E1110" t="s">
        <v>54</v>
      </c>
      <c r="F1110" t="s">
        <v>22</v>
      </c>
      <c r="G1110" t="s">
        <v>55</v>
      </c>
      <c r="H1110" t="s">
        <v>83</v>
      </c>
      <c r="I1110" t="s">
        <v>35</v>
      </c>
      <c r="J1110" t="s">
        <v>85</v>
      </c>
      <c r="K1110" t="s">
        <v>88</v>
      </c>
      <c r="L1110" t="s">
        <v>28</v>
      </c>
      <c r="M1110" s="3">
        <v>79000</v>
      </c>
      <c r="N1110" s="4">
        <v>0.159</v>
      </c>
      <c r="O1110" s="4">
        <v>0.35</v>
      </c>
      <c r="P1110" t="s">
        <v>38</v>
      </c>
      <c r="R1110">
        <v>95</v>
      </c>
      <c r="S1110" s="3">
        <v>5534.62</v>
      </c>
    </row>
    <row r="1111" spans="1:19" x14ac:dyDescent="0.2">
      <c r="A1111" t="s">
        <v>1840</v>
      </c>
      <c r="B1111" s="2">
        <v>45996</v>
      </c>
      <c r="C1111" s="2">
        <v>46087</v>
      </c>
      <c r="D1111" t="s">
        <v>1567</v>
      </c>
      <c r="E1111" t="s">
        <v>33</v>
      </c>
      <c r="F1111" t="s">
        <v>22</v>
      </c>
      <c r="G1111" t="s">
        <v>55</v>
      </c>
      <c r="H1111" t="s">
        <v>41</v>
      </c>
      <c r="I1111" t="s">
        <v>65</v>
      </c>
      <c r="J1111" t="s">
        <v>85</v>
      </c>
      <c r="K1111" t="s">
        <v>88</v>
      </c>
      <c r="L1111" t="s">
        <v>51</v>
      </c>
      <c r="M1111" s="3">
        <v>96800</v>
      </c>
      <c r="N1111" s="4">
        <v>8.9999999999999993E-3</v>
      </c>
      <c r="O1111" s="4">
        <v>0.4</v>
      </c>
      <c r="P1111" t="s">
        <v>38</v>
      </c>
      <c r="R1111">
        <v>91</v>
      </c>
      <c r="S1111" s="3">
        <v>7990.15</v>
      </c>
    </row>
    <row r="1112" spans="1:19" x14ac:dyDescent="0.2">
      <c r="A1112" t="s">
        <v>1841</v>
      </c>
      <c r="B1112" s="2">
        <v>46009</v>
      </c>
      <c r="C1112" s="2">
        <v>46140</v>
      </c>
      <c r="D1112" t="s">
        <v>1128</v>
      </c>
      <c r="E1112" t="s">
        <v>111</v>
      </c>
      <c r="F1112" t="s">
        <v>48</v>
      </c>
      <c r="G1112" t="s">
        <v>34</v>
      </c>
      <c r="H1112" t="s">
        <v>95</v>
      </c>
      <c r="I1112" t="s">
        <v>84</v>
      </c>
      <c r="J1112" t="s">
        <v>26</v>
      </c>
      <c r="K1112" t="s">
        <v>58</v>
      </c>
      <c r="L1112" t="s">
        <v>28</v>
      </c>
      <c r="M1112" s="3">
        <v>13800</v>
      </c>
      <c r="N1112" s="4">
        <v>9.6000000000000002E-2</v>
      </c>
      <c r="O1112" s="4">
        <v>0.8</v>
      </c>
      <c r="P1112" t="s">
        <v>59</v>
      </c>
      <c r="R1112">
        <v>131</v>
      </c>
      <c r="S1112" s="3">
        <v>1039.0899999999999</v>
      </c>
    </row>
    <row r="1113" spans="1:19" x14ac:dyDescent="0.2">
      <c r="A1113" t="s">
        <v>1842</v>
      </c>
      <c r="B1113" s="2">
        <v>45960</v>
      </c>
      <c r="C1113" s="2">
        <v>45991</v>
      </c>
      <c r="D1113" t="s">
        <v>236</v>
      </c>
      <c r="E1113" t="s">
        <v>54</v>
      </c>
      <c r="F1113" t="s">
        <v>48</v>
      </c>
      <c r="G1113" t="s">
        <v>55</v>
      </c>
      <c r="H1113" t="s">
        <v>49</v>
      </c>
      <c r="I1113" t="s">
        <v>35</v>
      </c>
      <c r="J1113" t="s">
        <v>57</v>
      </c>
      <c r="K1113" t="s">
        <v>78</v>
      </c>
      <c r="L1113" t="s">
        <v>51</v>
      </c>
      <c r="M1113" s="3">
        <v>23600</v>
      </c>
      <c r="N1113" s="4">
        <v>5.7000000000000002E-2</v>
      </c>
      <c r="O1113" s="4">
        <v>0.5</v>
      </c>
      <c r="P1113" t="s">
        <v>79</v>
      </c>
      <c r="R1113">
        <v>31</v>
      </c>
      <c r="S1113" s="3">
        <v>1855.06</v>
      </c>
    </row>
    <row r="1114" spans="1:19" x14ac:dyDescent="0.2">
      <c r="A1114" t="s">
        <v>1843</v>
      </c>
      <c r="B1114" s="2">
        <v>46001</v>
      </c>
      <c r="C1114" s="2">
        <v>46163</v>
      </c>
      <c r="D1114" t="s">
        <v>857</v>
      </c>
      <c r="E1114" t="s">
        <v>68</v>
      </c>
      <c r="F1114" t="s">
        <v>48</v>
      </c>
      <c r="G1114" t="s">
        <v>63</v>
      </c>
      <c r="H1114" t="s">
        <v>83</v>
      </c>
      <c r="I1114" t="s">
        <v>35</v>
      </c>
      <c r="J1114" t="s">
        <v>57</v>
      </c>
      <c r="K1114" t="s">
        <v>50</v>
      </c>
      <c r="L1114" t="s">
        <v>44</v>
      </c>
      <c r="M1114" s="3">
        <v>28000</v>
      </c>
      <c r="N1114" s="4">
        <v>0.14099999999999999</v>
      </c>
      <c r="O1114" s="4">
        <v>1</v>
      </c>
      <c r="P1114" t="s">
        <v>29</v>
      </c>
      <c r="R1114">
        <v>162</v>
      </c>
      <c r="S1114" s="3">
        <v>2004.25</v>
      </c>
    </row>
    <row r="1115" spans="1:19" x14ac:dyDescent="0.2">
      <c r="A1115" t="s">
        <v>1844</v>
      </c>
      <c r="B1115" s="2">
        <v>46192</v>
      </c>
      <c r="C1115" s="2">
        <v>46277</v>
      </c>
      <c r="D1115" t="s">
        <v>684</v>
      </c>
      <c r="E1115" t="s">
        <v>62</v>
      </c>
      <c r="F1115" t="s">
        <v>48</v>
      </c>
      <c r="G1115" t="s">
        <v>63</v>
      </c>
      <c r="H1115" t="s">
        <v>49</v>
      </c>
      <c r="I1115" t="s">
        <v>99</v>
      </c>
      <c r="J1115" t="s">
        <v>26</v>
      </c>
      <c r="K1115" t="s">
        <v>50</v>
      </c>
      <c r="L1115" t="s">
        <v>44</v>
      </c>
      <c r="M1115" s="3">
        <v>19800</v>
      </c>
      <c r="N1115" s="4">
        <v>0.154</v>
      </c>
      <c r="O1115" s="4">
        <v>1</v>
      </c>
      <c r="P1115" t="s">
        <v>29</v>
      </c>
      <c r="R1115">
        <v>85</v>
      </c>
      <c r="S1115" s="3">
        <v>1396.63</v>
      </c>
    </row>
    <row r="1116" spans="1:19" x14ac:dyDescent="0.2">
      <c r="A1116" t="s">
        <v>1845</v>
      </c>
      <c r="B1116" s="2">
        <v>46074</v>
      </c>
      <c r="C1116" s="2">
        <v>46160</v>
      </c>
      <c r="D1116" t="s">
        <v>1846</v>
      </c>
      <c r="E1116" t="s">
        <v>33</v>
      </c>
      <c r="F1116" t="s">
        <v>22</v>
      </c>
      <c r="G1116" t="s">
        <v>92</v>
      </c>
      <c r="H1116" t="s">
        <v>77</v>
      </c>
      <c r="I1116" t="s">
        <v>25</v>
      </c>
      <c r="J1116" t="s">
        <v>36</v>
      </c>
      <c r="K1116" t="s">
        <v>78</v>
      </c>
      <c r="L1116" t="s">
        <v>28</v>
      </c>
      <c r="M1116" s="3">
        <v>84800</v>
      </c>
      <c r="N1116" s="4">
        <v>0.13500000000000001</v>
      </c>
      <c r="O1116" s="4">
        <v>0.55000000000000004</v>
      </c>
      <c r="P1116" t="s">
        <v>79</v>
      </c>
      <c r="R1116">
        <v>86</v>
      </c>
      <c r="S1116" s="3">
        <v>6109.18</v>
      </c>
    </row>
    <row r="1117" spans="1:19" x14ac:dyDescent="0.2">
      <c r="A1117" t="s">
        <v>1847</v>
      </c>
      <c r="B1117" s="2">
        <v>46210</v>
      </c>
      <c r="C1117" s="2">
        <v>46297</v>
      </c>
      <c r="D1117" t="s">
        <v>610</v>
      </c>
      <c r="E1117" t="s">
        <v>54</v>
      </c>
      <c r="F1117" t="s">
        <v>22</v>
      </c>
      <c r="G1117" t="s">
        <v>55</v>
      </c>
      <c r="H1117" t="s">
        <v>69</v>
      </c>
      <c r="I1117" t="s">
        <v>99</v>
      </c>
      <c r="J1117" t="s">
        <v>26</v>
      </c>
      <c r="K1117" t="s">
        <v>58</v>
      </c>
      <c r="L1117" t="s">
        <v>44</v>
      </c>
      <c r="M1117" s="3">
        <v>69000</v>
      </c>
      <c r="N1117" s="4">
        <v>6.9000000000000006E-2</v>
      </c>
      <c r="O1117" s="4">
        <v>0.7</v>
      </c>
      <c r="P1117" t="s">
        <v>59</v>
      </c>
      <c r="R1117">
        <v>87</v>
      </c>
      <c r="S1117" s="3">
        <v>5354.98</v>
      </c>
    </row>
    <row r="1118" spans="1:19" x14ac:dyDescent="0.2">
      <c r="A1118" t="s">
        <v>1848</v>
      </c>
      <c r="B1118" s="2">
        <v>46276</v>
      </c>
      <c r="C1118" s="2">
        <v>46277</v>
      </c>
      <c r="D1118" t="s">
        <v>1123</v>
      </c>
      <c r="E1118" t="s">
        <v>62</v>
      </c>
      <c r="F1118" t="s">
        <v>48</v>
      </c>
      <c r="G1118" t="s">
        <v>92</v>
      </c>
      <c r="H1118" t="s">
        <v>24</v>
      </c>
      <c r="I1118" t="s">
        <v>84</v>
      </c>
      <c r="J1118" t="s">
        <v>43</v>
      </c>
      <c r="K1118" t="s">
        <v>27</v>
      </c>
      <c r="L1118" t="s">
        <v>44</v>
      </c>
      <c r="M1118" s="3">
        <v>18800</v>
      </c>
      <c r="N1118" s="4">
        <v>0.16700000000000001</v>
      </c>
      <c r="O1118" s="4">
        <v>0</v>
      </c>
      <c r="P1118" t="s">
        <v>29</v>
      </c>
      <c r="Q1118" t="s">
        <v>209</v>
      </c>
      <c r="R1118">
        <v>1</v>
      </c>
      <c r="S1118" s="3">
        <v>1304.94</v>
      </c>
    </row>
    <row r="1119" spans="1:19" x14ac:dyDescent="0.2">
      <c r="A1119" t="s">
        <v>1849</v>
      </c>
      <c r="B1119" s="2">
        <v>46003</v>
      </c>
      <c r="C1119" s="2">
        <v>46069</v>
      </c>
      <c r="D1119" t="s">
        <v>250</v>
      </c>
      <c r="E1119" t="s">
        <v>62</v>
      </c>
      <c r="F1119" t="s">
        <v>48</v>
      </c>
      <c r="G1119" t="s">
        <v>92</v>
      </c>
      <c r="H1119" t="s">
        <v>120</v>
      </c>
      <c r="I1119" t="s">
        <v>99</v>
      </c>
      <c r="J1119" t="s">
        <v>85</v>
      </c>
      <c r="K1119" t="s">
        <v>78</v>
      </c>
      <c r="L1119" t="s">
        <v>28</v>
      </c>
      <c r="M1119" s="3">
        <v>17100</v>
      </c>
      <c r="N1119" s="4">
        <v>0.12</v>
      </c>
      <c r="O1119" s="4">
        <v>0.6</v>
      </c>
      <c r="P1119" t="s">
        <v>79</v>
      </c>
      <c r="R1119">
        <v>66</v>
      </c>
      <c r="S1119" s="3">
        <v>1253.5899999999999</v>
      </c>
    </row>
    <row r="1120" spans="1:19" x14ac:dyDescent="0.2">
      <c r="A1120" t="s">
        <v>1850</v>
      </c>
      <c r="B1120" s="2">
        <v>46086</v>
      </c>
      <c r="C1120" s="2">
        <v>46211</v>
      </c>
      <c r="D1120" t="s">
        <v>870</v>
      </c>
      <c r="E1120" t="s">
        <v>21</v>
      </c>
      <c r="F1120" t="s">
        <v>48</v>
      </c>
      <c r="G1120" t="s">
        <v>63</v>
      </c>
      <c r="H1120" t="s">
        <v>24</v>
      </c>
      <c r="I1120" t="s">
        <v>99</v>
      </c>
      <c r="J1120" t="s">
        <v>26</v>
      </c>
      <c r="K1120" t="s">
        <v>50</v>
      </c>
      <c r="L1120" t="s">
        <v>51</v>
      </c>
      <c r="M1120" s="3">
        <v>23200</v>
      </c>
      <c r="N1120" s="4">
        <v>7.6999999999999999E-2</v>
      </c>
      <c r="O1120" s="4">
        <v>1</v>
      </c>
      <c r="P1120" t="s">
        <v>29</v>
      </c>
      <c r="R1120">
        <v>125</v>
      </c>
      <c r="S1120" s="3">
        <v>1784.74</v>
      </c>
    </row>
    <row r="1121" spans="1:19" x14ac:dyDescent="0.2">
      <c r="A1121" t="s">
        <v>1851</v>
      </c>
      <c r="B1121" s="2">
        <v>46036</v>
      </c>
      <c r="C1121" s="2">
        <v>46150</v>
      </c>
      <c r="D1121" t="s">
        <v>1852</v>
      </c>
      <c r="E1121" t="s">
        <v>111</v>
      </c>
      <c r="F1121" t="s">
        <v>22</v>
      </c>
      <c r="G1121" t="s">
        <v>55</v>
      </c>
      <c r="H1121" t="s">
        <v>64</v>
      </c>
      <c r="I1121" t="s">
        <v>65</v>
      </c>
      <c r="J1121" t="s">
        <v>26</v>
      </c>
      <c r="K1121" t="s">
        <v>37</v>
      </c>
      <c r="L1121" t="s">
        <v>28</v>
      </c>
      <c r="M1121" s="3">
        <v>50200</v>
      </c>
      <c r="N1121" s="4">
        <v>6.6000000000000003E-2</v>
      </c>
      <c r="O1121" s="4">
        <v>0.05</v>
      </c>
      <c r="P1121" t="s">
        <v>38</v>
      </c>
      <c r="R1121">
        <v>114</v>
      </c>
      <c r="S1121" s="3">
        <v>3905.37</v>
      </c>
    </row>
    <row r="1122" spans="1:19" x14ac:dyDescent="0.2">
      <c r="A1122" t="s">
        <v>1853</v>
      </c>
      <c r="B1122" s="2">
        <v>46035</v>
      </c>
      <c r="C1122" s="2">
        <v>46106</v>
      </c>
      <c r="D1122" t="s">
        <v>517</v>
      </c>
      <c r="E1122" t="s">
        <v>54</v>
      </c>
      <c r="F1122" t="s">
        <v>74</v>
      </c>
      <c r="G1122" t="s">
        <v>63</v>
      </c>
      <c r="H1122" t="s">
        <v>95</v>
      </c>
      <c r="I1122" t="s">
        <v>65</v>
      </c>
      <c r="J1122" t="s">
        <v>26</v>
      </c>
      <c r="K1122" t="s">
        <v>50</v>
      </c>
      <c r="L1122" t="s">
        <v>51</v>
      </c>
      <c r="M1122" s="3">
        <v>207100</v>
      </c>
      <c r="N1122" s="4">
        <v>0.21</v>
      </c>
      <c r="O1122" s="4">
        <v>1</v>
      </c>
      <c r="P1122" t="s">
        <v>29</v>
      </c>
      <c r="R1122">
        <v>71</v>
      </c>
      <c r="S1122" s="3">
        <v>13636.63</v>
      </c>
    </row>
    <row r="1123" spans="1:19" x14ac:dyDescent="0.2">
      <c r="A1123" t="s">
        <v>1854</v>
      </c>
      <c r="B1123" s="2">
        <v>46263</v>
      </c>
      <c r="C1123" s="2">
        <v>46313</v>
      </c>
      <c r="D1123" t="s">
        <v>1855</v>
      </c>
      <c r="E1123" t="s">
        <v>82</v>
      </c>
      <c r="F1123" t="s">
        <v>74</v>
      </c>
      <c r="G1123" t="s">
        <v>92</v>
      </c>
      <c r="H1123" t="s">
        <v>24</v>
      </c>
      <c r="I1123" t="s">
        <v>42</v>
      </c>
      <c r="J1123" t="s">
        <v>26</v>
      </c>
      <c r="K1123" t="s">
        <v>58</v>
      </c>
      <c r="L1123" t="s">
        <v>51</v>
      </c>
      <c r="M1123" s="3">
        <v>181200</v>
      </c>
      <c r="N1123" s="4">
        <v>0.157</v>
      </c>
      <c r="O1123" s="4">
        <v>0.75</v>
      </c>
      <c r="P1123" t="s">
        <v>59</v>
      </c>
      <c r="R1123">
        <v>50</v>
      </c>
      <c r="S1123" s="3">
        <v>12734.52</v>
      </c>
    </row>
    <row r="1124" spans="1:19" x14ac:dyDescent="0.2">
      <c r="A1124" t="s">
        <v>1856</v>
      </c>
      <c r="B1124" s="2">
        <v>46016</v>
      </c>
      <c r="C1124" s="2">
        <v>46146</v>
      </c>
      <c r="D1124" t="s">
        <v>470</v>
      </c>
      <c r="E1124" t="s">
        <v>33</v>
      </c>
      <c r="F1124" t="s">
        <v>48</v>
      </c>
      <c r="G1124" t="s">
        <v>34</v>
      </c>
      <c r="H1124" t="s">
        <v>56</v>
      </c>
      <c r="I1124" t="s">
        <v>25</v>
      </c>
      <c r="J1124" t="s">
        <v>36</v>
      </c>
      <c r="K1124" t="s">
        <v>88</v>
      </c>
      <c r="L1124" t="s">
        <v>51</v>
      </c>
      <c r="M1124" s="3">
        <v>9300</v>
      </c>
      <c r="N1124" s="4">
        <v>0.10199999999999999</v>
      </c>
      <c r="O1124" s="4">
        <v>0.35</v>
      </c>
      <c r="P1124" t="s">
        <v>38</v>
      </c>
      <c r="R1124">
        <v>130</v>
      </c>
      <c r="S1124" s="3">
        <v>695.67</v>
      </c>
    </row>
    <row r="1125" spans="1:19" x14ac:dyDescent="0.2">
      <c r="A1125" t="s">
        <v>1857</v>
      </c>
      <c r="B1125" s="2">
        <v>46150</v>
      </c>
      <c r="C1125" s="2">
        <v>46260</v>
      </c>
      <c r="D1125" t="s">
        <v>1512</v>
      </c>
      <c r="E1125" t="s">
        <v>21</v>
      </c>
      <c r="F1125" t="s">
        <v>74</v>
      </c>
      <c r="G1125" t="s">
        <v>63</v>
      </c>
      <c r="H1125" t="s">
        <v>137</v>
      </c>
      <c r="I1125" t="s">
        <v>65</v>
      </c>
      <c r="J1125" t="s">
        <v>57</v>
      </c>
      <c r="K1125" t="s">
        <v>37</v>
      </c>
      <c r="L1125" t="s">
        <v>28</v>
      </c>
      <c r="M1125" s="3">
        <v>152800</v>
      </c>
      <c r="N1125" s="4">
        <v>4.1000000000000002E-2</v>
      </c>
      <c r="O1125" s="4">
        <v>0.05</v>
      </c>
      <c r="P1125" t="s">
        <v>38</v>
      </c>
      <c r="R1125">
        <v>110</v>
      </c>
      <c r="S1125" s="3">
        <v>12205.89</v>
      </c>
    </row>
    <row r="1126" spans="1:19" x14ac:dyDescent="0.2">
      <c r="A1126" t="s">
        <v>1858</v>
      </c>
      <c r="B1126" s="2">
        <v>46111</v>
      </c>
      <c r="C1126" s="2">
        <v>46160</v>
      </c>
      <c r="D1126" t="s">
        <v>818</v>
      </c>
      <c r="E1126" t="s">
        <v>21</v>
      </c>
      <c r="F1126" t="s">
        <v>22</v>
      </c>
      <c r="G1126" t="s">
        <v>63</v>
      </c>
      <c r="H1126" t="s">
        <v>77</v>
      </c>
      <c r="I1126" t="s">
        <v>84</v>
      </c>
      <c r="J1126" t="s">
        <v>85</v>
      </c>
      <c r="K1126" t="s">
        <v>88</v>
      </c>
      <c r="L1126" t="s">
        <v>44</v>
      </c>
      <c r="M1126" s="3">
        <v>76000</v>
      </c>
      <c r="N1126" s="4">
        <v>0.17499999999999999</v>
      </c>
      <c r="O1126" s="4">
        <v>0.4</v>
      </c>
      <c r="P1126" t="s">
        <v>38</v>
      </c>
      <c r="R1126">
        <v>49</v>
      </c>
      <c r="S1126" s="3">
        <v>5224.87</v>
      </c>
    </row>
    <row r="1127" spans="1:19" x14ac:dyDescent="0.2">
      <c r="A1127" t="s">
        <v>1859</v>
      </c>
      <c r="B1127" s="2">
        <v>46242</v>
      </c>
      <c r="C1127" s="2">
        <v>46279</v>
      </c>
      <c r="D1127" t="s">
        <v>621</v>
      </c>
      <c r="E1127" t="s">
        <v>91</v>
      </c>
      <c r="F1127" t="s">
        <v>48</v>
      </c>
      <c r="G1127" t="s">
        <v>34</v>
      </c>
      <c r="H1127" t="s">
        <v>77</v>
      </c>
      <c r="I1127" t="s">
        <v>84</v>
      </c>
      <c r="J1127" t="s">
        <v>85</v>
      </c>
      <c r="K1127" t="s">
        <v>37</v>
      </c>
      <c r="L1127" t="s">
        <v>44</v>
      </c>
      <c r="M1127" s="3">
        <v>19900</v>
      </c>
      <c r="N1127" s="4">
        <v>0.13700000000000001</v>
      </c>
      <c r="O1127" s="4">
        <v>0.1</v>
      </c>
      <c r="P1127" t="s">
        <v>38</v>
      </c>
      <c r="R1127">
        <v>37</v>
      </c>
      <c r="S1127" s="3">
        <v>1431.79</v>
      </c>
    </row>
    <row r="1128" spans="1:19" x14ac:dyDescent="0.2">
      <c r="A1128" t="s">
        <v>1860</v>
      </c>
      <c r="B1128" s="2">
        <v>46042</v>
      </c>
      <c r="C1128" s="2">
        <v>46184</v>
      </c>
      <c r="D1128" t="s">
        <v>1308</v>
      </c>
      <c r="E1128" t="s">
        <v>21</v>
      </c>
      <c r="F1128" t="s">
        <v>22</v>
      </c>
      <c r="G1128" t="s">
        <v>55</v>
      </c>
      <c r="H1128" t="s">
        <v>98</v>
      </c>
      <c r="I1128" t="s">
        <v>25</v>
      </c>
      <c r="J1128" t="s">
        <v>57</v>
      </c>
      <c r="K1128" t="s">
        <v>78</v>
      </c>
      <c r="L1128" t="s">
        <v>44</v>
      </c>
      <c r="M1128" s="3">
        <v>39000</v>
      </c>
      <c r="N1128" s="4">
        <v>7.3999999999999996E-2</v>
      </c>
      <c r="O1128" s="4">
        <v>0.6</v>
      </c>
      <c r="P1128" t="s">
        <v>79</v>
      </c>
      <c r="R1128">
        <v>142</v>
      </c>
      <c r="S1128" s="3">
        <v>3008.38</v>
      </c>
    </row>
    <row r="1129" spans="1:19" x14ac:dyDescent="0.2">
      <c r="A1129" t="s">
        <v>1861</v>
      </c>
      <c r="B1129" s="2">
        <v>46213</v>
      </c>
      <c r="C1129" s="2">
        <v>46251</v>
      </c>
      <c r="D1129" t="s">
        <v>1862</v>
      </c>
      <c r="E1129" t="s">
        <v>68</v>
      </c>
      <c r="F1129" t="s">
        <v>48</v>
      </c>
      <c r="G1129" t="s">
        <v>23</v>
      </c>
      <c r="H1129" t="s">
        <v>56</v>
      </c>
      <c r="I1129" t="s">
        <v>99</v>
      </c>
      <c r="J1129" t="s">
        <v>57</v>
      </c>
      <c r="K1129" t="s">
        <v>27</v>
      </c>
      <c r="L1129" t="s">
        <v>51</v>
      </c>
      <c r="M1129" s="3">
        <v>25300</v>
      </c>
      <c r="N1129" s="4">
        <v>0.21099999999999999</v>
      </c>
      <c r="O1129" s="4">
        <v>0</v>
      </c>
      <c r="P1129" t="s">
        <v>29</v>
      </c>
      <c r="Q1129" t="s">
        <v>222</v>
      </c>
      <c r="R1129">
        <v>38</v>
      </c>
      <c r="S1129" s="3">
        <v>1664.29</v>
      </c>
    </row>
    <row r="1130" spans="1:19" x14ac:dyDescent="0.2">
      <c r="A1130" t="s">
        <v>1863</v>
      </c>
      <c r="B1130" s="2">
        <v>46060</v>
      </c>
      <c r="C1130" s="2">
        <v>46161</v>
      </c>
      <c r="D1130" t="s">
        <v>1864</v>
      </c>
      <c r="E1130" t="s">
        <v>82</v>
      </c>
      <c r="F1130" t="s">
        <v>22</v>
      </c>
      <c r="G1130" t="s">
        <v>63</v>
      </c>
      <c r="H1130" t="s">
        <v>49</v>
      </c>
      <c r="I1130" t="s">
        <v>35</v>
      </c>
      <c r="J1130" t="s">
        <v>57</v>
      </c>
      <c r="K1130" t="s">
        <v>37</v>
      </c>
      <c r="L1130" t="s">
        <v>51</v>
      </c>
      <c r="M1130" s="3">
        <v>64500</v>
      </c>
      <c r="N1130" s="4">
        <v>0.11</v>
      </c>
      <c r="O1130" s="4">
        <v>0.05</v>
      </c>
      <c r="P1130" t="s">
        <v>38</v>
      </c>
      <c r="R1130">
        <v>101</v>
      </c>
      <c r="S1130" s="3">
        <v>4784.1000000000004</v>
      </c>
    </row>
    <row r="1131" spans="1:19" x14ac:dyDescent="0.2">
      <c r="A1131" t="s">
        <v>1865</v>
      </c>
      <c r="B1131" s="2">
        <v>45959</v>
      </c>
      <c r="C1131" s="2">
        <v>46055</v>
      </c>
      <c r="D1131" t="s">
        <v>1866</v>
      </c>
      <c r="E1131" t="s">
        <v>82</v>
      </c>
      <c r="F1131" t="s">
        <v>48</v>
      </c>
      <c r="G1131" t="s">
        <v>55</v>
      </c>
      <c r="H1131" t="s">
        <v>83</v>
      </c>
      <c r="I1131" t="s">
        <v>99</v>
      </c>
      <c r="J1131" t="s">
        <v>26</v>
      </c>
      <c r="K1131" t="s">
        <v>50</v>
      </c>
      <c r="L1131" t="s">
        <v>51</v>
      </c>
      <c r="M1131" s="3">
        <v>23000</v>
      </c>
      <c r="N1131" s="4">
        <v>0.106</v>
      </c>
      <c r="O1131" s="4">
        <v>1</v>
      </c>
      <c r="P1131" t="s">
        <v>29</v>
      </c>
      <c r="R1131">
        <v>96</v>
      </c>
      <c r="S1131" s="3">
        <v>1714.19</v>
      </c>
    </row>
    <row r="1132" spans="1:19" x14ac:dyDescent="0.2">
      <c r="A1132" t="s">
        <v>1867</v>
      </c>
      <c r="B1132" s="2">
        <v>46212</v>
      </c>
      <c r="C1132" s="2">
        <v>46277</v>
      </c>
      <c r="D1132" t="s">
        <v>487</v>
      </c>
      <c r="E1132" t="s">
        <v>33</v>
      </c>
      <c r="F1132" t="s">
        <v>74</v>
      </c>
      <c r="G1132" t="s">
        <v>23</v>
      </c>
      <c r="H1132" t="s">
        <v>41</v>
      </c>
      <c r="I1132" t="s">
        <v>25</v>
      </c>
      <c r="J1132" t="s">
        <v>26</v>
      </c>
      <c r="K1132" t="s">
        <v>50</v>
      </c>
      <c r="L1132" t="s">
        <v>28</v>
      </c>
      <c r="M1132" s="3">
        <v>341600</v>
      </c>
      <c r="N1132" s="4">
        <v>6.8000000000000005E-2</v>
      </c>
      <c r="O1132" s="4">
        <v>0.95</v>
      </c>
      <c r="P1132" t="s">
        <v>29</v>
      </c>
      <c r="R1132">
        <v>65</v>
      </c>
      <c r="S1132" s="3">
        <v>26534.48</v>
      </c>
    </row>
    <row r="1133" spans="1:19" x14ac:dyDescent="0.2">
      <c r="A1133" t="s">
        <v>1868</v>
      </c>
      <c r="B1133" s="2">
        <v>45969</v>
      </c>
      <c r="C1133" s="2">
        <v>46111</v>
      </c>
      <c r="D1133" t="s">
        <v>269</v>
      </c>
      <c r="E1133" t="s">
        <v>21</v>
      </c>
      <c r="F1133" t="s">
        <v>74</v>
      </c>
      <c r="G1133" t="s">
        <v>92</v>
      </c>
      <c r="H1133" t="s">
        <v>83</v>
      </c>
      <c r="I1133" t="s">
        <v>42</v>
      </c>
      <c r="J1133" t="s">
        <v>85</v>
      </c>
      <c r="K1133" t="s">
        <v>78</v>
      </c>
      <c r="L1133" t="s">
        <v>28</v>
      </c>
      <c r="M1133" s="3">
        <v>234700</v>
      </c>
      <c r="N1133" s="4">
        <v>0.121</v>
      </c>
      <c r="O1133" s="4">
        <v>0.6</v>
      </c>
      <c r="P1133" t="s">
        <v>79</v>
      </c>
      <c r="R1133">
        <v>142</v>
      </c>
      <c r="S1133" s="3">
        <v>17184.400000000001</v>
      </c>
    </row>
    <row r="1134" spans="1:19" x14ac:dyDescent="0.2">
      <c r="A1134" t="s">
        <v>1869</v>
      </c>
      <c r="B1134" s="2">
        <v>45994</v>
      </c>
      <c r="C1134" s="2">
        <v>46148</v>
      </c>
      <c r="D1134" t="s">
        <v>1436</v>
      </c>
      <c r="E1134" t="s">
        <v>62</v>
      </c>
      <c r="F1134" t="s">
        <v>48</v>
      </c>
      <c r="G1134" t="s">
        <v>55</v>
      </c>
      <c r="H1134" t="s">
        <v>120</v>
      </c>
      <c r="I1134" t="s">
        <v>84</v>
      </c>
      <c r="J1134" t="s">
        <v>85</v>
      </c>
      <c r="K1134" t="s">
        <v>50</v>
      </c>
      <c r="L1134" t="s">
        <v>44</v>
      </c>
      <c r="M1134" s="3">
        <v>27400</v>
      </c>
      <c r="N1134" s="4">
        <v>0.17100000000000001</v>
      </c>
      <c r="O1134" s="4">
        <v>1</v>
      </c>
      <c r="P1134" t="s">
        <v>29</v>
      </c>
      <c r="R1134">
        <v>154</v>
      </c>
      <c r="S1134" s="3">
        <v>1892.78</v>
      </c>
    </row>
    <row r="1135" spans="1:19" x14ac:dyDescent="0.2">
      <c r="A1135" t="s">
        <v>1870</v>
      </c>
      <c r="B1135" s="2">
        <v>46048</v>
      </c>
      <c r="C1135" s="2">
        <v>46170</v>
      </c>
      <c r="D1135" t="s">
        <v>263</v>
      </c>
      <c r="E1135" t="s">
        <v>33</v>
      </c>
      <c r="F1135" t="s">
        <v>22</v>
      </c>
      <c r="G1135" t="s">
        <v>63</v>
      </c>
      <c r="H1135" t="s">
        <v>120</v>
      </c>
      <c r="I1135" t="s">
        <v>65</v>
      </c>
      <c r="J1135" t="s">
        <v>57</v>
      </c>
      <c r="K1135" t="s">
        <v>106</v>
      </c>
      <c r="L1135" t="s">
        <v>28</v>
      </c>
      <c r="M1135" s="3">
        <v>34700</v>
      </c>
      <c r="N1135" s="4">
        <v>6.6000000000000003E-2</v>
      </c>
      <c r="O1135" s="4">
        <v>0.2</v>
      </c>
      <c r="P1135" t="s">
        <v>38</v>
      </c>
      <c r="R1135">
        <v>122</v>
      </c>
      <c r="S1135" s="3">
        <v>2700</v>
      </c>
    </row>
    <row r="1136" spans="1:19" x14ac:dyDescent="0.2">
      <c r="A1136" t="s">
        <v>1871</v>
      </c>
      <c r="B1136" s="2">
        <v>46180</v>
      </c>
      <c r="C1136" s="2">
        <v>46206</v>
      </c>
      <c r="D1136" t="s">
        <v>1543</v>
      </c>
      <c r="E1136" t="s">
        <v>54</v>
      </c>
      <c r="F1136" t="s">
        <v>22</v>
      </c>
      <c r="G1136" t="s">
        <v>23</v>
      </c>
      <c r="H1136" t="s">
        <v>69</v>
      </c>
      <c r="I1136" t="s">
        <v>65</v>
      </c>
      <c r="J1136" t="s">
        <v>26</v>
      </c>
      <c r="K1136" t="s">
        <v>78</v>
      </c>
      <c r="L1136" t="s">
        <v>28</v>
      </c>
      <c r="M1136" s="3">
        <v>35100</v>
      </c>
      <c r="N1136" s="4">
        <v>0.11700000000000001</v>
      </c>
      <c r="O1136" s="4">
        <v>0.55000000000000004</v>
      </c>
      <c r="P1136" t="s">
        <v>79</v>
      </c>
      <c r="R1136">
        <v>26</v>
      </c>
      <c r="S1136" s="3">
        <v>2582.19</v>
      </c>
    </row>
    <row r="1137" spans="1:19" x14ac:dyDescent="0.2">
      <c r="A1137" t="s">
        <v>1872</v>
      </c>
      <c r="B1137" s="2">
        <v>46183</v>
      </c>
      <c r="C1137" s="2">
        <v>46233</v>
      </c>
      <c r="D1137" t="s">
        <v>1297</v>
      </c>
      <c r="E1137" t="s">
        <v>68</v>
      </c>
      <c r="F1137" t="s">
        <v>48</v>
      </c>
      <c r="G1137" t="s">
        <v>34</v>
      </c>
      <c r="H1137" t="s">
        <v>24</v>
      </c>
      <c r="I1137" t="s">
        <v>84</v>
      </c>
      <c r="J1137" t="s">
        <v>57</v>
      </c>
      <c r="K1137" t="s">
        <v>78</v>
      </c>
      <c r="L1137" t="s">
        <v>44</v>
      </c>
      <c r="M1137" s="3">
        <v>9500</v>
      </c>
      <c r="N1137" s="4">
        <v>9.0999999999999998E-2</v>
      </c>
      <c r="O1137" s="4">
        <v>0.6</v>
      </c>
      <c r="P1137" t="s">
        <v>79</v>
      </c>
      <c r="R1137">
        <v>50</v>
      </c>
      <c r="S1137" s="3">
        <v>719.9</v>
      </c>
    </row>
    <row r="1138" spans="1:19" x14ac:dyDescent="0.2">
      <c r="A1138" t="s">
        <v>1873</v>
      </c>
      <c r="B1138" s="2">
        <v>46029</v>
      </c>
      <c r="C1138" s="2">
        <v>46071</v>
      </c>
      <c r="D1138" t="s">
        <v>1364</v>
      </c>
      <c r="E1138" t="s">
        <v>91</v>
      </c>
      <c r="F1138" t="s">
        <v>22</v>
      </c>
      <c r="G1138" t="s">
        <v>34</v>
      </c>
      <c r="H1138" t="s">
        <v>120</v>
      </c>
      <c r="I1138" t="s">
        <v>99</v>
      </c>
      <c r="J1138" t="s">
        <v>57</v>
      </c>
      <c r="K1138" t="s">
        <v>78</v>
      </c>
      <c r="L1138" t="s">
        <v>28</v>
      </c>
      <c r="M1138" s="3">
        <v>99800</v>
      </c>
      <c r="N1138" s="4">
        <v>0.11899999999999999</v>
      </c>
      <c r="O1138" s="4">
        <v>0.55000000000000004</v>
      </c>
      <c r="P1138" t="s">
        <v>79</v>
      </c>
      <c r="R1138">
        <v>42</v>
      </c>
      <c r="S1138" s="3">
        <v>7330.48</v>
      </c>
    </row>
    <row r="1139" spans="1:19" x14ac:dyDescent="0.2">
      <c r="A1139" t="s">
        <v>1874</v>
      </c>
      <c r="B1139" s="2">
        <v>45967</v>
      </c>
      <c r="C1139" s="2">
        <v>45997</v>
      </c>
      <c r="D1139" t="s">
        <v>562</v>
      </c>
      <c r="E1139" t="s">
        <v>68</v>
      </c>
      <c r="F1139" t="s">
        <v>22</v>
      </c>
      <c r="G1139" t="s">
        <v>23</v>
      </c>
      <c r="H1139" t="s">
        <v>77</v>
      </c>
      <c r="I1139" t="s">
        <v>42</v>
      </c>
      <c r="J1139" t="s">
        <v>57</v>
      </c>
      <c r="K1139" t="s">
        <v>50</v>
      </c>
      <c r="L1139" t="s">
        <v>51</v>
      </c>
      <c r="M1139" s="3">
        <v>37000</v>
      </c>
      <c r="N1139" s="4">
        <v>0.122</v>
      </c>
      <c r="O1139" s="4">
        <v>1</v>
      </c>
      <c r="P1139" t="s">
        <v>29</v>
      </c>
      <c r="R1139">
        <v>30</v>
      </c>
      <c r="S1139" s="3">
        <v>2706.09</v>
      </c>
    </row>
    <row r="1140" spans="1:19" x14ac:dyDescent="0.2">
      <c r="A1140" t="s">
        <v>1875</v>
      </c>
      <c r="B1140" s="2">
        <v>46168</v>
      </c>
      <c r="C1140" s="2">
        <v>46199</v>
      </c>
      <c r="D1140" t="s">
        <v>811</v>
      </c>
      <c r="E1140" t="s">
        <v>33</v>
      </c>
      <c r="F1140" t="s">
        <v>48</v>
      </c>
      <c r="G1140" t="s">
        <v>63</v>
      </c>
      <c r="H1140" t="s">
        <v>83</v>
      </c>
      <c r="I1140" t="s">
        <v>84</v>
      </c>
      <c r="J1140" t="s">
        <v>26</v>
      </c>
      <c r="K1140" t="s">
        <v>50</v>
      </c>
      <c r="L1140" t="s">
        <v>51</v>
      </c>
      <c r="M1140" s="3">
        <v>26800</v>
      </c>
      <c r="N1140" s="4">
        <v>1.4999999999999999E-2</v>
      </c>
      <c r="O1140" s="4">
        <v>1</v>
      </c>
      <c r="P1140" t="s">
        <v>29</v>
      </c>
      <c r="R1140">
        <v>31</v>
      </c>
      <c r="S1140" s="3">
        <v>2200.83</v>
      </c>
    </row>
    <row r="1141" spans="1:19" x14ac:dyDescent="0.2">
      <c r="A1141" t="s">
        <v>1876</v>
      </c>
      <c r="B1141" s="2">
        <v>45934</v>
      </c>
      <c r="C1141" s="2">
        <v>45967</v>
      </c>
      <c r="D1141" t="s">
        <v>1590</v>
      </c>
      <c r="E1141" t="s">
        <v>54</v>
      </c>
      <c r="F1141" t="s">
        <v>48</v>
      </c>
      <c r="G1141" t="s">
        <v>63</v>
      </c>
      <c r="H1141" t="s">
        <v>95</v>
      </c>
      <c r="I1141" t="s">
        <v>42</v>
      </c>
      <c r="J1141" t="s">
        <v>85</v>
      </c>
      <c r="K1141" t="s">
        <v>106</v>
      </c>
      <c r="L1141" t="s">
        <v>51</v>
      </c>
      <c r="M1141" s="3">
        <v>24300</v>
      </c>
      <c r="N1141" s="4">
        <v>0.109</v>
      </c>
      <c r="O1141" s="4">
        <v>0.15</v>
      </c>
      <c r="P1141" t="s">
        <v>38</v>
      </c>
      <c r="R1141">
        <v>33</v>
      </c>
      <c r="S1141" s="3">
        <v>1803.41</v>
      </c>
    </row>
    <row r="1142" spans="1:19" x14ac:dyDescent="0.2">
      <c r="A1142" t="s">
        <v>1877</v>
      </c>
      <c r="B1142" s="2">
        <v>46276</v>
      </c>
      <c r="C1142" s="2">
        <v>46277</v>
      </c>
      <c r="D1142" t="s">
        <v>637</v>
      </c>
      <c r="E1142" t="s">
        <v>111</v>
      </c>
      <c r="F1142" t="s">
        <v>48</v>
      </c>
      <c r="G1142" t="s">
        <v>55</v>
      </c>
      <c r="H1142" t="s">
        <v>98</v>
      </c>
      <c r="I1142" t="s">
        <v>25</v>
      </c>
      <c r="J1142" t="s">
        <v>43</v>
      </c>
      <c r="K1142" t="s">
        <v>50</v>
      </c>
      <c r="L1142" t="s">
        <v>44</v>
      </c>
      <c r="M1142" s="3">
        <v>8500</v>
      </c>
      <c r="N1142" s="4">
        <v>0.13300000000000001</v>
      </c>
      <c r="O1142" s="4">
        <v>1</v>
      </c>
      <c r="P1142" t="s">
        <v>29</v>
      </c>
      <c r="R1142">
        <v>1</v>
      </c>
      <c r="S1142" s="3">
        <v>614.12</v>
      </c>
    </row>
    <row r="1143" spans="1:19" x14ac:dyDescent="0.2">
      <c r="A1143" t="s">
        <v>1878</v>
      </c>
      <c r="B1143" s="2">
        <v>46179</v>
      </c>
      <c r="C1143" s="2">
        <v>46332</v>
      </c>
      <c r="D1143" t="s">
        <v>236</v>
      </c>
      <c r="E1143" t="s">
        <v>33</v>
      </c>
      <c r="F1143" t="s">
        <v>22</v>
      </c>
      <c r="G1143" t="s">
        <v>34</v>
      </c>
      <c r="H1143" t="s">
        <v>49</v>
      </c>
      <c r="I1143" t="s">
        <v>35</v>
      </c>
      <c r="J1143" t="s">
        <v>85</v>
      </c>
      <c r="K1143" t="s">
        <v>78</v>
      </c>
      <c r="L1143" t="s">
        <v>51</v>
      </c>
      <c r="M1143" s="3">
        <v>89000</v>
      </c>
      <c r="N1143" s="4">
        <v>0.161</v>
      </c>
      <c r="O1143" s="4">
        <v>0.55000000000000004</v>
      </c>
      <c r="P1143" t="s">
        <v>79</v>
      </c>
      <c r="R1143">
        <v>153</v>
      </c>
      <c r="S1143" s="3">
        <v>6221.23</v>
      </c>
    </row>
    <row r="1144" spans="1:19" x14ac:dyDescent="0.2">
      <c r="A1144" t="s">
        <v>1879</v>
      </c>
      <c r="B1144" s="2">
        <v>46025</v>
      </c>
      <c r="C1144" s="2">
        <v>46040</v>
      </c>
      <c r="D1144" t="s">
        <v>1428</v>
      </c>
      <c r="E1144" t="s">
        <v>68</v>
      </c>
      <c r="F1144" t="s">
        <v>74</v>
      </c>
      <c r="G1144" t="s">
        <v>92</v>
      </c>
      <c r="H1144" t="s">
        <v>95</v>
      </c>
      <c r="I1144" t="s">
        <v>65</v>
      </c>
      <c r="J1144" t="s">
        <v>26</v>
      </c>
      <c r="K1144" t="s">
        <v>27</v>
      </c>
      <c r="L1144" t="s">
        <v>28</v>
      </c>
      <c r="M1144" s="3">
        <v>136700</v>
      </c>
      <c r="N1144" s="4">
        <v>0.187</v>
      </c>
      <c r="O1144" s="4">
        <v>0</v>
      </c>
      <c r="P1144" t="s">
        <v>29</v>
      </c>
      <c r="Q1144" t="s">
        <v>152</v>
      </c>
      <c r="R1144">
        <v>15</v>
      </c>
      <c r="S1144" s="3">
        <v>9257.33</v>
      </c>
    </row>
    <row r="1145" spans="1:19" x14ac:dyDescent="0.2">
      <c r="A1145" t="s">
        <v>1880</v>
      </c>
      <c r="B1145" s="2">
        <v>46080</v>
      </c>
      <c r="C1145" s="2">
        <v>46096</v>
      </c>
      <c r="D1145" t="s">
        <v>1881</v>
      </c>
      <c r="E1145" t="s">
        <v>33</v>
      </c>
      <c r="F1145" t="s">
        <v>48</v>
      </c>
      <c r="G1145" t="s">
        <v>92</v>
      </c>
      <c r="H1145" t="s">
        <v>56</v>
      </c>
      <c r="I1145" t="s">
        <v>99</v>
      </c>
      <c r="J1145" t="s">
        <v>36</v>
      </c>
      <c r="K1145" t="s">
        <v>27</v>
      </c>
      <c r="L1145" t="s">
        <v>44</v>
      </c>
      <c r="M1145" s="3">
        <v>27100</v>
      </c>
      <c r="N1145" s="4">
        <v>0.153</v>
      </c>
      <c r="O1145" s="4">
        <v>0</v>
      </c>
      <c r="P1145" t="s">
        <v>29</v>
      </c>
      <c r="Q1145" t="s">
        <v>222</v>
      </c>
      <c r="R1145">
        <v>16</v>
      </c>
      <c r="S1145" s="3">
        <v>1911.9</v>
      </c>
    </row>
    <row r="1146" spans="1:19" x14ac:dyDescent="0.2">
      <c r="A1146" t="s">
        <v>1882</v>
      </c>
      <c r="B1146" s="2">
        <v>46008</v>
      </c>
      <c r="C1146" s="2">
        <v>46104</v>
      </c>
      <c r="D1146" t="s">
        <v>1883</v>
      </c>
      <c r="E1146" t="s">
        <v>54</v>
      </c>
      <c r="F1146" t="s">
        <v>22</v>
      </c>
      <c r="G1146" t="s">
        <v>63</v>
      </c>
      <c r="H1146" t="s">
        <v>49</v>
      </c>
      <c r="I1146" t="s">
        <v>25</v>
      </c>
      <c r="J1146" t="s">
        <v>85</v>
      </c>
      <c r="K1146" t="s">
        <v>78</v>
      </c>
      <c r="L1146" t="s">
        <v>44</v>
      </c>
      <c r="M1146" s="3">
        <v>27600</v>
      </c>
      <c r="N1146" s="4">
        <v>8.2000000000000003E-2</v>
      </c>
      <c r="O1146" s="4">
        <v>0.55000000000000004</v>
      </c>
      <c r="P1146" t="s">
        <v>79</v>
      </c>
      <c r="R1146">
        <v>96</v>
      </c>
      <c r="S1146" s="3">
        <v>2110.98</v>
      </c>
    </row>
    <row r="1147" spans="1:19" x14ac:dyDescent="0.2">
      <c r="A1147" t="s">
        <v>1884</v>
      </c>
      <c r="B1147" s="2">
        <v>46210</v>
      </c>
      <c r="C1147" s="2">
        <v>46325</v>
      </c>
      <c r="D1147" t="s">
        <v>245</v>
      </c>
      <c r="E1147" t="s">
        <v>33</v>
      </c>
      <c r="F1147" t="s">
        <v>48</v>
      </c>
      <c r="G1147" t="s">
        <v>92</v>
      </c>
      <c r="H1147" t="s">
        <v>69</v>
      </c>
      <c r="I1147" t="s">
        <v>84</v>
      </c>
      <c r="J1147" t="s">
        <v>57</v>
      </c>
      <c r="K1147" t="s">
        <v>37</v>
      </c>
      <c r="L1147" t="s">
        <v>44</v>
      </c>
      <c r="M1147" s="3">
        <v>29200</v>
      </c>
      <c r="N1147" s="4">
        <v>0.123</v>
      </c>
      <c r="O1147" s="4">
        <v>0.1</v>
      </c>
      <c r="P1147" t="s">
        <v>38</v>
      </c>
      <c r="R1147">
        <v>115</v>
      </c>
      <c r="S1147" s="3">
        <v>2135.17</v>
      </c>
    </row>
    <row r="1148" spans="1:19" x14ac:dyDescent="0.2">
      <c r="A1148" t="s">
        <v>1885</v>
      </c>
      <c r="B1148" s="2">
        <v>45957</v>
      </c>
      <c r="C1148" s="2">
        <v>46120</v>
      </c>
      <c r="D1148" t="s">
        <v>392</v>
      </c>
      <c r="E1148" t="s">
        <v>91</v>
      </c>
      <c r="F1148" t="s">
        <v>48</v>
      </c>
      <c r="G1148" t="s">
        <v>55</v>
      </c>
      <c r="H1148" t="s">
        <v>95</v>
      </c>
      <c r="I1148" t="s">
        <v>35</v>
      </c>
      <c r="J1148" t="s">
        <v>57</v>
      </c>
      <c r="K1148" t="s">
        <v>50</v>
      </c>
      <c r="L1148" t="s">
        <v>51</v>
      </c>
      <c r="M1148" s="3">
        <v>25400</v>
      </c>
      <c r="N1148" s="4">
        <v>6.0999999999999999E-2</v>
      </c>
      <c r="O1148" s="4">
        <v>0.95</v>
      </c>
      <c r="P1148" t="s">
        <v>29</v>
      </c>
      <c r="R1148">
        <v>163</v>
      </c>
      <c r="S1148" s="3">
        <v>1987.44</v>
      </c>
    </row>
    <row r="1149" spans="1:19" x14ac:dyDescent="0.2">
      <c r="A1149" t="s">
        <v>1886</v>
      </c>
      <c r="B1149" s="2">
        <v>45992</v>
      </c>
      <c r="C1149" s="2">
        <v>46008</v>
      </c>
      <c r="D1149" t="s">
        <v>1102</v>
      </c>
      <c r="E1149" t="s">
        <v>68</v>
      </c>
      <c r="F1149" t="s">
        <v>74</v>
      </c>
      <c r="G1149" t="s">
        <v>23</v>
      </c>
      <c r="H1149" t="s">
        <v>49</v>
      </c>
      <c r="I1149" t="s">
        <v>65</v>
      </c>
      <c r="J1149" t="s">
        <v>26</v>
      </c>
      <c r="K1149" t="s">
        <v>50</v>
      </c>
      <c r="L1149" t="s">
        <v>28</v>
      </c>
      <c r="M1149" s="3">
        <v>130700</v>
      </c>
      <c r="N1149" s="4">
        <v>0.10199999999999999</v>
      </c>
      <c r="O1149" s="4">
        <v>1</v>
      </c>
      <c r="P1149" t="s">
        <v>29</v>
      </c>
      <c r="R1149">
        <v>16</v>
      </c>
      <c r="S1149" s="3">
        <v>9785.49</v>
      </c>
    </row>
    <row r="1150" spans="1:19" x14ac:dyDescent="0.2">
      <c r="A1150" t="s">
        <v>1887</v>
      </c>
      <c r="B1150" s="2">
        <v>46058</v>
      </c>
      <c r="C1150" s="2">
        <v>46094</v>
      </c>
      <c r="D1150" t="s">
        <v>1372</v>
      </c>
      <c r="E1150" t="s">
        <v>54</v>
      </c>
      <c r="F1150" t="s">
        <v>22</v>
      </c>
      <c r="G1150" t="s">
        <v>55</v>
      </c>
      <c r="H1150" t="s">
        <v>98</v>
      </c>
      <c r="I1150" t="s">
        <v>84</v>
      </c>
      <c r="J1150" t="s">
        <v>85</v>
      </c>
      <c r="K1150" t="s">
        <v>78</v>
      </c>
      <c r="L1150" t="s">
        <v>51</v>
      </c>
      <c r="M1150" s="3">
        <v>55500</v>
      </c>
      <c r="N1150" s="4">
        <v>0.14499999999999999</v>
      </c>
      <c r="O1150" s="4">
        <v>0.55000000000000004</v>
      </c>
      <c r="P1150" t="s">
        <v>79</v>
      </c>
      <c r="R1150">
        <v>36</v>
      </c>
      <c r="S1150" s="3">
        <v>3952.74</v>
      </c>
    </row>
    <row r="1151" spans="1:19" x14ac:dyDescent="0.2">
      <c r="A1151" t="s">
        <v>1888</v>
      </c>
      <c r="B1151" s="2">
        <v>46234</v>
      </c>
      <c r="C1151" s="2">
        <v>46317</v>
      </c>
      <c r="D1151" t="s">
        <v>627</v>
      </c>
      <c r="E1151" t="s">
        <v>33</v>
      </c>
      <c r="F1151" t="s">
        <v>48</v>
      </c>
      <c r="G1151" t="s">
        <v>63</v>
      </c>
      <c r="H1151" t="s">
        <v>83</v>
      </c>
      <c r="I1151" t="s">
        <v>42</v>
      </c>
      <c r="J1151" t="s">
        <v>26</v>
      </c>
      <c r="K1151" t="s">
        <v>78</v>
      </c>
      <c r="L1151" t="s">
        <v>44</v>
      </c>
      <c r="M1151" s="3">
        <v>14600</v>
      </c>
      <c r="N1151" s="4">
        <v>0.11600000000000001</v>
      </c>
      <c r="O1151" s="4">
        <v>0.5</v>
      </c>
      <c r="P1151" t="s">
        <v>79</v>
      </c>
      <c r="R1151">
        <v>83</v>
      </c>
      <c r="S1151" s="3">
        <v>1075.74</v>
      </c>
    </row>
    <row r="1152" spans="1:19" x14ac:dyDescent="0.2">
      <c r="A1152" t="s">
        <v>1889</v>
      </c>
      <c r="B1152" s="2">
        <v>46201</v>
      </c>
      <c r="C1152" s="2">
        <v>46298</v>
      </c>
      <c r="D1152" t="s">
        <v>1690</v>
      </c>
      <c r="E1152" t="s">
        <v>21</v>
      </c>
      <c r="F1152" t="s">
        <v>22</v>
      </c>
      <c r="G1152" t="s">
        <v>63</v>
      </c>
      <c r="H1152" t="s">
        <v>64</v>
      </c>
      <c r="I1152" t="s">
        <v>42</v>
      </c>
      <c r="J1152" t="s">
        <v>26</v>
      </c>
      <c r="K1152" t="s">
        <v>106</v>
      </c>
      <c r="L1152" t="s">
        <v>28</v>
      </c>
      <c r="M1152" s="3">
        <v>76300</v>
      </c>
      <c r="N1152" s="4">
        <v>0.11799999999999999</v>
      </c>
      <c r="O1152" s="4">
        <v>0.2</v>
      </c>
      <c r="P1152" t="s">
        <v>38</v>
      </c>
      <c r="R1152">
        <v>97</v>
      </c>
      <c r="S1152" s="3">
        <v>5610.04</v>
      </c>
    </row>
    <row r="1153" spans="1:19" x14ac:dyDescent="0.2">
      <c r="A1153" t="s">
        <v>1890</v>
      </c>
      <c r="B1153" s="2">
        <v>46190</v>
      </c>
      <c r="C1153" s="2">
        <v>46321</v>
      </c>
      <c r="D1153" t="s">
        <v>667</v>
      </c>
      <c r="E1153" t="s">
        <v>62</v>
      </c>
      <c r="F1153" t="s">
        <v>22</v>
      </c>
      <c r="G1153" t="s">
        <v>63</v>
      </c>
      <c r="H1153" t="s">
        <v>64</v>
      </c>
      <c r="I1153" t="s">
        <v>42</v>
      </c>
      <c r="J1153" t="s">
        <v>26</v>
      </c>
      <c r="K1153" t="s">
        <v>78</v>
      </c>
      <c r="L1153" t="s">
        <v>44</v>
      </c>
      <c r="M1153" s="3">
        <v>25300</v>
      </c>
      <c r="N1153" s="4">
        <v>0.14899999999999999</v>
      </c>
      <c r="O1153" s="4">
        <v>0.55000000000000004</v>
      </c>
      <c r="P1153" t="s">
        <v>79</v>
      </c>
      <c r="R1153">
        <v>131</v>
      </c>
      <c r="S1153" s="3">
        <v>1793.48</v>
      </c>
    </row>
    <row r="1154" spans="1:19" x14ac:dyDescent="0.2">
      <c r="A1154" t="s">
        <v>1891</v>
      </c>
      <c r="B1154" s="2">
        <v>45943</v>
      </c>
      <c r="C1154" s="2">
        <v>45990</v>
      </c>
      <c r="D1154" t="s">
        <v>1892</v>
      </c>
      <c r="E1154" t="s">
        <v>91</v>
      </c>
      <c r="F1154" t="s">
        <v>48</v>
      </c>
      <c r="G1154" t="s">
        <v>55</v>
      </c>
      <c r="H1154" t="s">
        <v>69</v>
      </c>
      <c r="I1154" t="s">
        <v>42</v>
      </c>
      <c r="J1154" t="s">
        <v>85</v>
      </c>
      <c r="K1154" t="s">
        <v>106</v>
      </c>
      <c r="L1154" t="s">
        <v>28</v>
      </c>
      <c r="M1154" s="3">
        <v>12200</v>
      </c>
      <c r="N1154" s="4">
        <v>3.6999999999999998E-2</v>
      </c>
      <c r="O1154" s="4">
        <v>0.2</v>
      </c>
      <c r="P1154" t="s">
        <v>38</v>
      </c>
      <c r="R1154">
        <v>47</v>
      </c>
      <c r="S1154" s="3">
        <v>979.16</v>
      </c>
    </row>
    <row r="1155" spans="1:19" x14ac:dyDescent="0.2">
      <c r="A1155" t="s">
        <v>1893</v>
      </c>
      <c r="B1155" s="2">
        <v>46064</v>
      </c>
      <c r="C1155" s="2">
        <v>46109</v>
      </c>
      <c r="D1155" t="s">
        <v>1668</v>
      </c>
      <c r="E1155" t="s">
        <v>54</v>
      </c>
      <c r="F1155" t="s">
        <v>22</v>
      </c>
      <c r="G1155" t="s">
        <v>34</v>
      </c>
      <c r="H1155" t="s">
        <v>95</v>
      </c>
      <c r="I1155" t="s">
        <v>25</v>
      </c>
      <c r="J1155" t="s">
        <v>26</v>
      </c>
      <c r="K1155" t="s">
        <v>78</v>
      </c>
      <c r="L1155" t="s">
        <v>44</v>
      </c>
      <c r="M1155" s="3">
        <v>54400</v>
      </c>
      <c r="N1155" s="4">
        <v>0.24299999999999999</v>
      </c>
      <c r="O1155" s="4">
        <v>0.5</v>
      </c>
      <c r="P1155" t="s">
        <v>79</v>
      </c>
      <c r="R1155">
        <v>45</v>
      </c>
      <c r="S1155" s="3">
        <v>3432.47</v>
      </c>
    </row>
    <row r="1156" spans="1:19" x14ac:dyDescent="0.2">
      <c r="A1156" t="s">
        <v>1894</v>
      </c>
      <c r="B1156" s="2">
        <v>46261</v>
      </c>
      <c r="C1156" s="2">
        <v>46277</v>
      </c>
      <c r="D1156" t="s">
        <v>831</v>
      </c>
      <c r="E1156" t="s">
        <v>68</v>
      </c>
      <c r="F1156" t="s">
        <v>22</v>
      </c>
      <c r="G1156" t="s">
        <v>55</v>
      </c>
      <c r="H1156" t="s">
        <v>64</v>
      </c>
      <c r="I1156" t="s">
        <v>99</v>
      </c>
      <c r="J1156" t="s">
        <v>43</v>
      </c>
      <c r="K1156" t="s">
        <v>50</v>
      </c>
      <c r="L1156" t="s">
        <v>28</v>
      </c>
      <c r="M1156" s="3">
        <v>34700</v>
      </c>
      <c r="N1156" s="4">
        <v>0.17599999999999999</v>
      </c>
      <c r="O1156" s="4">
        <v>1</v>
      </c>
      <c r="P1156" t="s">
        <v>29</v>
      </c>
      <c r="R1156">
        <v>16</v>
      </c>
      <c r="S1156" s="3">
        <v>2382.89</v>
      </c>
    </row>
    <row r="1157" spans="1:19" x14ac:dyDescent="0.2">
      <c r="A1157" t="s">
        <v>1895</v>
      </c>
      <c r="B1157" s="2">
        <v>46109</v>
      </c>
      <c r="C1157" s="2">
        <v>46183</v>
      </c>
      <c r="D1157" t="s">
        <v>1896</v>
      </c>
      <c r="E1157" t="s">
        <v>21</v>
      </c>
      <c r="F1157" t="s">
        <v>74</v>
      </c>
      <c r="G1157" t="s">
        <v>92</v>
      </c>
      <c r="H1157" t="s">
        <v>77</v>
      </c>
      <c r="I1157" t="s">
        <v>42</v>
      </c>
      <c r="J1157" t="s">
        <v>36</v>
      </c>
      <c r="K1157" t="s">
        <v>88</v>
      </c>
      <c r="L1157" t="s">
        <v>28</v>
      </c>
      <c r="M1157" s="3">
        <v>97200</v>
      </c>
      <c r="N1157" s="4">
        <v>0.17599999999999999</v>
      </c>
      <c r="O1157" s="4">
        <v>0.35</v>
      </c>
      <c r="P1157" t="s">
        <v>38</v>
      </c>
      <c r="R1157">
        <v>74</v>
      </c>
      <c r="S1157" s="3">
        <v>6676.88</v>
      </c>
    </row>
    <row r="1158" spans="1:19" x14ac:dyDescent="0.2">
      <c r="A1158" t="s">
        <v>1897</v>
      </c>
      <c r="B1158" s="2">
        <v>46242</v>
      </c>
      <c r="C1158" s="2">
        <v>46289</v>
      </c>
      <c r="D1158" t="s">
        <v>704</v>
      </c>
      <c r="E1158" t="s">
        <v>62</v>
      </c>
      <c r="F1158" t="s">
        <v>22</v>
      </c>
      <c r="G1158" t="s">
        <v>92</v>
      </c>
      <c r="H1158" t="s">
        <v>69</v>
      </c>
      <c r="I1158" t="s">
        <v>99</v>
      </c>
      <c r="J1158" t="s">
        <v>85</v>
      </c>
      <c r="K1158" t="s">
        <v>106</v>
      </c>
      <c r="L1158" t="s">
        <v>51</v>
      </c>
      <c r="M1158" s="3">
        <v>64800</v>
      </c>
      <c r="N1158" s="4">
        <v>0.25600000000000001</v>
      </c>
      <c r="O1158" s="4">
        <v>0.2</v>
      </c>
      <c r="P1158" t="s">
        <v>38</v>
      </c>
      <c r="R1158">
        <v>47</v>
      </c>
      <c r="S1158" s="3">
        <v>4015.12</v>
      </c>
    </row>
    <row r="1159" spans="1:19" x14ac:dyDescent="0.2">
      <c r="A1159" t="s">
        <v>1898</v>
      </c>
      <c r="B1159" s="2">
        <v>46079</v>
      </c>
      <c r="C1159" s="2">
        <v>46126</v>
      </c>
      <c r="D1159" t="s">
        <v>1058</v>
      </c>
      <c r="E1159" t="s">
        <v>91</v>
      </c>
      <c r="F1159" t="s">
        <v>48</v>
      </c>
      <c r="G1159" t="s">
        <v>23</v>
      </c>
      <c r="H1159" t="s">
        <v>95</v>
      </c>
      <c r="I1159" t="s">
        <v>99</v>
      </c>
      <c r="J1159" t="s">
        <v>57</v>
      </c>
      <c r="K1159" t="s">
        <v>58</v>
      </c>
      <c r="L1159" t="s">
        <v>28</v>
      </c>
      <c r="M1159" s="3">
        <v>12000</v>
      </c>
      <c r="N1159" s="4">
        <v>0</v>
      </c>
      <c r="O1159" s="4">
        <v>0.75</v>
      </c>
      <c r="P1159" t="s">
        <v>59</v>
      </c>
      <c r="R1159">
        <v>47</v>
      </c>
      <c r="S1159" s="3">
        <v>1000</v>
      </c>
    </row>
    <row r="1160" spans="1:19" x14ac:dyDescent="0.2">
      <c r="A1160" t="s">
        <v>1899</v>
      </c>
      <c r="B1160" s="2">
        <v>46254</v>
      </c>
      <c r="C1160" s="2">
        <v>46299</v>
      </c>
      <c r="D1160" t="s">
        <v>1900</v>
      </c>
      <c r="E1160" t="s">
        <v>54</v>
      </c>
      <c r="F1160" t="s">
        <v>74</v>
      </c>
      <c r="G1160" t="s">
        <v>34</v>
      </c>
      <c r="H1160" t="s">
        <v>120</v>
      </c>
      <c r="I1160" t="s">
        <v>99</v>
      </c>
      <c r="J1160" t="s">
        <v>85</v>
      </c>
      <c r="K1160" t="s">
        <v>106</v>
      </c>
      <c r="L1160" t="s">
        <v>28</v>
      </c>
      <c r="M1160" s="3">
        <v>263800</v>
      </c>
      <c r="N1160" s="4">
        <v>6.0000000000000001E-3</v>
      </c>
      <c r="O1160" s="4">
        <v>0.2</v>
      </c>
      <c r="P1160" t="s">
        <v>38</v>
      </c>
      <c r="R1160">
        <v>45</v>
      </c>
      <c r="S1160" s="3">
        <v>21859.34</v>
      </c>
    </row>
    <row r="1161" spans="1:19" x14ac:dyDescent="0.2">
      <c r="A1161" t="s">
        <v>1901</v>
      </c>
      <c r="B1161" s="2">
        <v>46070</v>
      </c>
      <c r="C1161" s="2">
        <v>46151</v>
      </c>
      <c r="D1161" t="s">
        <v>1902</v>
      </c>
      <c r="E1161" t="s">
        <v>111</v>
      </c>
      <c r="F1161" t="s">
        <v>48</v>
      </c>
      <c r="G1161" t="s">
        <v>55</v>
      </c>
      <c r="H1161" t="s">
        <v>64</v>
      </c>
      <c r="I1161" t="s">
        <v>65</v>
      </c>
      <c r="J1161" t="s">
        <v>26</v>
      </c>
      <c r="K1161" t="s">
        <v>58</v>
      </c>
      <c r="L1161" t="s">
        <v>51</v>
      </c>
      <c r="M1161" s="3">
        <v>9000</v>
      </c>
      <c r="N1161" s="4">
        <v>6.9000000000000006E-2</v>
      </c>
      <c r="O1161" s="4">
        <v>0.8</v>
      </c>
      <c r="P1161" t="s">
        <v>59</v>
      </c>
      <c r="R1161">
        <v>81</v>
      </c>
      <c r="S1161" s="3">
        <v>698.15</v>
      </c>
    </row>
    <row r="1162" spans="1:19" x14ac:dyDescent="0.2">
      <c r="A1162" t="s">
        <v>1903</v>
      </c>
      <c r="B1162" s="2">
        <v>46213</v>
      </c>
      <c r="C1162" s="2">
        <v>46264</v>
      </c>
      <c r="D1162" t="s">
        <v>490</v>
      </c>
      <c r="E1162" t="s">
        <v>111</v>
      </c>
      <c r="F1162" t="s">
        <v>74</v>
      </c>
      <c r="G1162" t="s">
        <v>55</v>
      </c>
      <c r="H1162" t="s">
        <v>137</v>
      </c>
      <c r="I1162" t="s">
        <v>25</v>
      </c>
      <c r="J1162" t="s">
        <v>57</v>
      </c>
      <c r="K1162" t="s">
        <v>58</v>
      </c>
      <c r="L1162" t="s">
        <v>28</v>
      </c>
      <c r="M1162" s="3">
        <v>187500</v>
      </c>
      <c r="N1162" s="4">
        <v>0.13800000000000001</v>
      </c>
      <c r="O1162" s="4">
        <v>0.7</v>
      </c>
      <c r="P1162" t="s">
        <v>59</v>
      </c>
      <c r="R1162">
        <v>51</v>
      </c>
      <c r="S1162" s="3">
        <v>13465.93</v>
      </c>
    </row>
    <row r="1163" spans="1:19" x14ac:dyDescent="0.2">
      <c r="A1163" t="s">
        <v>1904</v>
      </c>
      <c r="B1163" s="2">
        <v>45950</v>
      </c>
      <c r="C1163" s="2">
        <v>46006</v>
      </c>
      <c r="D1163" t="s">
        <v>388</v>
      </c>
      <c r="E1163" t="s">
        <v>21</v>
      </c>
      <c r="F1163" t="s">
        <v>74</v>
      </c>
      <c r="G1163" t="s">
        <v>55</v>
      </c>
      <c r="H1163" t="s">
        <v>83</v>
      </c>
      <c r="I1163" t="s">
        <v>65</v>
      </c>
      <c r="J1163" t="s">
        <v>36</v>
      </c>
      <c r="K1163" t="s">
        <v>37</v>
      </c>
      <c r="L1163" t="s">
        <v>44</v>
      </c>
      <c r="M1163" s="3">
        <v>193100</v>
      </c>
      <c r="N1163" s="4">
        <v>0.1</v>
      </c>
      <c r="O1163" s="4">
        <v>0.15</v>
      </c>
      <c r="P1163" t="s">
        <v>38</v>
      </c>
      <c r="R1163">
        <v>56</v>
      </c>
      <c r="S1163" s="3">
        <v>14482.01</v>
      </c>
    </row>
    <row r="1164" spans="1:19" x14ac:dyDescent="0.2">
      <c r="A1164" t="s">
        <v>1905</v>
      </c>
      <c r="B1164" s="2">
        <v>46006</v>
      </c>
      <c r="C1164" s="2">
        <v>46143</v>
      </c>
      <c r="D1164" t="s">
        <v>571</v>
      </c>
      <c r="E1164" t="s">
        <v>91</v>
      </c>
      <c r="F1164" t="s">
        <v>48</v>
      </c>
      <c r="G1164" t="s">
        <v>92</v>
      </c>
      <c r="H1164" t="s">
        <v>95</v>
      </c>
      <c r="I1164" t="s">
        <v>25</v>
      </c>
      <c r="J1164" t="s">
        <v>26</v>
      </c>
      <c r="K1164" t="s">
        <v>106</v>
      </c>
      <c r="L1164" t="s">
        <v>44</v>
      </c>
      <c r="M1164" s="3">
        <v>23600</v>
      </c>
      <c r="N1164" s="4">
        <v>0</v>
      </c>
      <c r="O1164" s="4">
        <v>0.25</v>
      </c>
      <c r="P1164" t="s">
        <v>38</v>
      </c>
      <c r="R1164">
        <v>137</v>
      </c>
      <c r="S1164" s="3">
        <v>1966.67</v>
      </c>
    </row>
    <row r="1165" spans="1:19" x14ac:dyDescent="0.2">
      <c r="A1165" t="s">
        <v>1906</v>
      </c>
      <c r="B1165" s="2">
        <v>46224</v>
      </c>
      <c r="C1165" s="2">
        <v>46277</v>
      </c>
      <c r="D1165" t="s">
        <v>1364</v>
      </c>
      <c r="E1165" t="s">
        <v>62</v>
      </c>
      <c r="F1165" t="s">
        <v>22</v>
      </c>
      <c r="G1165" t="s">
        <v>55</v>
      </c>
      <c r="H1165" t="s">
        <v>83</v>
      </c>
      <c r="I1165" t="s">
        <v>65</v>
      </c>
      <c r="J1165" t="s">
        <v>57</v>
      </c>
      <c r="K1165" t="s">
        <v>50</v>
      </c>
      <c r="L1165" t="s">
        <v>28</v>
      </c>
      <c r="M1165" s="3">
        <v>96300</v>
      </c>
      <c r="N1165" s="4">
        <v>0.10100000000000001</v>
      </c>
      <c r="O1165" s="4">
        <v>1</v>
      </c>
      <c r="P1165" t="s">
        <v>29</v>
      </c>
      <c r="R1165">
        <v>53</v>
      </c>
      <c r="S1165" s="3">
        <v>7212.25</v>
      </c>
    </row>
    <row r="1166" spans="1:19" x14ac:dyDescent="0.2">
      <c r="A1166" t="s">
        <v>1907</v>
      </c>
      <c r="B1166" s="2">
        <v>46023</v>
      </c>
      <c r="C1166" s="2">
        <v>46091</v>
      </c>
      <c r="D1166" t="s">
        <v>936</v>
      </c>
      <c r="E1166" t="s">
        <v>62</v>
      </c>
      <c r="F1166" t="s">
        <v>22</v>
      </c>
      <c r="G1166" t="s">
        <v>34</v>
      </c>
      <c r="H1166" t="s">
        <v>41</v>
      </c>
      <c r="I1166" t="s">
        <v>35</v>
      </c>
      <c r="J1166" t="s">
        <v>36</v>
      </c>
      <c r="K1166" t="s">
        <v>37</v>
      </c>
      <c r="L1166" t="s">
        <v>44</v>
      </c>
      <c r="M1166" s="3">
        <v>50900</v>
      </c>
      <c r="N1166" s="4">
        <v>0.11700000000000001</v>
      </c>
      <c r="O1166" s="4">
        <v>0.1</v>
      </c>
      <c r="P1166" t="s">
        <v>38</v>
      </c>
      <c r="R1166">
        <v>68</v>
      </c>
      <c r="S1166" s="3">
        <v>3744.33</v>
      </c>
    </row>
    <row r="1167" spans="1:19" x14ac:dyDescent="0.2">
      <c r="A1167" t="s">
        <v>1908</v>
      </c>
      <c r="B1167" s="2">
        <v>45953</v>
      </c>
      <c r="C1167" s="2">
        <v>46087</v>
      </c>
      <c r="D1167" t="s">
        <v>1909</v>
      </c>
      <c r="E1167" t="s">
        <v>54</v>
      </c>
      <c r="F1167" t="s">
        <v>48</v>
      </c>
      <c r="G1167" t="s">
        <v>63</v>
      </c>
      <c r="H1167" t="s">
        <v>69</v>
      </c>
      <c r="I1167" t="s">
        <v>84</v>
      </c>
      <c r="J1167" t="s">
        <v>43</v>
      </c>
      <c r="K1167" t="s">
        <v>88</v>
      </c>
      <c r="L1167" t="s">
        <v>28</v>
      </c>
      <c r="M1167" s="3">
        <v>22100</v>
      </c>
      <c r="N1167" s="4">
        <v>7.0999999999999994E-2</v>
      </c>
      <c r="O1167" s="4">
        <v>0.35</v>
      </c>
      <c r="P1167" t="s">
        <v>38</v>
      </c>
      <c r="R1167">
        <v>134</v>
      </c>
      <c r="S1167" s="3">
        <v>1711.36</v>
      </c>
    </row>
    <row r="1168" spans="1:19" x14ac:dyDescent="0.2">
      <c r="A1168" t="s">
        <v>1910</v>
      </c>
      <c r="B1168" s="2">
        <v>45999</v>
      </c>
      <c r="C1168" s="2">
        <v>46103</v>
      </c>
      <c r="D1168" t="s">
        <v>653</v>
      </c>
      <c r="E1168" t="s">
        <v>82</v>
      </c>
      <c r="F1168" t="s">
        <v>74</v>
      </c>
      <c r="G1168" t="s">
        <v>34</v>
      </c>
      <c r="H1168" t="s">
        <v>77</v>
      </c>
      <c r="I1168" t="s">
        <v>65</v>
      </c>
      <c r="J1168" t="s">
        <v>43</v>
      </c>
      <c r="K1168" t="s">
        <v>78</v>
      </c>
      <c r="L1168" t="s">
        <v>28</v>
      </c>
      <c r="M1168" s="3">
        <v>107000</v>
      </c>
      <c r="N1168" s="4">
        <v>0.154</v>
      </c>
      <c r="O1168" s="4">
        <v>0.55000000000000004</v>
      </c>
      <c r="P1168" t="s">
        <v>79</v>
      </c>
      <c r="R1168">
        <v>104</v>
      </c>
      <c r="S1168" s="3">
        <v>7544.36</v>
      </c>
    </row>
    <row r="1169" spans="1:19" x14ac:dyDescent="0.2">
      <c r="A1169" t="s">
        <v>1911</v>
      </c>
      <c r="B1169" s="2">
        <v>45963</v>
      </c>
      <c r="C1169" s="2">
        <v>46040</v>
      </c>
      <c r="D1169" t="s">
        <v>130</v>
      </c>
      <c r="E1169" t="s">
        <v>111</v>
      </c>
      <c r="F1169" t="s">
        <v>74</v>
      </c>
      <c r="G1169" t="s">
        <v>34</v>
      </c>
      <c r="H1169" t="s">
        <v>24</v>
      </c>
      <c r="I1169" t="s">
        <v>65</v>
      </c>
      <c r="J1169" t="s">
        <v>85</v>
      </c>
      <c r="K1169" t="s">
        <v>106</v>
      </c>
      <c r="L1169" t="s">
        <v>44</v>
      </c>
      <c r="M1169" s="3">
        <v>217800</v>
      </c>
      <c r="N1169" s="4">
        <v>0.23100000000000001</v>
      </c>
      <c r="O1169" s="4">
        <v>0.25</v>
      </c>
      <c r="P1169" t="s">
        <v>38</v>
      </c>
      <c r="R1169">
        <v>77</v>
      </c>
      <c r="S1169" s="3">
        <v>13955.79</v>
      </c>
    </row>
    <row r="1170" spans="1:19" x14ac:dyDescent="0.2">
      <c r="A1170" t="s">
        <v>1912</v>
      </c>
      <c r="B1170" s="2">
        <v>46034</v>
      </c>
      <c r="C1170" s="2">
        <v>46061</v>
      </c>
      <c r="D1170" t="s">
        <v>1692</v>
      </c>
      <c r="E1170" t="s">
        <v>82</v>
      </c>
      <c r="F1170" t="s">
        <v>48</v>
      </c>
      <c r="G1170" t="s">
        <v>92</v>
      </c>
      <c r="H1170" t="s">
        <v>49</v>
      </c>
      <c r="I1170" t="s">
        <v>25</v>
      </c>
      <c r="J1170" t="s">
        <v>26</v>
      </c>
      <c r="K1170" t="s">
        <v>106</v>
      </c>
      <c r="L1170" t="s">
        <v>44</v>
      </c>
      <c r="M1170" s="3">
        <v>13400</v>
      </c>
      <c r="N1170" s="4">
        <v>0.113</v>
      </c>
      <c r="O1170" s="4">
        <v>0.15</v>
      </c>
      <c r="P1170" t="s">
        <v>38</v>
      </c>
      <c r="R1170">
        <v>27</v>
      </c>
      <c r="S1170" s="3">
        <v>991.02</v>
      </c>
    </row>
    <row r="1171" spans="1:19" x14ac:dyDescent="0.2">
      <c r="A1171" t="s">
        <v>1913</v>
      </c>
      <c r="B1171" s="2">
        <v>45980</v>
      </c>
      <c r="C1171" s="2">
        <v>46069</v>
      </c>
      <c r="D1171" t="s">
        <v>1914</v>
      </c>
      <c r="E1171" t="s">
        <v>82</v>
      </c>
      <c r="F1171" t="s">
        <v>22</v>
      </c>
      <c r="G1171" t="s">
        <v>92</v>
      </c>
      <c r="H1171" t="s">
        <v>41</v>
      </c>
      <c r="I1171" t="s">
        <v>65</v>
      </c>
      <c r="J1171" t="s">
        <v>36</v>
      </c>
      <c r="K1171" t="s">
        <v>50</v>
      </c>
      <c r="L1171" t="s">
        <v>28</v>
      </c>
      <c r="M1171" s="3">
        <v>80300</v>
      </c>
      <c r="N1171" s="4">
        <v>0.18</v>
      </c>
      <c r="O1171" s="4">
        <v>0.95</v>
      </c>
      <c r="P1171" t="s">
        <v>29</v>
      </c>
      <c r="R1171">
        <v>89</v>
      </c>
      <c r="S1171" s="3">
        <v>5489.15</v>
      </c>
    </row>
    <row r="1172" spans="1:19" x14ac:dyDescent="0.2">
      <c r="A1172" t="s">
        <v>1915</v>
      </c>
      <c r="B1172" s="2">
        <v>46014</v>
      </c>
      <c r="C1172" s="2">
        <v>46154</v>
      </c>
      <c r="D1172" t="s">
        <v>198</v>
      </c>
      <c r="E1172" t="s">
        <v>54</v>
      </c>
      <c r="F1172" t="s">
        <v>22</v>
      </c>
      <c r="G1172" t="s">
        <v>23</v>
      </c>
      <c r="H1172" t="s">
        <v>56</v>
      </c>
      <c r="I1172" t="s">
        <v>84</v>
      </c>
      <c r="J1172" t="s">
        <v>26</v>
      </c>
      <c r="K1172" t="s">
        <v>37</v>
      </c>
      <c r="L1172" t="s">
        <v>51</v>
      </c>
      <c r="M1172" s="3">
        <v>68900</v>
      </c>
      <c r="N1172" s="4">
        <v>0.1</v>
      </c>
      <c r="O1172" s="4">
        <v>0.1</v>
      </c>
      <c r="P1172" t="s">
        <v>38</v>
      </c>
      <c r="R1172">
        <v>140</v>
      </c>
      <c r="S1172" s="3">
        <v>5165.37</v>
      </c>
    </row>
    <row r="1173" spans="1:19" x14ac:dyDescent="0.2">
      <c r="A1173" t="s">
        <v>1916</v>
      </c>
      <c r="B1173" s="2">
        <v>46138</v>
      </c>
      <c r="C1173" s="2">
        <v>46229</v>
      </c>
      <c r="D1173" t="s">
        <v>1917</v>
      </c>
      <c r="E1173" t="s">
        <v>82</v>
      </c>
      <c r="F1173" t="s">
        <v>74</v>
      </c>
      <c r="G1173" t="s">
        <v>92</v>
      </c>
      <c r="H1173" t="s">
        <v>77</v>
      </c>
      <c r="I1173" t="s">
        <v>65</v>
      </c>
      <c r="J1173" t="s">
        <v>26</v>
      </c>
      <c r="K1173" t="s">
        <v>78</v>
      </c>
      <c r="L1173" t="s">
        <v>44</v>
      </c>
      <c r="M1173" s="3">
        <v>192700</v>
      </c>
      <c r="N1173" s="4">
        <v>0.192</v>
      </c>
      <c r="O1173" s="4">
        <v>0.55000000000000004</v>
      </c>
      <c r="P1173" t="s">
        <v>79</v>
      </c>
      <c r="R1173">
        <v>91</v>
      </c>
      <c r="S1173" s="3">
        <v>12976.27</v>
      </c>
    </row>
    <row r="1174" spans="1:19" x14ac:dyDescent="0.2">
      <c r="A1174" t="s">
        <v>1918</v>
      </c>
      <c r="B1174" s="2">
        <v>45957</v>
      </c>
      <c r="C1174" s="2">
        <v>46105</v>
      </c>
      <c r="D1174" t="s">
        <v>1313</v>
      </c>
      <c r="E1174" t="s">
        <v>62</v>
      </c>
      <c r="F1174" t="s">
        <v>22</v>
      </c>
      <c r="G1174" t="s">
        <v>23</v>
      </c>
      <c r="H1174" t="s">
        <v>56</v>
      </c>
      <c r="I1174" t="s">
        <v>84</v>
      </c>
      <c r="J1174" t="s">
        <v>85</v>
      </c>
      <c r="K1174" t="s">
        <v>37</v>
      </c>
      <c r="L1174" t="s">
        <v>44</v>
      </c>
      <c r="M1174" s="3">
        <v>78200</v>
      </c>
      <c r="N1174" s="4">
        <v>8.2000000000000003E-2</v>
      </c>
      <c r="O1174" s="4">
        <v>0.15</v>
      </c>
      <c r="P1174" t="s">
        <v>38</v>
      </c>
      <c r="R1174">
        <v>148</v>
      </c>
      <c r="S1174" s="3">
        <v>5985.53</v>
      </c>
    </row>
    <row r="1175" spans="1:19" x14ac:dyDescent="0.2">
      <c r="A1175" t="s">
        <v>1919</v>
      </c>
      <c r="B1175" s="2">
        <v>45951</v>
      </c>
      <c r="C1175" s="2">
        <v>46075</v>
      </c>
      <c r="D1175" t="s">
        <v>1920</v>
      </c>
      <c r="E1175" t="s">
        <v>111</v>
      </c>
      <c r="F1175" t="s">
        <v>48</v>
      </c>
      <c r="G1175" t="s">
        <v>63</v>
      </c>
      <c r="H1175" t="s">
        <v>69</v>
      </c>
      <c r="I1175" t="s">
        <v>99</v>
      </c>
      <c r="J1175" t="s">
        <v>36</v>
      </c>
      <c r="K1175" t="s">
        <v>78</v>
      </c>
      <c r="L1175" t="s">
        <v>51</v>
      </c>
      <c r="M1175" s="3">
        <v>11200</v>
      </c>
      <c r="N1175" s="4">
        <v>0.126</v>
      </c>
      <c r="O1175" s="4">
        <v>0.55000000000000004</v>
      </c>
      <c r="P1175" t="s">
        <v>79</v>
      </c>
      <c r="R1175">
        <v>124</v>
      </c>
      <c r="S1175" s="3">
        <v>815.68</v>
      </c>
    </row>
    <row r="1176" spans="1:19" x14ac:dyDescent="0.2">
      <c r="A1176" t="s">
        <v>1921</v>
      </c>
      <c r="B1176" s="2">
        <v>45972</v>
      </c>
      <c r="C1176" s="2">
        <v>46019</v>
      </c>
      <c r="D1176" t="s">
        <v>1922</v>
      </c>
      <c r="E1176" t="s">
        <v>21</v>
      </c>
      <c r="F1176" t="s">
        <v>74</v>
      </c>
      <c r="G1176" t="s">
        <v>63</v>
      </c>
      <c r="H1176" t="s">
        <v>41</v>
      </c>
      <c r="I1176" t="s">
        <v>65</v>
      </c>
      <c r="J1176" t="s">
        <v>57</v>
      </c>
      <c r="K1176" t="s">
        <v>106</v>
      </c>
      <c r="L1176" t="s">
        <v>44</v>
      </c>
      <c r="M1176" s="3">
        <v>227500</v>
      </c>
      <c r="N1176" s="4">
        <v>8.5999999999999993E-2</v>
      </c>
      <c r="O1176" s="4">
        <v>0.2</v>
      </c>
      <c r="P1176" t="s">
        <v>38</v>
      </c>
      <c r="R1176">
        <v>47</v>
      </c>
      <c r="S1176" s="3">
        <v>17326.490000000002</v>
      </c>
    </row>
    <row r="1177" spans="1:19" x14ac:dyDescent="0.2">
      <c r="A1177" t="s">
        <v>1923</v>
      </c>
      <c r="B1177" s="2">
        <v>46017</v>
      </c>
      <c r="C1177" s="2">
        <v>46130</v>
      </c>
      <c r="D1177" t="s">
        <v>1924</v>
      </c>
      <c r="E1177" t="s">
        <v>33</v>
      </c>
      <c r="F1177" t="s">
        <v>22</v>
      </c>
      <c r="G1177" t="s">
        <v>34</v>
      </c>
      <c r="H1177" t="s">
        <v>98</v>
      </c>
      <c r="I1177" t="s">
        <v>25</v>
      </c>
      <c r="J1177" t="s">
        <v>85</v>
      </c>
      <c r="K1177" t="s">
        <v>27</v>
      </c>
      <c r="L1177" t="s">
        <v>28</v>
      </c>
      <c r="M1177" s="3">
        <v>82600</v>
      </c>
      <c r="N1177" s="4">
        <v>0.184</v>
      </c>
      <c r="O1177" s="4">
        <v>0</v>
      </c>
      <c r="P1177" t="s">
        <v>29</v>
      </c>
      <c r="Q1177" t="s">
        <v>209</v>
      </c>
      <c r="R1177">
        <v>113</v>
      </c>
      <c r="S1177" s="3">
        <v>5614.36</v>
      </c>
    </row>
    <row r="1178" spans="1:19" x14ac:dyDescent="0.2">
      <c r="A1178" t="s">
        <v>1925</v>
      </c>
      <c r="B1178" s="2">
        <v>45948</v>
      </c>
      <c r="C1178" s="2">
        <v>45986</v>
      </c>
      <c r="D1178" t="s">
        <v>1686</v>
      </c>
      <c r="E1178" t="s">
        <v>54</v>
      </c>
      <c r="F1178" t="s">
        <v>48</v>
      </c>
      <c r="G1178" t="s">
        <v>23</v>
      </c>
      <c r="H1178" t="s">
        <v>24</v>
      </c>
      <c r="I1178" t="s">
        <v>42</v>
      </c>
      <c r="J1178" t="s">
        <v>85</v>
      </c>
      <c r="K1178" t="s">
        <v>78</v>
      </c>
      <c r="L1178" t="s">
        <v>44</v>
      </c>
      <c r="M1178" s="3">
        <v>6700</v>
      </c>
      <c r="N1178" s="4">
        <v>7.8E-2</v>
      </c>
      <c r="O1178" s="4">
        <v>0.55000000000000004</v>
      </c>
      <c r="P1178" t="s">
        <v>79</v>
      </c>
      <c r="R1178">
        <v>38</v>
      </c>
      <c r="S1178" s="3">
        <v>514.70000000000005</v>
      </c>
    </row>
    <row r="1179" spans="1:19" x14ac:dyDescent="0.2">
      <c r="A1179" t="s">
        <v>1926</v>
      </c>
      <c r="B1179" s="2">
        <v>46212</v>
      </c>
      <c r="C1179" s="2">
        <v>46277</v>
      </c>
      <c r="D1179" t="s">
        <v>1927</v>
      </c>
      <c r="E1179" t="s">
        <v>54</v>
      </c>
      <c r="F1179" t="s">
        <v>48</v>
      </c>
      <c r="G1179" t="s">
        <v>92</v>
      </c>
      <c r="H1179" t="s">
        <v>83</v>
      </c>
      <c r="I1179" t="s">
        <v>35</v>
      </c>
      <c r="J1179" t="s">
        <v>85</v>
      </c>
      <c r="K1179" t="s">
        <v>88</v>
      </c>
      <c r="L1179" t="s">
        <v>51</v>
      </c>
      <c r="M1179" s="3">
        <v>23000</v>
      </c>
      <c r="N1179" s="4">
        <v>7.8E-2</v>
      </c>
      <c r="O1179" s="4">
        <v>0.3</v>
      </c>
      <c r="P1179" t="s">
        <v>38</v>
      </c>
      <c r="R1179">
        <v>65</v>
      </c>
      <c r="S1179" s="3">
        <v>1767.22</v>
      </c>
    </row>
    <row r="1180" spans="1:19" x14ac:dyDescent="0.2">
      <c r="A1180" t="s">
        <v>1928</v>
      </c>
      <c r="B1180" s="2">
        <v>45953</v>
      </c>
      <c r="C1180" s="2">
        <v>45994</v>
      </c>
      <c r="D1180" t="s">
        <v>818</v>
      </c>
      <c r="E1180" t="s">
        <v>91</v>
      </c>
      <c r="F1180" t="s">
        <v>22</v>
      </c>
      <c r="G1180" t="s">
        <v>23</v>
      </c>
      <c r="H1180" t="s">
        <v>98</v>
      </c>
      <c r="I1180" t="s">
        <v>25</v>
      </c>
      <c r="J1180" t="s">
        <v>43</v>
      </c>
      <c r="K1180" t="s">
        <v>27</v>
      </c>
      <c r="L1180" t="s">
        <v>28</v>
      </c>
      <c r="M1180" s="3">
        <v>71300</v>
      </c>
      <c r="N1180" s="4">
        <v>0.11899999999999999</v>
      </c>
      <c r="O1180" s="4">
        <v>0.05</v>
      </c>
      <c r="P1180" t="s">
        <v>29</v>
      </c>
      <c r="Q1180" t="s">
        <v>30</v>
      </c>
      <c r="R1180">
        <v>41</v>
      </c>
      <c r="S1180" s="3">
        <v>5233.87</v>
      </c>
    </row>
    <row r="1181" spans="1:19" x14ac:dyDescent="0.2">
      <c r="A1181" t="s">
        <v>1929</v>
      </c>
      <c r="B1181" s="2">
        <v>46175</v>
      </c>
      <c r="C1181" s="2">
        <v>46246</v>
      </c>
      <c r="D1181" t="s">
        <v>1930</v>
      </c>
      <c r="E1181" t="s">
        <v>111</v>
      </c>
      <c r="F1181" t="s">
        <v>48</v>
      </c>
      <c r="G1181" t="s">
        <v>55</v>
      </c>
      <c r="H1181" t="s">
        <v>77</v>
      </c>
      <c r="I1181" t="s">
        <v>35</v>
      </c>
      <c r="J1181" t="s">
        <v>26</v>
      </c>
      <c r="K1181" t="s">
        <v>50</v>
      </c>
      <c r="L1181" t="s">
        <v>28</v>
      </c>
      <c r="M1181" s="3">
        <v>20100</v>
      </c>
      <c r="N1181" s="4">
        <v>0.14499999999999999</v>
      </c>
      <c r="O1181" s="4">
        <v>1</v>
      </c>
      <c r="P1181" t="s">
        <v>29</v>
      </c>
      <c r="R1181">
        <v>71</v>
      </c>
      <c r="S1181" s="3">
        <v>1431.7</v>
      </c>
    </row>
    <row r="1182" spans="1:19" x14ac:dyDescent="0.2">
      <c r="A1182" t="s">
        <v>1931</v>
      </c>
      <c r="B1182" s="2">
        <v>45960</v>
      </c>
      <c r="C1182" s="2">
        <v>46104</v>
      </c>
      <c r="D1182" t="s">
        <v>890</v>
      </c>
      <c r="E1182" t="s">
        <v>33</v>
      </c>
      <c r="F1182" t="s">
        <v>74</v>
      </c>
      <c r="G1182" t="s">
        <v>55</v>
      </c>
      <c r="H1182" t="s">
        <v>77</v>
      </c>
      <c r="I1182" t="s">
        <v>42</v>
      </c>
      <c r="J1182" t="s">
        <v>57</v>
      </c>
      <c r="K1182" t="s">
        <v>37</v>
      </c>
      <c r="L1182" t="s">
        <v>44</v>
      </c>
      <c r="M1182" s="3">
        <v>323500</v>
      </c>
      <c r="N1182" s="4">
        <v>5.0000000000000001E-3</v>
      </c>
      <c r="O1182" s="4">
        <v>0.05</v>
      </c>
      <c r="P1182" t="s">
        <v>38</v>
      </c>
      <c r="R1182">
        <v>144</v>
      </c>
      <c r="S1182" s="3">
        <v>26818.3</v>
      </c>
    </row>
    <row r="1183" spans="1:19" x14ac:dyDescent="0.2">
      <c r="A1183" t="s">
        <v>1932</v>
      </c>
      <c r="B1183" s="2">
        <v>46098</v>
      </c>
      <c r="C1183" s="2">
        <v>46143</v>
      </c>
      <c r="D1183" t="s">
        <v>480</v>
      </c>
      <c r="E1183" t="s">
        <v>111</v>
      </c>
      <c r="F1183" t="s">
        <v>22</v>
      </c>
      <c r="G1183" t="s">
        <v>34</v>
      </c>
      <c r="H1183" t="s">
        <v>95</v>
      </c>
      <c r="I1183" t="s">
        <v>65</v>
      </c>
      <c r="J1183" t="s">
        <v>85</v>
      </c>
      <c r="K1183" t="s">
        <v>106</v>
      </c>
      <c r="L1183" t="s">
        <v>28</v>
      </c>
      <c r="M1183" s="3">
        <v>90000</v>
      </c>
      <c r="N1183" s="4">
        <v>1.7999999999999999E-2</v>
      </c>
      <c r="O1183" s="4">
        <v>0.2</v>
      </c>
      <c r="P1183" t="s">
        <v>38</v>
      </c>
      <c r="R1183">
        <v>45</v>
      </c>
      <c r="S1183" s="3">
        <v>7364.29</v>
      </c>
    </row>
    <row r="1184" spans="1:19" x14ac:dyDescent="0.2">
      <c r="A1184" t="s">
        <v>1933</v>
      </c>
      <c r="B1184" s="2">
        <v>46200</v>
      </c>
      <c r="C1184" s="2">
        <v>46326</v>
      </c>
      <c r="D1184" t="s">
        <v>1130</v>
      </c>
      <c r="E1184" t="s">
        <v>82</v>
      </c>
      <c r="F1184" t="s">
        <v>48</v>
      </c>
      <c r="G1184" t="s">
        <v>55</v>
      </c>
      <c r="H1184" t="s">
        <v>56</v>
      </c>
      <c r="I1184" t="s">
        <v>65</v>
      </c>
      <c r="J1184" t="s">
        <v>57</v>
      </c>
      <c r="K1184" t="s">
        <v>37</v>
      </c>
      <c r="L1184" t="s">
        <v>28</v>
      </c>
      <c r="M1184" s="3">
        <v>21500</v>
      </c>
      <c r="N1184" s="4">
        <v>0.11899999999999999</v>
      </c>
      <c r="O1184" s="4">
        <v>0.05</v>
      </c>
      <c r="P1184" t="s">
        <v>38</v>
      </c>
      <c r="R1184">
        <v>126</v>
      </c>
      <c r="S1184" s="3">
        <v>1578.14</v>
      </c>
    </row>
    <row r="1185" spans="1:19" x14ac:dyDescent="0.2">
      <c r="A1185" t="s">
        <v>1934</v>
      </c>
      <c r="B1185" s="2">
        <v>46167</v>
      </c>
      <c r="C1185" s="2">
        <v>46243</v>
      </c>
      <c r="D1185" t="s">
        <v>520</v>
      </c>
      <c r="E1185" t="s">
        <v>62</v>
      </c>
      <c r="F1185" t="s">
        <v>48</v>
      </c>
      <c r="G1185" t="s">
        <v>92</v>
      </c>
      <c r="H1185" t="s">
        <v>120</v>
      </c>
      <c r="I1185" t="s">
        <v>35</v>
      </c>
      <c r="J1185" t="s">
        <v>26</v>
      </c>
      <c r="K1185" t="s">
        <v>88</v>
      </c>
      <c r="L1185" t="s">
        <v>44</v>
      </c>
      <c r="M1185" s="3">
        <v>16500</v>
      </c>
      <c r="N1185" s="4">
        <v>4.0000000000000001E-3</v>
      </c>
      <c r="O1185" s="4">
        <v>0.35</v>
      </c>
      <c r="P1185" t="s">
        <v>38</v>
      </c>
      <c r="R1185">
        <v>76</v>
      </c>
      <c r="S1185" s="3">
        <v>1369.52</v>
      </c>
    </row>
    <row r="1186" spans="1:19" x14ac:dyDescent="0.2">
      <c r="A1186" t="s">
        <v>1935</v>
      </c>
      <c r="B1186" s="2">
        <v>46094</v>
      </c>
      <c r="C1186" s="2">
        <v>46135</v>
      </c>
      <c r="D1186" t="s">
        <v>790</v>
      </c>
      <c r="E1186" t="s">
        <v>68</v>
      </c>
      <c r="F1186" t="s">
        <v>48</v>
      </c>
      <c r="G1186" t="s">
        <v>92</v>
      </c>
      <c r="H1186" t="s">
        <v>24</v>
      </c>
      <c r="I1186" t="s">
        <v>99</v>
      </c>
      <c r="J1186" t="s">
        <v>85</v>
      </c>
      <c r="K1186" t="s">
        <v>78</v>
      </c>
      <c r="L1186" t="s">
        <v>28</v>
      </c>
      <c r="M1186" s="3">
        <v>13900</v>
      </c>
      <c r="N1186" s="4">
        <v>1.7000000000000001E-2</v>
      </c>
      <c r="O1186" s="4">
        <v>0.6</v>
      </c>
      <c r="P1186" t="s">
        <v>79</v>
      </c>
      <c r="R1186">
        <v>41</v>
      </c>
      <c r="S1186" s="3">
        <v>1138.19</v>
      </c>
    </row>
    <row r="1187" spans="1:19" x14ac:dyDescent="0.2">
      <c r="A1187" t="s">
        <v>1936</v>
      </c>
      <c r="B1187" s="2">
        <v>46058</v>
      </c>
      <c r="C1187" s="2">
        <v>46170</v>
      </c>
      <c r="D1187" t="s">
        <v>762</v>
      </c>
      <c r="E1187" t="s">
        <v>62</v>
      </c>
      <c r="F1187" t="s">
        <v>48</v>
      </c>
      <c r="G1187" t="s">
        <v>34</v>
      </c>
      <c r="H1187" t="s">
        <v>64</v>
      </c>
      <c r="I1187" t="s">
        <v>65</v>
      </c>
      <c r="J1187" t="s">
        <v>57</v>
      </c>
      <c r="K1187" t="s">
        <v>106</v>
      </c>
      <c r="L1187" t="s">
        <v>28</v>
      </c>
      <c r="M1187" s="3">
        <v>10900</v>
      </c>
      <c r="N1187" s="4">
        <v>0.105</v>
      </c>
      <c r="O1187" s="4">
        <v>0.2</v>
      </c>
      <c r="P1187" t="s">
        <v>38</v>
      </c>
      <c r="R1187">
        <v>112</v>
      </c>
      <c r="S1187" s="3">
        <v>813.06</v>
      </c>
    </row>
    <row r="1188" spans="1:19" x14ac:dyDescent="0.2">
      <c r="A1188" t="s">
        <v>1937</v>
      </c>
      <c r="B1188" s="2">
        <v>46231</v>
      </c>
      <c r="C1188" s="2">
        <v>46323</v>
      </c>
      <c r="D1188" t="s">
        <v>562</v>
      </c>
      <c r="E1188" t="s">
        <v>21</v>
      </c>
      <c r="F1188" t="s">
        <v>48</v>
      </c>
      <c r="G1188" t="s">
        <v>63</v>
      </c>
      <c r="H1188" t="s">
        <v>64</v>
      </c>
      <c r="I1188" t="s">
        <v>65</v>
      </c>
      <c r="J1188" t="s">
        <v>43</v>
      </c>
      <c r="K1188" t="s">
        <v>58</v>
      </c>
      <c r="L1188" t="s">
        <v>51</v>
      </c>
      <c r="M1188" s="3">
        <v>24500</v>
      </c>
      <c r="N1188" s="4">
        <v>0.14000000000000001</v>
      </c>
      <c r="O1188" s="4">
        <v>0.75</v>
      </c>
      <c r="P1188" t="s">
        <v>59</v>
      </c>
      <c r="R1188">
        <v>92</v>
      </c>
      <c r="S1188" s="3">
        <v>1755.64</v>
      </c>
    </row>
    <row r="1189" spans="1:19" x14ac:dyDescent="0.2">
      <c r="A1189" t="s">
        <v>1938</v>
      </c>
      <c r="B1189" s="2">
        <v>46185</v>
      </c>
      <c r="C1189" s="2">
        <v>46222</v>
      </c>
      <c r="D1189" t="s">
        <v>915</v>
      </c>
      <c r="E1189" t="s">
        <v>68</v>
      </c>
      <c r="F1189" t="s">
        <v>22</v>
      </c>
      <c r="G1189" t="s">
        <v>23</v>
      </c>
      <c r="H1189" t="s">
        <v>95</v>
      </c>
      <c r="I1189" t="s">
        <v>25</v>
      </c>
      <c r="J1189" t="s">
        <v>26</v>
      </c>
      <c r="K1189" t="s">
        <v>58</v>
      </c>
      <c r="L1189" t="s">
        <v>44</v>
      </c>
      <c r="M1189" s="3">
        <v>32400</v>
      </c>
      <c r="N1189" s="4">
        <v>0.11</v>
      </c>
      <c r="O1189" s="4">
        <v>0.8</v>
      </c>
      <c r="P1189" t="s">
        <v>59</v>
      </c>
      <c r="R1189">
        <v>37</v>
      </c>
      <c r="S1189" s="3">
        <v>2402.36</v>
      </c>
    </row>
    <row r="1190" spans="1:19" x14ac:dyDescent="0.2">
      <c r="A1190" t="s">
        <v>1939</v>
      </c>
      <c r="B1190" s="2">
        <v>45934</v>
      </c>
      <c r="C1190" s="2">
        <v>46043</v>
      </c>
      <c r="D1190" t="s">
        <v>228</v>
      </c>
      <c r="E1190" t="s">
        <v>111</v>
      </c>
      <c r="F1190" t="s">
        <v>48</v>
      </c>
      <c r="G1190" t="s">
        <v>63</v>
      </c>
      <c r="H1190" t="s">
        <v>24</v>
      </c>
      <c r="I1190" t="s">
        <v>84</v>
      </c>
      <c r="J1190" t="s">
        <v>43</v>
      </c>
      <c r="K1190" t="s">
        <v>27</v>
      </c>
      <c r="L1190" t="s">
        <v>28</v>
      </c>
      <c r="M1190" s="3">
        <v>13600</v>
      </c>
      <c r="N1190" s="4">
        <v>0.10299999999999999</v>
      </c>
      <c r="O1190" s="4">
        <v>0</v>
      </c>
      <c r="P1190" t="s">
        <v>29</v>
      </c>
      <c r="Q1190" t="s">
        <v>209</v>
      </c>
      <c r="R1190">
        <v>109</v>
      </c>
      <c r="S1190" s="3">
        <v>1016.61</v>
      </c>
    </row>
    <row r="1191" spans="1:19" x14ac:dyDescent="0.2">
      <c r="A1191" t="s">
        <v>1940</v>
      </c>
      <c r="B1191" s="2">
        <v>45988</v>
      </c>
      <c r="C1191" s="2">
        <v>46075</v>
      </c>
      <c r="D1191" t="s">
        <v>1656</v>
      </c>
      <c r="E1191" t="s">
        <v>68</v>
      </c>
      <c r="F1191" t="s">
        <v>48</v>
      </c>
      <c r="G1191" t="s">
        <v>34</v>
      </c>
      <c r="H1191" t="s">
        <v>83</v>
      </c>
      <c r="I1191" t="s">
        <v>84</v>
      </c>
      <c r="J1191" t="s">
        <v>85</v>
      </c>
      <c r="K1191" t="s">
        <v>106</v>
      </c>
      <c r="L1191" t="s">
        <v>28</v>
      </c>
      <c r="M1191" s="3">
        <v>28700</v>
      </c>
      <c r="N1191" s="4">
        <v>0.218</v>
      </c>
      <c r="O1191" s="4">
        <v>0.25</v>
      </c>
      <c r="P1191" t="s">
        <v>38</v>
      </c>
      <c r="R1191">
        <v>87</v>
      </c>
      <c r="S1191" s="3">
        <v>1870.33</v>
      </c>
    </row>
    <row r="1192" spans="1:19" x14ac:dyDescent="0.2">
      <c r="A1192" t="s">
        <v>1941</v>
      </c>
      <c r="B1192" s="2">
        <v>46028</v>
      </c>
      <c r="C1192" s="2">
        <v>46072</v>
      </c>
      <c r="D1192" t="s">
        <v>1601</v>
      </c>
      <c r="E1192" t="s">
        <v>68</v>
      </c>
      <c r="F1192" t="s">
        <v>48</v>
      </c>
      <c r="G1192" t="s">
        <v>63</v>
      </c>
      <c r="H1192" t="s">
        <v>49</v>
      </c>
      <c r="I1192" t="s">
        <v>99</v>
      </c>
      <c r="J1192" t="s">
        <v>85</v>
      </c>
      <c r="K1192" t="s">
        <v>50</v>
      </c>
      <c r="L1192" t="s">
        <v>28</v>
      </c>
      <c r="M1192" s="3">
        <v>8700</v>
      </c>
      <c r="N1192" s="4">
        <v>0.16400000000000001</v>
      </c>
      <c r="O1192" s="4">
        <v>0.95</v>
      </c>
      <c r="P1192" t="s">
        <v>29</v>
      </c>
      <c r="R1192">
        <v>44</v>
      </c>
      <c r="S1192" s="3">
        <v>606.25</v>
      </c>
    </row>
    <row r="1193" spans="1:19" x14ac:dyDescent="0.2">
      <c r="A1193" t="s">
        <v>1942</v>
      </c>
      <c r="B1193" s="2">
        <v>46252</v>
      </c>
      <c r="C1193" s="2">
        <v>46282</v>
      </c>
      <c r="D1193" t="s">
        <v>1633</v>
      </c>
      <c r="E1193" t="s">
        <v>91</v>
      </c>
      <c r="F1193" t="s">
        <v>48</v>
      </c>
      <c r="G1193" t="s">
        <v>55</v>
      </c>
      <c r="H1193" t="s">
        <v>137</v>
      </c>
      <c r="I1193" t="s">
        <v>42</v>
      </c>
      <c r="J1193" t="s">
        <v>43</v>
      </c>
      <c r="K1193" t="s">
        <v>106</v>
      </c>
      <c r="L1193" t="s">
        <v>28</v>
      </c>
      <c r="M1193" s="3">
        <v>7700</v>
      </c>
      <c r="N1193" s="4">
        <v>0.125</v>
      </c>
      <c r="O1193" s="4">
        <v>0.2</v>
      </c>
      <c r="P1193" t="s">
        <v>38</v>
      </c>
      <c r="R1193">
        <v>30</v>
      </c>
      <c r="S1193" s="3">
        <v>561.55999999999995</v>
      </c>
    </row>
    <row r="1194" spans="1:19" x14ac:dyDescent="0.2">
      <c r="A1194" t="s">
        <v>1943</v>
      </c>
      <c r="B1194" s="2">
        <v>46184</v>
      </c>
      <c r="C1194" s="2">
        <v>46316</v>
      </c>
      <c r="D1194" t="s">
        <v>465</v>
      </c>
      <c r="E1194" t="s">
        <v>91</v>
      </c>
      <c r="F1194" t="s">
        <v>48</v>
      </c>
      <c r="G1194" t="s">
        <v>23</v>
      </c>
      <c r="H1194" t="s">
        <v>120</v>
      </c>
      <c r="I1194" t="s">
        <v>99</v>
      </c>
      <c r="J1194" t="s">
        <v>36</v>
      </c>
      <c r="K1194" t="s">
        <v>88</v>
      </c>
      <c r="L1194" t="s">
        <v>44</v>
      </c>
      <c r="M1194" s="3">
        <v>22300</v>
      </c>
      <c r="N1194" s="4">
        <v>0.19500000000000001</v>
      </c>
      <c r="O1194" s="4">
        <v>0.4</v>
      </c>
      <c r="P1194" t="s">
        <v>38</v>
      </c>
      <c r="R1194">
        <v>132</v>
      </c>
      <c r="S1194" s="3">
        <v>1496.37</v>
      </c>
    </row>
    <row r="1195" spans="1:19" x14ac:dyDescent="0.2">
      <c r="A1195" t="s">
        <v>1944</v>
      </c>
      <c r="B1195" s="2">
        <v>46119</v>
      </c>
      <c r="C1195" s="2">
        <v>46251</v>
      </c>
      <c r="D1195" t="s">
        <v>1945</v>
      </c>
      <c r="E1195" t="s">
        <v>111</v>
      </c>
      <c r="F1195" t="s">
        <v>48</v>
      </c>
      <c r="G1195" t="s">
        <v>55</v>
      </c>
      <c r="H1195" t="s">
        <v>49</v>
      </c>
      <c r="I1195" t="s">
        <v>42</v>
      </c>
      <c r="J1195" t="s">
        <v>43</v>
      </c>
      <c r="K1195" t="s">
        <v>37</v>
      </c>
      <c r="L1195" t="s">
        <v>28</v>
      </c>
      <c r="M1195" s="3">
        <v>21300</v>
      </c>
      <c r="N1195" s="4">
        <v>0.13300000000000001</v>
      </c>
      <c r="O1195" s="4">
        <v>0.05</v>
      </c>
      <c r="P1195" t="s">
        <v>38</v>
      </c>
      <c r="R1195">
        <v>132</v>
      </c>
      <c r="S1195" s="3">
        <v>1539.46</v>
      </c>
    </row>
    <row r="1196" spans="1:19" x14ac:dyDescent="0.2">
      <c r="A1196" t="s">
        <v>1946</v>
      </c>
      <c r="B1196" s="2">
        <v>46219</v>
      </c>
      <c r="C1196" s="2">
        <v>46302</v>
      </c>
      <c r="D1196" t="s">
        <v>681</v>
      </c>
      <c r="E1196" t="s">
        <v>54</v>
      </c>
      <c r="F1196" t="s">
        <v>48</v>
      </c>
      <c r="G1196" t="s">
        <v>63</v>
      </c>
      <c r="H1196" t="s">
        <v>120</v>
      </c>
      <c r="I1196" t="s">
        <v>25</v>
      </c>
      <c r="J1196" t="s">
        <v>43</v>
      </c>
      <c r="K1196" t="s">
        <v>78</v>
      </c>
      <c r="L1196" t="s">
        <v>51</v>
      </c>
      <c r="M1196" s="3">
        <v>11200</v>
      </c>
      <c r="N1196" s="4">
        <v>0</v>
      </c>
      <c r="O1196" s="4">
        <v>0.55000000000000004</v>
      </c>
      <c r="P1196" t="s">
        <v>79</v>
      </c>
      <c r="R1196">
        <v>83</v>
      </c>
      <c r="S1196" s="3">
        <v>933.33</v>
      </c>
    </row>
    <row r="1197" spans="1:19" x14ac:dyDescent="0.2">
      <c r="A1197" t="s">
        <v>1947</v>
      </c>
      <c r="B1197" s="2">
        <v>46076</v>
      </c>
      <c r="C1197" s="2">
        <v>46138</v>
      </c>
      <c r="D1197" t="s">
        <v>612</v>
      </c>
      <c r="E1197" t="s">
        <v>82</v>
      </c>
      <c r="F1197" t="s">
        <v>74</v>
      </c>
      <c r="G1197" t="s">
        <v>55</v>
      </c>
      <c r="H1197" t="s">
        <v>137</v>
      </c>
      <c r="I1197" t="s">
        <v>35</v>
      </c>
      <c r="J1197" t="s">
        <v>26</v>
      </c>
      <c r="K1197" t="s">
        <v>106</v>
      </c>
      <c r="L1197" t="s">
        <v>51</v>
      </c>
      <c r="M1197" s="3">
        <v>281700</v>
      </c>
      <c r="N1197" s="4">
        <v>0.151</v>
      </c>
      <c r="O1197" s="4">
        <v>0.25</v>
      </c>
      <c r="P1197" t="s">
        <v>38</v>
      </c>
      <c r="R1197">
        <v>62</v>
      </c>
      <c r="S1197" s="3">
        <v>19926.87</v>
      </c>
    </row>
    <row r="1198" spans="1:19" x14ac:dyDescent="0.2">
      <c r="A1198" t="s">
        <v>1948</v>
      </c>
      <c r="B1198" s="2">
        <v>46060</v>
      </c>
      <c r="C1198" s="2">
        <v>46134</v>
      </c>
      <c r="D1198" t="s">
        <v>1949</v>
      </c>
      <c r="E1198" t="s">
        <v>21</v>
      </c>
      <c r="F1198" t="s">
        <v>74</v>
      </c>
      <c r="G1198" t="s">
        <v>55</v>
      </c>
      <c r="H1198" t="s">
        <v>120</v>
      </c>
      <c r="I1198" t="s">
        <v>84</v>
      </c>
      <c r="J1198" t="s">
        <v>57</v>
      </c>
      <c r="K1198" t="s">
        <v>88</v>
      </c>
      <c r="L1198" t="s">
        <v>44</v>
      </c>
      <c r="M1198" s="3">
        <v>326000</v>
      </c>
      <c r="N1198" s="4">
        <v>0.155</v>
      </c>
      <c r="O1198" s="4">
        <v>0.35</v>
      </c>
      <c r="P1198" t="s">
        <v>38</v>
      </c>
      <c r="R1198">
        <v>74</v>
      </c>
      <c r="S1198" s="3">
        <v>22966.23</v>
      </c>
    </row>
    <row r="1199" spans="1:19" x14ac:dyDescent="0.2">
      <c r="A1199" t="s">
        <v>1950</v>
      </c>
      <c r="B1199" s="2">
        <v>45943</v>
      </c>
      <c r="C1199" s="2">
        <v>46070</v>
      </c>
      <c r="D1199" t="s">
        <v>1951</v>
      </c>
      <c r="E1199" t="s">
        <v>82</v>
      </c>
      <c r="F1199" t="s">
        <v>74</v>
      </c>
      <c r="G1199" t="s">
        <v>23</v>
      </c>
      <c r="H1199" t="s">
        <v>56</v>
      </c>
      <c r="I1199" t="s">
        <v>99</v>
      </c>
      <c r="J1199" t="s">
        <v>36</v>
      </c>
      <c r="K1199" t="s">
        <v>78</v>
      </c>
      <c r="L1199" t="s">
        <v>28</v>
      </c>
      <c r="M1199" s="3">
        <v>112100</v>
      </c>
      <c r="N1199" s="4">
        <v>0.02</v>
      </c>
      <c r="O1199" s="4">
        <v>0.55000000000000004</v>
      </c>
      <c r="P1199" t="s">
        <v>79</v>
      </c>
      <c r="R1199">
        <v>127</v>
      </c>
      <c r="S1199" s="3">
        <v>9153.01</v>
      </c>
    </row>
    <row r="1200" spans="1:19" x14ac:dyDescent="0.2">
      <c r="A1200" t="s">
        <v>1952</v>
      </c>
      <c r="B1200" s="2">
        <v>45959</v>
      </c>
      <c r="C1200" s="2">
        <v>46000</v>
      </c>
      <c r="D1200" t="s">
        <v>247</v>
      </c>
      <c r="E1200" t="s">
        <v>68</v>
      </c>
      <c r="F1200" t="s">
        <v>48</v>
      </c>
      <c r="G1200" t="s">
        <v>55</v>
      </c>
      <c r="H1200" t="s">
        <v>98</v>
      </c>
      <c r="I1200" t="s">
        <v>25</v>
      </c>
      <c r="J1200" t="s">
        <v>36</v>
      </c>
      <c r="K1200" t="s">
        <v>37</v>
      </c>
      <c r="L1200" t="s">
        <v>44</v>
      </c>
      <c r="M1200" s="3">
        <v>24400</v>
      </c>
      <c r="N1200" s="4">
        <v>0.16300000000000001</v>
      </c>
      <c r="O1200" s="4">
        <v>0.15</v>
      </c>
      <c r="P1200" t="s">
        <v>38</v>
      </c>
      <c r="R1200">
        <v>41</v>
      </c>
      <c r="S1200" s="3">
        <v>1701.02</v>
      </c>
    </row>
    <row r="1201" spans="1:19" x14ac:dyDescent="0.2">
      <c r="A1201" t="s">
        <v>1953</v>
      </c>
      <c r="B1201" s="2">
        <v>46235</v>
      </c>
      <c r="C1201" s="2">
        <v>46275</v>
      </c>
      <c r="D1201" t="s">
        <v>911</v>
      </c>
      <c r="E1201" t="s">
        <v>62</v>
      </c>
      <c r="F1201" t="s">
        <v>22</v>
      </c>
      <c r="G1201" t="s">
        <v>92</v>
      </c>
      <c r="H1201" t="s">
        <v>77</v>
      </c>
      <c r="I1201" t="s">
        <v>42</v>
      </c>
      <c r="J1201" t="s">
        <v>36</v>
      </c>
      <c r="K1201" t="s">
        <v>106</v>
      </c>
      <c r="L1201" t="s">
        <v>44</v>
      </c>
      <c r="M1201" s="3">
        <v>87200</v>
      </c>
      <c r="N1201" s="4">
        <v>0.04</v>
      </c>
      <c r="O1201" s="4">
        <v>0.15</v>
      </c>
      <c r="P1201" t="s">
        <v>38</v>
      </c>
      <c r="R1201">
        <v>40</v>
      </c>
      <c r="S1201" s="3">
        <v>6979.47</v>
      </c>
    </row>
  </sheetData>
  <conditionalFormatting sqref="N2:N1201">
    <cfRule type="cellIs" dxfId="24" priority="1" operator="greaterThan">
      <formula>0.2</formula>
    </cfRule>
  </conditionalFormatting>
  <dataValidations count="1">
    <dataValidation type="list" allowBlank="1" sqref="K2:K1201" xr:uid="{00000000-0002-0000-0000-000000000000}">
      <formula1>"Prospecting,Qualification,Demo,Proposal,Negotiation,Closed Won,Closed Lost"</formula1>
    </dataValidation>
  </dataValidations>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45"/>
  <sheetViews>
    <sheetView workbookViewId="0">
      <pane ySplit="1" topLeftCell="A6" activePane="bottomLeft" state="frozen"/>
      <selection pane="bottomLeft" activeCell="C26" sqref="C26"/>
    </sheetView>
  </sheetViews>
  <sheetFormatPr baseColWidth="10" defaultColWidth="8.83203125" defaultRowHeight="15" x14ac:dyDescent="0.2"/>
  <cols>
    <col min="1" max="1" width="14" customWidth="1"/>
    <col min="2" max="3" width="18" customWidth="1"/>
  </cols>
  <sheetData>
    <row r="1" spans="1:3" x14ac:dyDescent="0.2">
      <c r="A1" s="1" t="s">
        <v>1954</v>
      </c>
      <c r="B1" s="1" t="s">
        <v>7</v>
      </c>
      <c r="C1" s="1" t="s">
        <v>1955</v>
      </c>
    </row>
    <row r="2" spans="1:3" x14ac:dyDescent="0.2">
      <c r="A2" s="5">
        <v>45931</v>
      </c>
      <c r="B2" t="s">
        <v>98</v>
      </c>
      <c r="C2" s="6">
        <v>873000</v>
      </c>
    </row>
    <row r="3" spans="1:3" x14ac:dyDescent="0.2">
      <c r="A3" s="5">
        <v>45931</v>
      </c>
      <c r="B3" t="s">
        <v>69</v>
      </c>
      <c r="C3" s="6">
        <v>780000</v>
      </c>
    </row>
    <row r="4" spans="1:3" x14ac:dyDescent="0.2">
      <c r="A4" s="5">
        <v>45931</v>
      </c>
      <c r="B4" t="s">
        <v>120</v>
      </c>
      <c r="C4" s="6">
        <v>945000</v>
      </c>
    </row>
    <row r="5" spans="1:3" x14ac:dyDescent="0.2">
      <c r="A5" s="5">
        <v>45931</v>
      </c>
      <c r="B5" t="s">
        <v>95</v>
      </c>
      <c r="C5" s="6">
        <v>739000</v>
      </c>
    </row>
    <row r="6" spans="1:3" x14ac:dyDescent="0.2">
      <c r="A6" s="5">
        <v>45931</v>
      </c>
      <c r="B6" t="s">
        <v>137</v>
      </c>
      <c r="C6" s="6">
        <v>1078000</v>
      </c>
    </row>
    <row r="7" spans="1:3" x14ac:dyDescent="0.2">
      <c r="A7" s="5">
        <v>45931</v>
      </c>
      <c r="B7" t="s">
        <v>41</v>
      </c>
      <c r="C7" s="6">
        <v>698000</v>
      </c>
    </row>
    <row r="8" spans="1:3" x14ac:dyDescent="0.2">
      <c r="A8" s="5">
        <v>45931</v>
      </c>
      <c r="B8" t="s">
        <v>24</v>
      </c>
      <c r="C8" s="6">
        <v>842000</v>
      </c>
    </row>
    <row r="9" spans="1:3" x14ac:dyDescent="0.2">
      <c r="A9" s="5">
        <v>45931</v>
      </c>
      <c r="B9" t="s">
        <v>49</v>
      </c>
      <c r="C9" s="6">
        <v>770000</v>
      </c>
    </row>
    <row r="10" spans="1:3" x14ac:dyDescent="0.2">
      <c r="A10" s="5">
        <v>45931</v>
      </c>
      <c r="B10" t="s">
        <v>56</v>
      </c>
      <c r="C10" s="6">
        <v>903000</v>
      </c>
    </row>
    <row r="11" spans="1:3" x14ac:dyDescent="0.2">
      <c r="A11" s="5">
        <v>45931</v>
      </c>
      <c r="B11" t="s">
        <v>83</v>
      </c>
      <c r="C11" s="6">
        <v>719000</v>
      </c>
    </row>
    <row r="12" spans="1:3" x14ac:dyDescent="0.2">
      <c r="A12" s="5">
        <v>45931</v>
      </c>
      <c r="B12" t="s">
        <v>64</v>
      </c>
      <c r="C12" s="6">
        <v>1006000</v>
      </c>
    </row>
    <row r="13" spans="1:3" x14ac:dyDescent="0.2">
      <c r="A13" s="5">
        <v>45931</v>
      </c>
      <c r="B13" t="s">
        <v>77</v>
      </c>
      <c r="C13" s="6">
        <v>760000</v>
      </c>
    </row>
    <row r="14" spans="1:3" x14ac:dyDescent="0.2">
      <c r="A14" s="5">
        <v>45962</v>
      </c>
      <c r="B14" t="s">
        <v>98</v>
      </c>
      <c r="C14" s="6">
        <v>884000</v>
      </c>
    </row>
    <row r="15" spans="1:3" x14ac:dyDescent="0.2">
      <c r="A15" s="5">
        <v>45962</v>
      </c>
      <c r="B15" t="s">
        <v>69</v>
      </c>
      <c r="C15" s="6">
        <v>790000</v>
      </c>
    </row>
    <row r="16" spans="1:3" x14ac:dyDescent="0.2">
      <c r="A16" s="5">
        <v>45962</v>
      </c>
      <c r="B16" t="s">
        <v>120</v>
      </c>
      <c r="C16" s="6">
        <v>957000</v>
      </c>
    </row>
    <row r="17" spans="1:3" x14ac:dyDescent="0.2">
      <c r="A17" s="5">
        <v>45962</v>
      </c>
      <c r="B17" t="s">
        <v>95</v>
      </c>
      <c r="C17" s="6">
        <v>749000</v>
      </c>
    </row>
    <row r="18" spans="1:3" x14ac:dyDescent="0.2">
      <c r="A18" s="5">
        <v>45962</v>
      </c>
      <c r="B18" t="s">
        <v>137</v>
      </c>
      <c r="C18" s="6">
        <v>1092000</v>
      </c>
    </row>
    <row r="19" spans="1:3" x14ac:dyDescent="0.2">
      <c r="A19" s="5">
        <v>45962</v>
      </c>
      <c r="B19" t="s">
        <v>41</v>
      </c>
      <c r="C19" s="6">
        <v>707000</v>
      </c>
    </row>
    <row r="20" spans="1:3" x14ac:dyDescent="0.2">
      <c r="A20" s="5">
        <v>45962</v>
      </c>
      <c r="B20" t="s">
        <v>24</v>
      </c>
      <c r="C20" s="6">
        <v>853000</v>
      </c>
    </row>
    <row r="21" spans="1:3" x14ac:dyDescent="0.2">
      <c r="A21" s="5">
        <v>45962</v>
      </c>
      <c r="B21" t="s">
        <v>49</v>
      </c>
      <c r="C21" s="6">
        <v>780000</v>
      </c>
    </row>
    <row r="22" spans="1:3" x14ac:dyDescent="0.2">
      <c r="A22" s="5">
        <v>45962</v>
      </c>
      <c r="B22" t="s">
        <v>56</v>
      </c>
      <c r="C22" s="6">
        <v>915000</v>
      </c>
    </row>
    <row r="23" spans="1:3" x14ac:dyDescent="0.2">
      <c r="A23" s="5">
        <v>45962</v>
      </c>
      <c r="B23" t="s">
        <v>83</v>
      </c>
      <c r="C23" s="6">
        <v>728000</v>
      </c>
    </row>
    <row r="24" spans="1:3" x14ac:dyDescent="0.2">
      <c r="A24" s="5">
        <v>45962</v>
      </c>
      <c r="B24" t="s">
        <v>64</v>
      </c>
      <c r="C24" s="6">
        <v>1019000</v>
      </c>
    </row>
    <row r="25" spans="1:3" x14ac:dyDescent="0.2">
      <c r="A25" s="5">
        <v>45962</v>
      </c>
      <c r="B25" t="s">
        <v>77</v>
      </c>
      <c r="C25" s="6">
        <v>770000</v>
      </c>
    </row>
    <row r="26" spans="1:3" x14ac:dyDescent="0.2">
      <c r="A26" s="5">
        <v>45992</v>
      </c>
      <c r="B26" t="s">
        <v>98</v>
      </c>
      <c r="C26" s="6">
        <v>850000</v>
      </c>
    </row>
    <row r="27" spans="1:3" x14ac:dyDescent="0.2">
      <c r="A27" s="5">
        <v>45992</v>
      </c>
      <c r="B27" t="s">
        <v>69</v>
      </c>
      <c r="C27" s="6">
        <v>760000</v>
      </c>
    </row>
    <row r="28" spans="1:3" x14ac:dyDescent="0.2">
      <c r="A28" s="5">
        <v>45992</v>
      </c>
      <c r="B28" t="s">
        <v>120</v>
      </c>
      <c r="C28" s="6">
        <v>920000</v>
      </c>
    </row>
    <row r="29" spans="1:3" x14ac:dyDescent="0.2">
      <c r="A29" s="5">
        <v>45992</v>
      </c>
      <c r="B29" t="s">
        <v>95</v>
      </c>
      <c r="C29" s="6">
        <v>720000</v>
      </c>
    </row>
    <row r="30" spans="1:3" x14ac:dyDescent="0.2">
      <c r="A30" s="5">
        <v>45992</v>
      </c>
      <c r="B30" t="s">
        <v>137</v>
      </c>
      <c r="C30" s="6">
        <v>1050000</v>
      </c>
    </row>
    <row r="31" spans="1:3" x14ac:dyDescent="0.2">
      <c r="A31" s="5">
        <v>45992</v>
      </c>
      <c r="B31" t="s">
        <v>41</v>
      </c>
      <c r="C31" s="6">
        <v>680000</v>
      </c>
    </row>
    <row r="32" spans="1:3" x14ac:dyDescent="0.2">
      <c r="A32" s="5">
        <v>45992</v>
      </c>
      <c r="B32" t="s">
        <v>24</v>
      </c>
      <c r="C32" s="6">
        <v>820000</v>
      </c>
    </row>
    <row r="33" spans="1:3" x14ac:dyDescent="0.2">
      <c r="A33" s="5">
        <v>45992</v>
      </c>
      <c r="B33" t="s">
        <v>49</v>
      </c>
      <c r="C33" s="6">
        <v>750000</v>
      </c>
    </row>
    <row r="34" spans="1:3" x14ac:dyDescent="0.2">
      <c r="A34" s="5">
        <v>45992</v>
      </c>
      <c r="B34" t="s">
        <v>56</v>
      </c>
      <c r="C34" s="6">
        <v>880000</v>
      </c>
    </row>
    <row r="35" spans="1:3" x14ac:dyDescent="0.2">
      <c r="A35" s="5">
        <v>45992</v>
      </c>
      <c r="B35" t="s">
        <v>83</v>
      </c>
      <c r="C35" s="6">
        <v>700000</v>
      </c>
    </row>
    <row r="36" spans="1:3" x14ac:dyDescent="0.2">
      <c r="A36" s="5">
        <v>45992</v>
      </c>
      <c r="B36" t="s">
        <v>64</v>
      </c>
      <c r="C36" s="6">
        <v>980000</v>
      </c>
    </row>
    <row r="37" spans="1:3" x14ac:dyDescent="0.2">
      <c r="A37" s="5">
        <v>45992</v>
      </c>
      <c r="B37" t="s">
        <v>77</v>
      </c>
      <c r="C37" s="6">
        <v>740000</v>
      </c>
    </row>
    <row r="38" spans="1:3" x14ac:dyDescent="0.2">
      <c r="A38" s="5">
        <v>46023</v>
      </c>
      <c r="B38" t="s">
        <v>98</v>
      </c>
      <c r="C38" s="6">
        <v>861000</v>
      </c>
    </row>
    <row r="39" spans="1:3" x14ac:dyDescent="0.2">
      <c r="A39" s="5">
        <v>46023</v>
      </c>
      <c r="B39" t="s">
        <v>69</v>
      </c>
      <c r="C39" s="6">
        <v>770000</v>
      </c>
    </row>
    <row r="40" spans="1:3" x14ac:dyDescent="0.2">
      <c r="A40" s="5">
        <v>46023</v>
      </c>
      <c r="B40" t="s">
        <v>120</v>
      </c>
      <c r="C40" s="6">
        <v>932000</v>
      </c>
    </row>
    <row r="41" spans="1:3" x14ac:dyDescent="0.2">
      <c r="A41" s="5">
        <v>46023</v>
      </c>
      <c r="B41" t="s">
        <v>95</v>
      </c>
      <c r="C41" s="6">
        <v>730000</v>
      </c>
    </row>
    <row r="42" spans="1:3" x14ac:dyDescent="0.2">
      <c r="A42" s="5">
        <v>46023</v>
      </c>
      <c r="B42" t="s">
        <v>137</v>
      </c>
      <c r="C42" s="6">
        <v>1064000</v>
      </c>
    </row>
    <row r="43" spans="1:3" x14ac:dyDescent="0.2">
      <c r="A43" s="5">
        <v>46023</v>
      </c>
      <c r="B43" t="s">
        <v>41</v>
      </c>
      <c r="C43" s="6">
        <v>689000</v>
      </c>
    </row>
    <row r="44" spans="1:3" x14ac:dyDescent="0.2">
      <c r="A44" s="5">
        <v>46023</v>
      </c>
      <c r="B44" t="s">
        <v>24</v>
      </c>
      <c r="C44" s="6">
        <v>831000</v>
      </c>
    </row>
    <row r="45" spans="1:3" x14ac:dyDescent="0.2">
      <c r="A45" s="5">
        <v>46023</v>
      </c>
      <c r="B45" t="s">
        <v>49</v>
      </c>
      <c r="C45" s="6">
        <v>760000</v>
      </c>
    </row>
    <row r="46" spans="1:3" x14ac:dyDescent="0.2">
      <c r="A46" s="5">
        <v>46023</v>
      </c>
      <c r="B46" t="s">
        <v>56</v>
      </c>
      <c r="C46" s="6">
        <v>892000</v>
      </c>
    </row>
    <row r="47" spans="1:3" x14ac:dyDescent="0.2">
      <c r="A47" s="5">
        <v>46023</v>
      </c>
      <c r="B47" t="s">
        <v>83</v>
      </c>
      <c r="C47" s="6">
        <v>709000</v>
      </c>
    </row>
    <row r="48" spans="1:3" x14ac:dyDescent="0.2">
      <c r="A48" s="5">
        <v>46023</v>
      </c>
      <c r="B48" t="s">
        <v>64</v>
      </c>
      <c r="C48" s="6">
        <v>993000</v>
      </c>
    </row>
    <row r="49" spans="1:3" x14ac:dyDescent="0.2">
      <c r="A49" s="5">
        <v>46023</v>
      </c>
      <c r="B49" t="s">
        <v>77</v>
      </c>
      <c r="C49" s="6">
        <v>750000</v>
      </c>
    </row>
    <row r="50" spans="1:3" x14ac:dyDescent="0.2">
      <c r="A50" s="5">
        <v>46054</v>
      </c>
      <c r="B50" t="s">
        <v>98</v>
      </c>
      <c r="C50" s="6">
        <v>873000</v>
      </c>
    </row>
    <row r="51" spans="1:3" x14ac:dyDescent="0.2">
      <c r="A51" s="5">
        <v>46054</v>
      </c>
      <c r="B51" t="s">
        <v>69</v>
      </c>
      <c r="C51" s="6">
        <v>780000</v>
      </c>
    </row>
    <row r="52" spans="1:3" x14ac:dyDescent="0.2">
      <c r="A52" s="5">
        <v>46054</v>
      </c>
      <c r="B52" t="s">
        <v>120</v>
      </c>
      <c r="C52" s="6">
        <v>945000</v>
      </c>
    </row>
    <row r="53" spans="1:3" x14ac:dyDescent="0.2">
      <c r="A53" s="5">
        <v>46054</v>
      </c>
      <c r="B53" t="s">
        <v>95</v>
      </c>
      <c r="C53" s="6">
        <v>739000</v>
      </c>
    </row>
    <row r="54" spans="1:3" x14ac:dyDescent="0.2">
      <c r="A54" s="5">
        <v>46054</v>
      </c>
      <c r="B54" t="s">
        <v>137</v>
      </c>
      <c r="C54" s="6">
        <v>1078000</v>
      </c>
    </row>
    <row r="55" spans="1:3" x14ac:dyDescent="0.2">
      <c r="A55" s="5">
        <v>46054</v>
      </c>
      <c r="B55" t="s">
        <v>41</v>
      </c>
      <c r="C55" s="6">
        <v>698000</v>
      </c>
    </row>
    <row r="56" spans="1:3" x14ac:dyDescent="0.2">
      <c r="A56" s="5">
        <v>46054</v>
      </c>
      <c r="B56" t="s">
        <v>24</v>
      </c>
      <c r="C56" s="6">
        <v>842000</v>
      </c>
    </row>
    <row r="57" spans="1:3" x14ac:dyDescent="0.2">
      <c r="A57" s="5">
        <v>46054</v>
      </c>
      <c r="B57" t="s">
        <v>49</v>
      </c>
      <c r="C57" s="6">
        <v>770000</v>
      </c>
    </row>
    <row r="58" spans="1:3" x14ac:dyDescent="0.2">
      <c r="A58" s="5">
        <v>46054</v>
      </c>
      <c r="B58" t="s">
        <v>56</v>
      </c>
      <c r="C58" s="6">
        <v>903000</v>
      </c>
    </row>
    <row r="59" spans="1:3" x14ac:dyDescent="0.2">
      <c r="A59" s="5">
        <v>46054</v>
      </c>
      <c r="B59" t="s">
        <v>83</v>
      </c>
      <c r="C59" s="6">
        <v>719000</v>
      </c>
    </row>
    <row r="60" spans="1:3" x14ac:dyDescent="0.2">
      <c r="A60" s="5">
        <v>46054</v>
      </c>
      <c r="B60" t="s">
        <v>64</v>
      </c>
      <c r="C60" s="6">
        <v>1006000</v>
      </c>
    </row>
    <row r="61" spans="1:3" x14ac:dyDescent="0.2">
      <c r="A61" s="5">
        <v>46054</v>
      </c>
      <c r="B61" t="s">
        <v>77</v>
      </c>
      <c r="C61" s="6">
        <v>760000</v>
      </c>
    </row>
    <row r="62" spans="1:3" x14ac:dyDescent="0.2">
      <c r="A62" s="5">
        <v>46082</v>
      </c>
      <c r="B62" t="s">
        <v>98</v>
      </c>
      <c r="C62" s="6">
        <v>884000</v>
      </c>
    </row>
    <row r="63" spans="1:3" x14ac:dyDescent="0.2">
      <c r="A63" s="5">
        <v>46082</v>
      </c>
      <c r="B63" t="s">
        <v>69</v>
      </c>
      <c r="C63" s="6">
        <v>790000</v>
      </c>
    </row>
    <row r="64" spans="1:3" x14ac:dyDescent="0.2">
      <c r="A64" s="5">
        <v>46082</v>
      </c>
      <c r="B64" t="s">
        <v>120</v>
      </c>
      <c r="C64" s="6">
        <v>957000</v>
      </c>
    </row>
    <row r="65" spans="1:3" x14ac:dyDescent="0.2">
      <c r="A65" s="5">
        <v>46082</v>
      </c>
      <c r="B65" t="s">
        <v>95</v>
      </c>
      <c r="C65" s="6">
        <v>749000</v>
      </c>
    </row>
    <row r="66" spans="1:3" x14ac:dyDescent="0.2">
      <c r="A66" s="5">
        <v>46082</v>
      </c>
      <c r="B66" t="s">
        <v>137</v>
      </c>
      <c r="C66" s="6">
        <v>1092000</v>
      </c>
    </row>
    <row r="67" spans="1:3" x14ac:dyDescent="0.2">
      <c r="A67" s="5">
        <v>46082</v>
      </c>
      <c r="B67" t="s">
        <v>41</v>
      </c>
      <c r="C67" s="6">
        <v>707000</v>
      </c>
    </row>
    <row r="68" spans="1:3" x14ac:dyDescent="0.2">
      <c r="A68" s="5">
        <v>46082</v>
      </c>
      <c r="B68" t="s">
        <v>24</v>
      </c>
      <c r="C68" s="6">
        <v>853000</v>
      </c>
    </row>
    <row r="69" spans="1:3" x14ac:dyDescent="0.2">
      <c r="A69" s="5">
        <v>46082</v>
      </c>
      <c r="B69" t="s">
        <v>49</v>
      </c>
      <c r="C69" s="6">
        <v>780000</v>
      </c>
    </row>
    <row r="70" spans="1:3" x14ac:dyDescent="0.2">
      <c r="A70" s="5">
        <v>46082</v>
      </c>
      <c r="B70" t="s">
        <v>56</v>
      </c>
      <c r="C70" s="6">
        <v>915000</v>
      </c>
    </row>
    <row r="71" spans="1:3" x14ac:dyDescent="0.2">
      <c r="A71" s="5">
        <v>46082</v>
      </c>
      <c r="B71" t="s">
        <v>83</v>
      </c>
      <c r="C71" s="6">
        <v>728000</v>
      </c>
    </row>
    <row r="72" spans="1:3" x14ac:dyDescent="0.2">
      <c r="A72" s="5">
        <v>46082</v>
      </c>
      <c r="B72" t="s">
        <v>64</v>
      </c>
      <c r="C72" s="6">
        <v>1019000</v>
      </c>
    </row>
    <row r="73" spans="1:3" x14ac:dyDescent="0.2">
      <c r="A73" s="5">
        <v>46082</v>
      </c>
      <c r="B73" t="s">
        <v>77</v>
      </c>
      <c r="C73" s="6">
        <v>770000</v>
      </c>
    </row>
    <row r="74" spans="1:3" x14ac:dyDescent="0.2">
      <c r="A74" s="5">
        <v>46113</v>
      </c>
      <c r="B74" t="s">
        <v>98</v>
      </c>
      <c r="C74" s="6">
        <v>850000</v>
      </c>
    </row>
    <row r="75" spans="1:3" x14ac:dyDescent="0.2">
      <c r="A75" s="5">
        <v>46113</v>
      </c>
      <c r="B75" t="s">
        <v>69</v>
      </c>
      <c r="C75" s="6">
        <v>760000</v>
      </c>
    </row>
    <row r="76" spans="1:3" x14ac:dyDescent="0.2">
      <c r="A76" s="5">
        <v>46113</v>
      </c>
      <c r="B76" t="s">
        <v>120</v>
      </c>
      <c r="C76" s="6">
        <v>920000</v>
      </c>
    </row>
    <row r="77" spans="1:3" x14ac:dyDescent="0.2">
      <c r="A77" s="5">
        <v>46113</v>
      </c>
      <c r="B77" t="s">
        <v>95</v>
      </c>
      <c r="C77" s="6">
        <v>720000</v>
      </c>
    </row>
    <row r="78" spans="1:3" x14ac:dyDescent="0.2">
      <c r="A78" s="5">
        <v>46113</v>
      </c>
      <c r="B78" t="s">
        <v>137</v>
      </c>
      <c r="C78" s="6">
        <v>1050000</v>
      </c>
    </row>
    <row r="79" spans="1:3" x14ac:dyDescent="0.2">
      <c r="A79" s="5">
        <v>46113</v>
      </c>
      <c r="B79" t="s">
        <v>41</v>
      </c>
      <c r="C79" s="6">
        <v>680000</v>
      </c>
    </row>
    <row r="80" spans="1:3" x14ac:dyDescent="0.2">
      <c r="A80" s="5">
        <v>46113</v>
      </c>
      <c r="B80" t="s">
        <v>24</v>
      </c>
      <c r="C80" s="6">
        <v>820000</v>
      </c>
    </row>
    <row r="81" spans="1:3" x14ac:dyDescent="0.2">
      <c r="A81" s="5">
        <v>46113</v>
      </c>
      <c r="B81" t="s">
        <v>49</v>
      </c>
      <c r="C81" s="6">
        <v>750000</v>
      </c>
    </row>
    <row r="82" spans="1:3" x14ac:dyDescent="0.2">
      <c r="A82" s="5">
        <v>46113</v>
      </c>
      <c r="B82" t="s">
        <v>56</v>
      </c>
      <c r="C82" s="6">
        <v>880000</v>
      </c>
    </row>
    <row r="83" spans="1:3" x14ac:dyDescent="0.2">
      <c r="A83" s="5">
        <v>46113</v>
      </c>
      <c r="B83" t="s">
        <v>83</v>
      </c>
      <c r="C83" s="6">
        <v>700000</v>
      </c>
    </row>
    <row r="84" spans="1:3" x14ac:dyDescent="0.2">
      <c r="A84" s="5">
        <v>46113</v>
      </c>
      <c r="B84" t="s">
        <v>64</v>
      </c>
      <c r="C84" s="6">
        <v>980000</v>
      </c>
    </row>
    <row r="85" spans="1:3" x14ac:dyDescent="0.2">
      <c r="A85" s="5">
        <v>46113</v>
      </c>
      <c r="B85" t="s">
        <v>77</v>
      </c>
      <c r="C85" s="6">
        <v>740000</v>
      </c>
    </row>
    <row r="86" spans="1:3" x14ac:dyDescent="0.2">
      <c r="A86" s="5">
        <v>46143</v>
      </c>
      <c r="B86" t="s">
        <v>98</v>
      </c>
      <c r="C86" s="6">
        <v>861000</v>
      </c>
    </row>
    <row r="87" spans="1:3" x14ac:dyDescent="0.2">
      <c r="A87" s="5">
        <v>46143</v>
      </c>
      <c r="B87" t="s">
        <v>69</v>
      </c>
      <c r="C87" s="6">
        <v>770000</v>
      </c>
    </row>
    <row r="88" spans="1:3" x14ac:dyDescent="0.2">
      <c r="A88" s="5">
        <v>46143</v>
      </c>
      <c r="B88" t="s">
        <v>120</v>
      </c>
      <c r="C88" s="6">
        <v>932000</v>
      </c>
    </row>
    <row r="89" spans="1:3" x14ac:dyDescent="0.2">
      <c r="A89" s="5">
        <v>46143</v>
      </c>
      <c r="B89" t="s">
        <v>95</v>
      </c>
      <c r="C89" s="6">
        <v>730000</v>
      </c>
    </row>
    <row r="90" spans="1:3" x14ac:dyDescent="0.2">
      <c r="A90" s="5">
        <v>46143</v>
      </c>
      <c r="B90" t="s">
        <v>137</v>
      </c>
      <c r="C90" s="6">
        <v>1064000</v>
      </c>
    </row>
    <row r="91" spans="1:3" x14ac:dyDescent="0.2">
      <c r="A91" s="5">
        <v>46143</v>
      </c>
      <c r="B91" t="s">
        <v>41</v>
      </c>
      <c r="C91" s="6">
        <v>689000</v>
      </c>
    </row>
    <row r="92" spans="1:3" x14ac:dyDescent="0.2">
      <c r="A92" s="5">
        <v>46143</v>
      </c>
      <c r="B92" t="s">
        <v>24</v>
      </c>
      <c r="C92" s="6">
        <v>831000</v>
      </c>
    </row>
    <row r="93" spans="1:3" x14ac:dyDescent="0.2">
      <c r="A93" s="5">
        <v>46143</v>
      </c>
      <c r="B93" t="s">
        <v>49</v>
      </c>
      <c r="C93" s="6">
        <v>760000</v>
      </c>
    </row>
    <row r="94" spans="1:3" x14ac:dyDescent="0.2">
      <c r="A94" s="5">
        <v>46143</v>
      </c>
      <c r="B94" t="s">
        <v>56</v>
      </c>
      <c r="C94" s="6">
        <v>892000</v>
      </c>
    </row>
    <row r="95" spans="1:3" x14ac:dyDescent="0.2">
      <c r="A95" s="5">
        <v>46143</v>
      </c>
      <c r="B95" t="s">
        <v>83</v>
      </c>
      <c r="C95" s="6">
        <v>709000</v>
      </c>
    </row>
    <row r="96" spans="1:3" x14ac:dyDescent="0.2">
      <c r="A96" s="5">
        <v>46143</v>
      </c>
      <c r="B96" t="s">
        <v>64</v>
      </c>
      <c r="C96" s="6">
        <v>993000</v>
      </c>
    </row>
    <row r="97" spans="1:3" x14ac:dyDescent="0.2">
      <c r="A97" s="5">
        <v>46143</v>
      </c>
      <c r="B97" t="s">
        <v>77</v>
      </c>
      <c r="C97" s="6">
        <v>750000</v>
      </c>
    </row>
    <row r="98" spans="1:3" x14ac:dyDescent="0.2">
      <c r="A98" s="5">
        <v>46174</v>
      </c>
      <c r="B98" t="s">
        <v>98</v>
      </c>
      <c r="C98" s="6">
        <v>873000</v>
      </c>
    </row>
    <row r="99" spans="1:3" x14ac:dyDescent="0.2">
      <c r="A99" s="5">
        <v>46174</v>
      </c>
      <c r="B99" t="s">
        <v>69</v>
      </c>
      <c r="C99" s="6">
        <v>780000</v>
      </c>
    </row>
    <row r="100" spans="1:3" x14ac:dyDescent="0.2">
      <c r="A100" s="5">
        <v>46174</v>
      </c>
      <c r="B100" t="s">
        <v>120</v>
      </c>
      <c r="C100" s="6">
        <v>945000</v>
      </c>
    </row>
    <row r="101" spans="1:3" x14ac:dyDescent="0.2">
      <c r="A101" s="5">
        <v>46174</v>
      </c>
      <c r="B101" t="s">
        <v>95</v>
      </c>
      <c r="C101" s="6">
        <v>739000</v>
      </c>
    </row>
    <row r="102" spans="1:3" x14ac:dyDescent="0.2">
      <c r="A102" s="5">
        <v>46174</v>
      </c>
      <c r="B102" t="s">
        <v>137</v>
      </c>
      <c r="C102" s="6">
        <v>1078000</v>
      </c>
    </row>
    <row r="103" spans="1:3" x14ac:dyDescent="0.2">
      <c r="A103" s="5">
        <v>46174</v>
      </c>
      <c r="B103" t="s">
        <v>41</v>
      </c>
      <c r="C103" s="6">
        <v>698000</v>
      </c>
    </row>
    <row r="104" spans="1:3" x14ac:dyDescent="0.2">
      <c r="A104" s="5">
        <v>46174</v>
      </c>
      <c r="B104" t="s">
        <v>24</v>
      </c>
      <c r="C104" s="6">
        <v>842000</v>
      </c>
    </row>
    <row r="105" spans="1:3" x14ac:dyDescent="0.2">
      <c r="A105" s="5">
        <v>46174</v>
      </c>
      <c r="B105" t="s">
        <v>49</v>
      </c>
      <c r="C105" s="6">
        <v>770000</v>
      </c>
    </row>
    <row r="106" spans="1:3" x14ac:dyDescent="0.2">
      <c r="A106" s="5">
        <v>46174</v>
      </c>
      <c r="B106" t="s">
        <v>56</v>
      </c>
      <c r="C106" s="6">
        <v>903000</v>
      </c>
    </row>
    <row r="107" spans="1:3" x14ac:dyDescent="0.2">
      <c r="A107" s="5">
        <v>46174</v>
      </c>
      <c r="B107" t="s">
        <v>83</v>
      </c>
      <c r="C107" s="6">
        <v>719000</v>
      </c>
    </row>
    <row r="108" spans="1:3" x14ac:dyDescent="0.2">
      <c r="A108" s="5">
        <v>46174</v>
      </c>
      <c r="B108" t="s">
        <v>64</v>
      </c>
      <c r="C108" s="6">
        <v>1006000</v>
      </c>
    </row>
    <row r="109" spans="1:3" x14ac:dyDescent="0.2">
      <c r="A109" s="5">
        <v>46174</v>
      </c>
      <c r="B109" t="s">
        <v>77</v>
      </c>
      <c r="C109" s="6">
        <v>760000</v>
      </c>
    </row>
    <row r="110" spans="1:3" x14ac:dyDescent="0.2">
      <c r="A110" s="5">
        <v>46204</v>
      </c>
      <c r="B110" t="s">
        <v>98</v>
      </c>
      <c r="C110" s="6">
        <v>884000</v>
      </c>
    </row>
    <row r="111" spans="1:3" x14ac:dyDescent="0.2">
      <c r="A111" s="5">
        <v>46204</v>
      </c>
      <c r="B111" t="s">
        <v>69</v>
      </c>
      <c r="C111" s="6">
        <v>790000</v>
      </c>
    </row>
    <row r="112" spans="1:3" x14ac:dyDescent="0.2">
      <c r="A112" s="5">
        <v>46204</v>
      </c>
      <c r="B112" t="s">
        <v>120</v>
      </c>
      <c r="C112" s="6">
        <v>957000</v>
      </c>
    </row>
    <row r="113" spans="1:3" x14ac:dyDescent="0.2">
      <c r="A113" s="5">
        <v>46204</v>
      </c>
      <c r="B113" t="s">
        <v>95</v>
      </c>
      <c r="C113" s="6">
        <v>749000</v>
      </c>
    </row>
    <row r="114" spans="1:3" x14ac:dyDescent="0.2">
      <c r="A114" s="5">
        <v>46204</v>
      </c>
      <c r="B114" t="s">
        <v>137</v>
      </c>
      <c r="C114" s="6">
        <v>1092000</v>
      </c>
    </row>
    <row r="115" spans="1:3" x14ac:dyDescent="0.2">
      <c r="A115" s="5">
        <v>46204</v>
      </c>
      <c r="B115" t="s">
        <v>41</v>
      </c>
      <c r="C115" s="6">
        <v>707000</v>
      </c>
    </row>
    <row r="116" spans="1:3" x14ac:dyDescent="0.2">
      <c r="A116" s="5">
        <v>46204</v>
      </c>
      <c r="B116" t="s">
        <v>24</v>
      </c>
      <c r="C116" s="6">
        <v>853000</v>
      </c>
    </row>
    <row r="117" spans="1:3" x14ac:dyDescent="0.2">
      <c r="A117" s="5">
        <v>46204</v>
      </c>
      <c r="B117" t="s">
        <v>49</v>
      </c>
      <c r="C117" s="6">
        <v>780000</v>
      </c>
    </row>
    <row r="118" spans="1:3" x14ac:dyDescent="0.2">
      <c r="A118" s="5">
        <v>46204</v>
      </c>
      <c r="B118" t="s">
        <v>56</v>
      </c>
      <c r="C118" s="6">
        <v>915000</v>
      </c>
    </row>
    <row r="119" spans="1:3" x14ac:dyDescent="0.2">
      <c r="A119" s="5">
        <v>46204</v>
      </c>
      <c r="B119" t="s">
        <v>83</v>
      </c>
      <c r="C119" s="6">
        <v>728000</v>
      </c>
    </row>
    <row r="120" spans="1:3" x14ac:dyDescent="0.2">
      <c r="A120" s="5">
        <v>46204</v>
      </c>
      <c r="B120" t="s">
        <v>64</v>
      </c>
      <c r="C120" s="6">
        <v>1019000</v>
      </c>
    </row>
    <row r="121" spans="1:3" x14ac:dyDescent="0.2">
      <c r="A121" s="5">
        <v>46204</v>
      </c>
      <c r="B121" t="s">
        <v>77</v>
      </c>
      <c r="C121" s="6">
        <v>770000</v>
      </c>
    </row>
    <row r="122" spans="1:3" x14ac:dyDescent="0.2">
      <c r="A122" s="5">
        <v>46235</v>
      </c>
      <c r="B122" t="s">
        <v>98</v>
      </c>
      <c r="C122" s="6">
        <v>850000</v>
      </c>
    </row>
    <row r="123" spans="1:3" x14ac:dyDescent="0.2">
      <c r="A123" s="5">
        <v>46235</v>
      </c>
      <c r="B123" t="s">
        <v>69</v>
      </c>
      <c r="C123" s="6">
        <v>760000</v>
      </c>
    </row>
    <row r="124" spans="1:3" x14ac:dyDescent="0.2">
      <c r="A124" s="5">
        <v>46235</v>
      </c>
      <c r="B124" t="s">
        <v>120</v>
      </c>
      <c r="C124" s="6">
        <v>920000</v>
      </c>
    </row>
    <row r="125" spans="1:3" x14ac:dyDescent="0.2">
      <c r="A125" s="5">
        <v>46235</v>
      </c>
      <c r="B125" t="s">
        <v>95</v>
      </c>
      <c r="C125" s="6">
        <v>720000</v>
      </c>
    </row>
    <row r="126" spans="1:3" x14ac:dyDescent="0.2">
      <c r="A126" s="5">
        <v>46235</v>
      </c>
      <c r="B126" t="s">
        <v>137</v>
      </c>
      <c r="C126" s="6">
        <v>1050000</v>
      </c>
    </row>
    <row r="127" spans="1:3" x14ac:dyDescent="0.2">
      <c r="A127" s="5">
        <v>46235</v>
      </c>
      <c r="B127" t="s">
        <v>41</v>
      </c>
      <c r="C127" s="6">
        <v>680000</v>
      </c>
    </row>
    <row r="128" spans="1:3" x14ac:dyDescent="0.2">
      <c r="A128" s="5">
        <v>46235</v>
      </c>
      <c r="B128" t="s">
        <v>24</v>
      </c>
      <c r="C128" s="6">
        <v>820000</v>
      </c>
    </row>
    <row r="129" spans="1:3" x14ac:dyDescent="0.2">
      <c r="A129" s="5">
        <v>46235</v>
      </c>
      <c r="B129" t="s">
        <v>49</v>
      </c>
      <c r="C129" s="6">
        <v>750000</v>
      </c>
    </row>
    <row r="130" spans="1:3" x14ac:dyDescent="0.2">
      <c r="A130" s="5">
        <v>46235</v>
      </c>
      <c r="B130" t="s">
        <v>56</v>
      </c>
      <c r="C130" s="6">
        <v>880000</v>
      </c>
    </row>
    <row r="131" spans="1:3" x14ac:dyDescent="0.2">
      <c r="A131" s="5">
        <v>46235</v>
      </c>
      <c r="B131" t="s">
        <v>83</v>
      </c>
      <c r="C131" s="6">
        <v>700000</v>
      </c>
    </row>
    <row r="132" spans="1:3" x14ac:dyDescent="0.2">
      <c r="A132" s="5">
        <v>46235</v>
      </c>
      <c r="B132" t="s">
        <v>64</v>
      </c>
      <c r="C132" s="6">
        <v>980000</v>
      </c>
    </row>
    <row r="133" spans="1:3" x14ac:dyDescent="0.2">
      <c r="A133" s="5">
        <v>46235</v>
      </c>
      <c r="B133" t="s">
        <v>77</v>
      </c>
      <c r="C133" s="6">
        <v>740000</v>
      </c>
    </row>
    <row r="134" spans="1:3" x14ac:dyDescent="0.2">
      <c r="A134" s="5">
        <v>46266</v>
      </c>
      <c r="B134" t="s">
        <v>98</v>
      </c>
      <c r="C134" s="6">
        <v>861000</v>
      </c>
    </row>
    <row r="135" spans="1:3" x14ac:dyDescent="0.2">
      <c r="A135" s="5">
        <v>46266</v>
      </c>
      <c r="B135" t="s">
        <v>69</v>
      </c>
      <c r="C135" s="6">
        <v>770000</v>
      </c>
    </row>
    <row r="136" spans="1:3" x14ac:dyDescent="0.2">
      <c r="A136" s="5">
        <v>46266</v>
      </c>
      <c r="B136" t="s">
        <v>120</v>
      </c>
      <c r="C136" s="6">
        <v>932000</v>
      </c>
    </row>
    <row r="137" spans="1:3" x14ac:dyDescent="0.2">
      <c r="A137" s="5">
        <v>46266</v>
      </c>
      <c r="B137" t="s">
        <v>95</v>
      </c>
      <c r="C137" s="6">
        <v>730000</v>
      </c>
    </row>
    <row r="138" spans="1:3" x14ac:dyDescent="0.2">
      <c r="A138" s="5">
        <v>46266</v>
      </c>
      <c r="B138" t="s">
        <v>137</v>
      </c>
      <c r="C138" s="6">
        <v>1064000</v>
      </c>
    </row>
    <row r="139" spans="1:3" x14ac:dyDescent="0.2">
      <c r="A139" s="5">
        <v>46266</v>
      </c>
      <c r="B139" t="s">
        <v>41</v>
      </c>
      <c r="C139" s="6">
        <v>689000</v>
      </c>
    </row>
    <row r="140" spans="1:3" x14ac:dyDescent="0.2">
      <c r="A140" s="5">
        <v>46266</v>
      </c>
      <c r="B140" t="s">
        <v>24</v>
      </c>
      <c r="C140" s="6">
        <v>831000</v>
      </c>
    </row>
    <row r="141" spans="1:3" x14ac:dyDescent="0.2">
      <c r="A141" s="5">
        <v>46266</v>
      </c>
      <c r="B141" t="s">
        <v>49</v>
      </c>
      <c r="C141" s="6">
        <v>760000</v>
      </c>
    </row>
    <row r="142" spans="1:3" x14ac:dyDescent="0.2">
      <c r="A142" s="5">
        <v>46266</v>
      </c>
      <c r="B142" t="s">
        <v>56</v>
      </c>
      <c r="C142" s="6">
        <v>892000</v>
      </c>
    </row>
    <row r="143" spans="1:3" x14ac:dyDescent="0.2">
      <c r="A143" s="5">
        <v>46266</v>
      </c>
      <c r="B143" t="s">
        <v>83</v>
      </c>
      <c r="C143" s="6">
        <v>709000</v>
      </c>
    </row>
    <row r="144" spans="1:3" x14ac:dyDescent="0.2">
      <c r="A144" s="5">
        <v>46266</v>
      </c>
      <c r="B144" t="s">
        <v>64</v>
      </c>
      <c r="C144" s="6">
        <v>993000</v>
      </c>
    </row>
    <row r="145" spans="1:3" x14ac:dyDescent="0.2">
      <c r="A145" s="5">
        <v>46266</v>
      </c>
      <c r="B145" t="s">
        <v>77</v>
      </c>
      <c r="C145" s="6">
        <v>750000</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95E1F-29FC-6F4C-B085-EBC0940CB0FE}">
  <dimension ref="A1:T1201"/>
  <sheetViews>
    <sheetView workbookViewId="0">
      <selection activeCell="U19" sqref="U19"/>
    </sheetView>
  </sheetViews>
  <sheetFormatPr baseColWidth="10" defaultRowHeight="15" x14ac:dyDescent="0.2"/>
  <cols>
    <col min="1" max="1" width="15.6640625" bestFit="1" customWidth="1"/>
    <col min="2" max="2" width="14.33203125" bestFit="1" customWidth="1"/>
    <col min="3" max="3" width="12.33203125" bestFit="1" customWidth="1"/>
    <col min="4" max="4" width="11.83203125" bestFit="1" customWidth="1"/>
    <col min="5" max="5" width="12.33203125" bestFit="1" customWidth="1"/>
    <col min="6" max="6" width="10.5" bestFit="1" customWidth="1"/>
    <col min="7" max="7" width="12.1640625" bestFit="1" customWidth="1"/>
    <col min="8" max="8" width="12.6640625" bestFit="1" customWidth="1"/>
    <col min="9" max="9" width="13.5" bestFit="1" customWidth="1"/>
    <col min="10" max="10" width="14.5" bestFit="1" customWidth="1"/>
    <col min="11" max="11" width="11" bestFit="1" customWidth="1"/>
    <col min="12" max="12" width="17.6640625" bestFit="1" customWidth="1"/>
    <col min="13" max="13" width="10" style="46" bestFit="1" customWidth="1"/>
    <col min="14" max="14" width="13.83203125" bestFit="1" customWidth="1"/>
    <col min="15" max="15" width="15.5" bestFit="1" customWidth="1"/>
    <col min="16" max="16" width="17.83203125" bestFit="1" customWidth="1"/>
    <col min="17" max="17" width="13.1640625" bestFit="1" customWidth="1"/>
    <col min="18" max="18" width="16.83203125" bestFit="1" customWidth="1"/>
    <col min="19" max="19" width="9.1640625" bestFit="1" customWidth="1"/>
    <col min="20" max="20" width="18" bestFit="1" customWidth="1"/>
    <col min="22" max="22" width="13" bestFit="1" customWidth="1"/>
    <col min="23" max="23" width="6.6640625" bestFit="1" customWidth="1"/>
    <col min="25" max="25" width="21.1640625" bestFit="1" customWidth="1"/>
    <col min="26" max="26" width="6.6640625" bestFit="1" customWidth="1"/>
  </cols>
  <sheetData>
    <row r="1" spans="1:20" x14ac:dyDescent="0.2">
      <c r="A1" t="s">
        <v>0</v>
      </c>
      <c r="B1" t="s">
        <v>1</v>
      </c>
      <c r="C1" t="s">
        <v>2</v>
      </c>
      <c r="D1" t="s">
        <v>3</v>
      </c>
      <c r="E1" t="s">
        <v>4</v>
      </c>
      <c r="F1" t="s">
        <v>5</v>
      </c>
      <c r="G1" t="s">
        <v>6</v>
      </c>
      <c r="H1" t="s">
        <v>7</v>
      </c>
      <c r="I1" t="s">
        <v>8</v>
      </c>
      <c r="J1" t="s">
        <v>9</v>
      </c>
      <c r="K1" t="s">
        <v>10</v>
      </c>
      <c r="L1" t="s">
        <v>11</v>
      </c>
      <c r="M1" s="46" t="s">
        <v>12</v>
      </c>
      <c r="N1" t="s">
        <v>13</v>
      </c>
      <c r="O1" t="s">
        <v>14</v>
      </c>
      <c r="P1" t="s">
        <v>15</v>
      </c>
      <c r="Q1" t="s">
        <v>16</v>
      </c>
      <c r="R1" t="s">
        <v>17</v>
      </c>
      <c r="S1" t="s">
        <v>18</v>
      </c>
      <c r="T1" t="s">
        <v>2000</v>
      </c>
    </row>
    <row r="2" spans="1:20" x14ac:dyDescent="0.2">
      <c r="A2" t="s">
        <v>19</v>
      </c>
      <c r="B2" s="7">
        <v>45979</v>
      </c>
      <c r="C2" s="7">
        <v>46089</v>
      </c>
      <c r="D2" t="s">
        <v>20</v>
      </c>
      <c r="E2" t="s">
        <v>21</v>
      </c>
      <c r="F2" t="s">
        <v>22</v>
      </c>
      <c r="G2" t="s">
        <v>23</v>
      </c>
      <c r="H2" t="s">
        <v>24</v>
      </c>
      <c r="I2" t="s">
        <v>25</v>
      </c>
      <c r="J2" t="s">
        <v>26</v>
      </c>
      <c r="K2" t="s">
        <v>27</v>
      </c>
      <c r="L2" t="s">
        <v>28</v>
      </c>
      <c r="M2" s="46">
        <v>83900</v>
      </c>
      <c r="N2">
        <v>0.11899999999999999</v>
      </c>
      <c r="O2">
        <v>0.05</v>
      </c>
      <c r="P2" t="s">
        <v>29</v>
      </c>
      <c r="Q2" t="s">
        <v>30</v>
      </c>
      <c r="R2">
        <v>110</v>
      </c>
      <c r="S2">
        <v>6161.61</v>
      </c>
      <c r="T2">
        <f>Deals_[[#This Row],[Amount]]*Deals_[[#This Row],[Probability_Pct]]</f>
        <v>4195</v>
      </c>
    </row>
    <row r="3" spans="1:20" x14ac:dyDescent="0.2">
      <c r="A3" t="s">
        <v>31</v>
      </c>
      <c r="B3" s="7">
        <v>45999</v>
      </c>
      <c r="C3" s="7">
        <v>46087</v>
      </c>
      <c r="D3" t="s">
        <v>32</v>
      </c>
      <c r="E3" t="s">
        <v>33</v>
      </c>
      <c r="F3" t="s">
        <v>22</v>
      </c>
      <c r="G3" t="s">
        <v>34</v>
      </c>
      <c r="H3" t="s">
        <v>24</v>
      </c>
      <c r="I3" t="s">
        <v>35</v>
      </c>
      <c r="J3" t="s">
        <v>36</v>
      </c>
      <c r="K3" t="s">
        <v>37</v>
      </c>
      <c r="L3" t="s">
        <v>28</v>
      </c>
      <c r="M3" s="46">
        <v>37300</v>
      </c>
      <c r="N3">
        <v>0.27200000000000002</v>
      </c>
      <c r="O3">
        <v>0.1</v>
      </c>
      <c r="P3" t="s">
        <v>38</v>
      </c>
      <c r="R3">
        <v>88</v>
      </c>
      <c r="S3">
        <v>2261.71</v>
      </c>
      <c r="T3">
        <f>Deals_[[#This Row],[Amount]]*Deals_[[#This Row],[Probability_Pct]]</f>
        <v>3730</v>
      </c>
    </row>
    <row r="4" spans="1:20" x14ac:dyDescent="0.2">
      <c r="A4" t="s">
        <v>39</v>
      </c>
      <c r="B4" s="7">
        <v>45973</v>
      </c>
      <c r="C4" s="7">
        <v>46105</v>
      </c>
      <c r="D4" t="s">
        <v>40</v>
      </c>
      <c r="E4" t="s">
        <v>21</v>
      </c>
      <c r="F4" t="s">
        <v>22</v>
      </c>
      <c r="G4" t="s">
        <v>23</v>
      </c>
      <c r="H4" t="s">
        <v>41</v>
      </c>
      <c r="I4" t="s">
        <v>42</v>
      </c>
      <c r="J4" t="s">
        <v>43</v>
      </c>
      <c r="K4" t="s">
        <v>27</v>
      </c>
      <c r="L4" t="s">
        <v>44</v>
      </c>
      <c r="M4" s="46">
        <v>52900</v>
      </c>
      <c r="N4">
        <v>0.13500000000000001</v>
      </c>
      <c r="O4">
        <v>0</v>
      </c>
      <c r="P4" t="s">
        <v>29</v>
      </c>
      <c r="Q4" t="s">
        <v>45</v>
      </c>
      <c r="R4">
        <v>132</v>
      </c>
      <c r="S4">
        <v>3811.21</v>
      </c>
      <c r="T4">
        <f>Deals_[[#This Row],[Amount]]*Deals_[[#This Row],[Probability_Pct]]</f>
        <v>0</v>
      </c>
    </row>
    <row r="5" spans="1:20" x14ac:dyDescent="0.2">
      <c r="A5" t="s">
        <v>46</v>
      </c>
      <c r="B5" s="7">
        <v>46100</v>
      </c>
      <c r="C5" s="7">
        <v>46161</v>
      </c>
      <c r="D5" t="s">
        <v>47</v>
      </c>
      <c r="E5" t="s">
        <v>21</v>
      </c>
      <c r="F5" t="s">
        <v>48</v>
      </c>
      <c r="G5" t="s">
        <v>34</v>
      </c>
      <c r="H5" t="s">
        <v>49</v>
      </c>
      <c r="I5" t="s">
        <v>25</v>
      </c>
      <c r="J5" t="s">
        <v>36</v>
      </c>
      <c r="K5" t="s">
        <v>50</v>
      </c>
      <c r="L5" t="s">
        <v>51</v>
      </c>
      <c r="M5" s="46">
        <v>29100</v>
      </c>
      <c r="N5">
        <v>0.17399999999999999</v>
      </c>
      <c r="O5">
        <v>1</v>
      </c>
      <c r="P5" t="s">
        <v>29</v>
      </c>
      <c r="R5">
        <v>61</v>
      </c>
      <c r="S5">
        <v>2003.02</v>
      </c>
      <c r="T5">
        <f>Deals_[[#This Row],[Amount]]*Deals_[[#This Row],[Probability_Pct]]</f>
        <v>29100</v>
      </c>
    </row>
    <row r="6" spans="1:20" x14ac:dyDescent="0.2">
      <c r="A6" t="s">
        <v>52</v>
      </c>
      <c r="B6" s="7">
        <v>46263</v>
      </c>
      <c r="C6" s="7">
        <v>46314</v>
      </c>
      <c r="D6" t="s">
        <v>53</v>
      </c>
      <c r="E6" t="s">
        <v>54</v>
      </c>
      <c r="F6" t="s">
        <v>22</v>
      </c>
      <c r="G6" t="s">
        <v>55</v>
      </c>
      <c r="H6" t="s">
        <v>56</v>
      </c>
      <c r="I6" t="s">
        <v>42</v>
      </c>
      <c r="J6" t="s">
        <v>57</v>
      </c>
      <c r="K6" t="s">
        <v>58</v>
      </c>
      <c r="L6" t="s">
        <v>44</v>
      </c>
      <c r="M6" s="46">
        <v>51300</v>
      </c>
      <c r="N6">
        <v>0.159</v>
      </c>
      <c r="O6">
        <v>0.75</v>
      </c>
      <c r="P6" t="s">
        <v>59</v>
      </c>
      <c r="R6">
        <v>51</v>
      </c>
      <c r="S6">
        <v>3595.05</v>
      </c>
      <c r="T6">
        <f>Deals_[[#This Row],[Amount]]*Deals_[[#This Row],[Probability_Pct]]</f>
        <v>38475</v>
      </c>
    </row>
    <row r="7" spans="1:20" x14ac:dyDescent="0.2">
      <c r="A7" t="s">
        <v>60</v>
      </c>
      <c r="B7" s="7">
        <v>46061</v>
      </c>
      <c r="C7" s="7">
        <v>46221</v>
      </c>
      <c r="D7" t="s">
        <v>61</v>
      </c>
      <c r="E7" t="s">
        <v>62</v>
      </c>
      <c r="F7" t="s">
        <v>22</v>
      </c>
      <c r="G7" t="s">
        <v>63</v>
      </c>
      <c r="H7" t="s">
        <v>64</v>
      </c>
      <c r="I7" t="s">
        <v>65</v>
      </c>
      <c r="J7" t="s">
        <v>26</v>
      </c>
      <c r="K7" t="s">
        <v>50</v>
      </c>
      <c r="L7" t="s">
        <v>51</v>
      </c>
      <c r="M7" s="46">
        <v>64500</v>
      </c>
      <c r="N7">
        <v>9.1999999999999998E-2</v>
      </c>
      <c r="O7">
        <v>1</v>
      </c>
      <c r="P7" t="s">
        <v>29</v>
      </c>
      <c r="R7">
        <v>160</v>
      </c>
      <c r="S7">
        <v>4882.8999999999996</v>
      </c>
      <c r="T7">
        <f>Deals_[[#This Row],[Amount]]*Deals_[[#This Row],[Probability_Pct]]</f>
        <v>64500</v>
      </c>
    </row>
    <row r="8" spans="1:20" x14ac:dyDescent="0.2">
      <c r="A8" t="s">
        <v>66</v>
      </c>
      <c r="B8" s="7">
        <v>46141</v>
      </c>
      <c r="C8" s="7">
        <v>46277</v>
      </c>
      <c r="D8" t="s">
        <v>67</v>
      </c>
      <c r="E8" t="s">
        <v>68</v>
      </c>
      <c r="F8" t="s">
        <v>48</v>
      </c>
      <c r="G8" t="s">
        <v>63</v>
      </c>
      <c r="H8" t="s">
        <v>69</v>
      </c>
      <c r="I8" t="s">
        <v>42</v>
      </c>
      <c r="J8" t="s">
        <v>43</v>
      </c>
      <c r="K8" t="s">
        <v>50</v>
      </c>
      <c r="L8" t="s">
        <v>44</v>
      </c>
      <c r="M8" s="46">
        <v>19600</v>
      </c>
      <c r="N8">
        <v>2.5000000000000001E-2</v>
      </c>
      <c r="O8">
        <v>1</v>
      </c>
      <c r="P8" t="s">
        <v>29</v>
      </c>
      <c r="R8">
        <v>136</v>
      </c>
      <c r="S8">
        <v>1593.29</v>
      </c>
      <c r="T8">
        <f>Deals_[[#This Row],[Amount]]*Deals_[[#This Row],[Probability_Pct]]</f>
        <v>19600</v>
      </c>
    </row>
    <row r="9" spans="1:20" x14ac:dyDescent="0.2">
      <c r="A9" t="s">
        <v>70</v>
      </c>
      <c r="B9" s="7">
        <v>45992</v>
      </c>
      <c r="C9" s="7">
        <v>46052</v>
      </c>
      <c r="D9" t="s">
        <v>71</v>
      </c>
      <c r="E9" t="s">
        <v>21</v>
      </c>
      <c r="F9" t="s">
        <v>22</v>
      </c>
      <c r="G9" t="s">
        <v>63</v>
      </c>
      <c r="H9" t="s">
        <v>56</v>
      </c>
      <c r="I9" t="s">
        <v>25</v>
      </c>
      <c r="J9" t="s">
        <v>26</v>
      </c>
      <c r="K9" t="s">
        <v>37</v>
      </c>
      <c r="L9" t="s">
        <v>51</v>
      </c>
      <c r="M9" s="46">
        <v>76300</v>
      </c>
      <c r="N9">
        <v>6.0999999999999999E-2</v>
      </c>
      <c r="O9">
        <v>0.1</v>
      </c>
      <c r="P9" t="s">
        <v>38</v>
      </c>
      <c r="R9">
        <v>60</v>
      </c>
      <c r="S9">
        <v>5968.73</v>
      </c>
      <c r="T9">
        <f>Deals_[[#This Row],[Amount]]*Deals_[[#This Row],[Probability_Pct]]</f>
        <v>7630</v>
      </c>
    </row>
    <row r="10" spans="1:20" x14ac:dyDescent="0.2">
      <c r="A10" t="s">
        <v>72</v>
      </c>
      <c r="B10" s="7">
        <v>46198</v>
      </c>
      <c r="C10" s="7">
        <v>46229</v>
      </c>
      <c r="D10" t="s">
        <v>73</v>
      </c>
      <c r="E10" t="s">
        <v>33</v>
      </c>
      <c r="F10" t="s">
        <v>74</v>
      </c>
      <c r="G10" t="s">
        <v>55</v>
      </c>
      <c r="H10" t="s">
        <v>56</v>
      </c>
      <c r="I10" t="s">
        <v>35</v>
      </c>
      <c r="J10" t="s">
        <v>26</v>
      </c>
      <c r="K10" t="s">
        <v>37</v>
      </c>
      <c r="L10" t="s">
        <v>51</v>
      </c>
      <c r="M10" s="46">
        <v>129600</v>
      </c>
      <c r="N10">
        <v>6.0000000000000001E-3</v>
      </c>
      <c r="O10">
        <v>0.15</v>
      </c>
      <c r="P10" t="s">
        <v>38</v>
      </c>
      <c r="R10">
        <v>31</v>
      </c>
      <c r="S10">
        <v>10731.2</v>
      </c>
      <c r="T10">
        <f>Deals_[[#This Row],[Amount]]*Deals_[[#This Row],[Probability_Pct]]</f>
        <v>19440</v>
      </c>
    </row>
    <row r="11" spans="1:20" x14ac:dyDescent="0.2">
      <c r="A11" t="s">
        <v>75</v>
      </c>
      <c r="B11" s="7">
        <v>46161</v>
      </c>
      <c r="C11" s="7">
        <v>46310</v>
      </c>
      <c r="D11" t="s">
        <v>76</v>
      </c>
      <c r="E11" t="s">
        <v>33</v>
      </c>
      <c r="F11" t="s">
        <v>22</v>
      </c>
      <c r="G11" t="s">
        <v>63</v>
      </c>
      <c r="H11" t="s">
        <v>77</v>
      </c>
      <c r="I11" t="s">
        <v>25</v>
      </c>
      <c r="J11" t="s">
        <v>26</v>
      </c>
      <c r="K11" t="s">
        <v>78</v>
      </c>
      <c r="L11" t="s">
        <v>28</v>
      </c>
      <c r="M11" s="46">
        <v>47000</v>
      </c>
      <c r="N11">
        <v>9.9000000000000005E-2</v>
      </c>
      <c r="O11">
        <v>0.55000000000000004</v>
      </c>
      <c r="P11" t="s">
        <v>79</v>
      </c>
      <c r="R11">
        <v>149</v>
      </c>
      <c r="S11">
        <v>3528.37</v>
      </c>
      <c r="T11">
        <f>Deals_[[#This Row],[Amount]]*Deals_[[#This Row],[Probability_Pct]]</f>
        <v>25850.000000000004</v>
      </c>
    </row>
    <row r="12" spans="1:20" x14ac:dyDescent="0.2">
      <c r="A12" t="s">
        <v>80</v>
      </c>
      <c r="B12" s="7">
        <v>46038</v>
      </c>
      <c r="C12" s="7">
        <v>46158</v>
      </c>
      <c r="D12" t="s">
        <v>81</v>
      </c>
      <c r="E12" t="s">
        <v>82</v>
      </c>
      <c r="F12" t="s">
        <v>48</v>
      </c>
      <c r="G12" t="s">
        <v>34</v>
      </c>
      <c r="H12" t="s">
        <v>83</v>
      </c>
      <c r="I12" t="s">
        <v>84</v>
      </c>
      <c r="J12" t="s">
        <v>85</v>
      </c>
      <c r="K12" t="s">
        <v>37</v>
      </c>
      <c r="L12" t="s">
        <v>51</v>
      </c>
      <c r="M12" s="46">
        <v>17700</v>
      </c>
      <c r="N12">
        <v>0.20100000000000001</v>
      </c>
      <c r="O12">
        <v>0.05</v>
      </c>
      <c r="P12" t="s">
        <v>38</v>
      </c>
      <c r="R12">
        <v>120</v>
      </c>
      <c r="S12">
        <v>1177.94</v>
      </c>
      <c r="T12">
        <f>Deals_[[#This Row],[Amount]]*Deals_[[#This Row],[Probability_Pct]]</f>
        <v>885</v>
      </c>
    </row>
    <row r="13" spans="1:20" x14ac:dyDescent="0.2">
      <c r="A13" t="s">
        <v>86</v>
      </c>
      <c r="B13" s="7">
        <v>46098</v>
      </c>
      <c r="C13" s="7">
        <v>46241</v>
      </c>
      <c r="D13" t="s">
        <v>87</v>
      </c>
      <c r="E13" t="s">
        <v>21</v>
      </c>
      <c r="F13" t="s">
        <v>48</v>
      </c>
      <c r="G13" t="s">
        <v>55</v>
      </c>
      <c r="H13" t="s">
        <v>77</v>
      </c>
      <c r="I13" t="s">
        <v>35</v>
      </c>
      <c r="J13" t="s">
        <v>36</v>
      </c>
      <c r="K13" t="s">
        <v>88</v>
      </c>
      <c r="L13" t="s">
        <v>44</v>
      </c>
      <c r="M13" s="46">
        <v>21200</v>
      </c>
      <c r="N13">
        <v>0.23300000000000001</v>
      </c>
      <c r="O13">
        <v>0.35</v>
      </c>
      <c r="P13" t="s">
        <v>38</v>
      </c>
      <c r="R13">
        <v>143</v>
      </c>
      <c r="S13">
        <v>1354.54</v>
      </c>
      <c r="T13">
        <f>Deals_[[#This Row],[Amount]]*Deals_[[#This Row],[Probability_Pct]]</f>
        <v>7419.9999999999991</v>
      </c>
    </row>
    <row r="14" spans="1:20" x14ac:dyDescent="0.2">
      <c r="A14" t="s">
        <v>89</v>
      </c>
      <c r="B14" s="7">
        <v>46002</v>
      </c>
      <c r="C14" s="7">
        <v>46106</v>
      </c>
      <c r="D14" t="s">
        <v>90</v>
      </c>
      <c r="E14" t="s">
        <v>91</v>
      </c>
      <c r="F14" t="s">
        <v>48</v>
      </c>
      <c r="G14" t="s">
        <v>92</v>
      </c>
      <c r="H14" t="s">
        <v>49</v>
      </c>
      <c r="I14" t="s">
        <v>25</v>
      </c>
      <c r="J14" t="s">
        <v>36</v>
      </c>
      <c r="K14" t="s">
        <v>78</v>
      </c>
      <c r="L14" t="s">
        <v>28</v>
      </c>
      <c r="M14" s="46">
        <v>29300</v>
      </c>
      <c r="N14">
        <v>0.06</v>
      </c>
      <c r="O14">
        <v>0.55000000000000004</v>
      </c>
      <c r="P14" t="s">
        <v>79</v>
      </c>
      <c r="R14">
        <v>104</v>
      </c>
      <c r="S14">
        <v>2295.34</v>
      </c>
      <c r="T14">
        <f>Deals_[[#This Row],[Amount]]*Deals_[[#This Row],[Probability_Pct]]</f>
        <v>16115.000000000002</v>
      </c>
    </row>
    <row r="15" spans="1:20" x14ac:dyDescent="0.2">
      <c r="A15" t="s">
        <v>93</v>
      </c>
      <c r="B15" s="7">
        <v>46049</v>
      </c>
      <c r="C15" s="7">
        <v>46189</v>
      </c>
      <c r="D15" t="s">
        <v>94</v>
      </c>
      <c r="E15" t="s">
        <v>21</v>
      </c>
      <c r="F15" t="s">
        <v>48</v>
      </c>
      <c r="G15" t="s">
        <v>55</v>
      </c>
      <c r="H15" t="s">
        <v>95</v>
      </c>
      <c r="I15" t="s">
        <v>65</v>
      </c>
      <c r="J15" t="s">
        <v>43</v>
      </c>
      <c r="K15" t="s">
        <v>88</v>
      </c>
      <c r="L15" t="s">
        <v>28</v>
      </c>
      <c r="M15" s="46">
        <v>23700</v>
      </c>
      <c r="N15">
        <v>6.2E-2</v>
      </c>
      <c r="O15">
        <v>0.4</v>
      </c>
      <c r="P15" t="s">
        <v>38</v>
      </c>
      <c r="R15">
        <v>140</v>
      </c>
      <c r="S15">
        <v>1853.44</v>
      </c>
      <c r="T15">
        <f>Deals_[[#This Row],[Amount]]*Deals_[[#This Row],[Probability_Pct]]</f>
        <v>9480</v>
      </c>
    </row>
    <row r="16" spans="1:20" x14ac:dyDescent="0.2">
      <c r="A16" t="s">
        <v>96</v>
      </c>
      <c r="B16" s="7">
        <v>46151</v>
      </c>
      <c r="C16" s="7">
        <v>46312</v>
      </c>
      <c r="D16" t="s">
        <v>97</v>
      </c>
      <c r="E16" t="s">
        <v>82</v>
      </c>
      <c r="F16" t="s">
        <v>48</v>
      </c>
      <c r="G16" t="s">
        <v>55</v>
      </c>
      <c r="H16" t="s">
        <v>98</v>
      </c>
      <c r="I16" t="s">
        <v>99</v>
      </c>
      <c r="J16" t="s">
        <v>36</v>
      </c>
      <c r="K16" t="s">
        <v>58</v>
      </c>
      <c r="L16" t="s">
        <v>44</v>
      </c>
      <c r="M16" s="46">
        <v>18200</v>
      </c>
      <c r="N16">
        <v>3.1E-2</v>
      </c>
      <c r="O16">
        <v>0.75</v>
      </c>
      <c r="P16" t="s">
        <v>59</v>
      </c>
      <c r="R16">
        <v>161</v>
      </c>
      <c r="S16">
        <v>1470.06</v>
      </c>
      <c r="T16">
        <f>Deals_[[#This Row],[Amount]]*Deals_[[#This Row],[Probability_Pct]]</f>
        <v>13650</v>
      </c>
    </row>
    <row r="17" spans="1:20" x14ac:dyDescent="0.2">
      <c r="A17" t="s">
        <v>100</v>
      </c>
      <c r="B17" s="7">
        <v>46159</v>
      </c>
      <c r="C17" s="7">
        <v>46307</v>
      </c>
      <c r="D17" t="s">
        <v>101</v>
      </c>
      <c r="E17" t="s">
        <v>62</v>
      </c>
      <c r="F17" t="s">
        <v>48</v>
      </c>
      <c r="G17" t="s">
        <v>34</v>
      </c>
      <c r="H17" t="s">
        <v>98</v>
      </c>
      <c r="I17" t="s">
        <v>84</v>
      </c>
      <c r="J17" t="s">
        <v>85</v>
      </c>
      <c r="K17" t="s">
        <v>37</v>
      </c>
      <c r="L17" t="s">
        <v>51</v>
      </c>
      <c r="M17" s="46">
        <v>29000</v>
      </c>
      <c r="N17">
        <v>7.9000000000000001E-2</v>
      </c>
      <c r="O17">
        <v>0.15</v>
      </c>
      <c r="P17" t="s">
        <v>38</v>
      </c>
      <c r="R17">
        <v>148</v>
      </c>
      <c r="S17">
        <v>2226.38</v>
      </c>
      <c r="T17">
        <f>Deals_[[#This Row],[Amount]]*Deals_[[#This Row],[Probability_Pct]]</f>
        <v>4350</v>
      </c>
    </row>
    <row r="18" spans="1:20" x14ac:dyDescent="0.2">
      <c r="A18" t="s">
        <v>102</v>
      </c>
      <c r="B18" s="7">
        <v>46164</v>
      </c>
      <c r="C18" s="7">
        <v>46317</v>
      </c>
      <c r="D18" t="s">
        <v>103</v>
      </c>
      <c r="E18" t="s">
        <v>33</v>
      </c>
      <c r="F18" t="s">
        <v>48</v>
      </c>
      <c r="G18" t="s">
        <v>55</v>
      </c>
      <c r="H18" t="s">
        <v>83</v>
      </c>
      <c r="I18" t="s">
        <v>99</v>
      </c>
      <c r="J18" t="s">
        <v>43</v>
      </c>
      <c r="K18" t="s">
        <v>78</v>
      </c>
      <c r="L18" t="s">
        <v>44</v>
      </c>
      <c r="M18" s="46">
        <v>13000</v>
      </c>
      <c r="N18">
        <v>0.104</v>
      </c>
      <c r="O18">
        <v>0.6</v>
      </c>
      <c r="P18" t="s">
        <v>79</v>
      </c>
      <c r="R18">
        <v>153</v>
      </c>
      <c r="S18">
        <v>970.63</v>
      </c>
      <c r="T18">
        <f>Deals_[[#This Row],[Amount]]*Deals_[[#This Row],[Probability_Pct]]</f>
        <v>7800</v>
      </c>
    </row>
    <row r="19" spans="1:20" x14ac:dyDescent="0.2">
      <c r="A19" t="s">
        <v>104</v>
      </c>
      <c r="B19" s="7">
        <v>45948</v>
      </c>
      <c r="C19" s="7">
        <v>45998</v>
      </c>
      <c r="D19" t="s">
        <v>105</v>
      </c>
      <c r="E19" t="s">
        <v>68</v>
      </c>
      <c r="F19" t="s">
        <v>22</v>
      </c>
      <c r="G19" t="s">
        <v>34</v>
      </c>
      <c r="H19" t="s">
        <v>69</v>
      </c>
      <c r="I19" t="s">
        <v>35</v>
      </c>
      <c r="J19" t="s">
        <v>85</v>
      </c>
      <c r="K19" t="s">
        <v>106</v>
      </c>
      <c r="L19" t="s">
        <v>44</v>
      </c>
      <c r="M19" s="46">
        <v>60000</v>
      </c>
      <c r="N19">
        <v>0.247</v>
      </c>
      <c r="O19">
        <v>0.2</v>
      </c>
      <c r="P19" t="s">
        <v>38</v>
      </c>
      <c r="R19">
        <v>50</v>
      </c>
      <c r="S19">
        <v>3766.95</v>
      </c>
      <c r="T19">
        <f>Deals_[[#This Row],[Amount]]*Deals_[[#This Row],[Probability_Pct]]</f>
        <v>12000</v>
      </c>
    </row>
    <row r="20" spans="1:20" x14ac:dyDescent="0.2">
      <c r="A20" t="s">
        <v>107</v>
      </c>
      <c r="B20" s="7">
        <v>46087</v>
      </c>
      <c r="C20" s="7">
        <v>46237</v>
      </c>
      <c r="D20" t="s">
        <v>108</v>
      </c>
      <c r="E20" t="s">
        <v>62</v>
      </c>
      <c r="F20" t="s">
        <v>74</v>
      </c>
      <c r="G20" t="s">
        <v>23</v>
      </c>
      <c r="H20" t="s">
        <v>41</v>
      </c>
      <c r="I20" t="s">
        <v>35</v>
      </c>
      <c r="J20" t="s">
        <v>43</v>
      </c>
      <c r="K20" t="s">
        <v>50</v>
      </c>
      <c r="L20" t="s">
        <v>51</v>
      </c>
      <c r="M20" s="46">
        <v>270200</v>
      </c>
      <c r="N20">
        <v>0.24199999999999999</v>
      </c>
      <c r="O20">
        <v>1</v>
      </c>
      <c r="P20" t="s">
        <v>29</v>
      </c>
      <c r="R20">
        <v>150</v>
      </c>
      <c r="S20">
        <v>17074.919999999998</v>
      </c>
      <c r="T20">
        <f>Deals_[[#This Row],[Amount]]*Deals_[[#This Row],[Probability_Pct]]</f>
        <v>270200</v>
      </c>
    </row>
    <row r="21" spans="1:20" x14ac:dyDescent="0.2">
      <c r="A21" t="s">
        <v>109</v>
      </c>
      <c r="B21" s="7">
        <v>45983</v>
      </c>
      <c r="C21" s="7">
        <v>46033</v>
      </c>
      <c r="D21" t="s">
        <v>110</v>
      </c>
      <c r="E21" t="s">
        <v>111</v>
      </c>
      <c r="F21" t="s">
        <v>48</v>
      </c>
      <c r="G21" t="s">
        <v>92</v>
      </c>
      <c r="H21" t="s">
        <v>41</v>
      </c>
      <c r="I21" t="s">
        <v>65</v>
      </c>
      <c r="J21" t="s">
        <v>36</v>
      </c>
      <c r="K21" t="s">
        <v>58</v>
      </c>
      <c r="L21" t="s">
        <v>28</v>
      </c>
      <c r="M21" s="46">
        <v>12200</v>
      </c>
      <c r="N21">
        <v>0</v>
      </c>
      <c r="O21">
        <v>0.8</v>
      </c>
      <c r="P21" t="s">
        <v>59</v>
      </c>
      <c r="R21">
        <v>50</v>
      </c>
      <c r="S21">
        <v>1016.67</v>
      </c>
      <c r="T21">
        <f>Deals_[[#This Row],[Amount]]*Deals_[[#This Row],[Probability_Pct]]</f>
        <v>9760</v>
      </c>
    </row>
    <row r="22" spans="1:20" x14ac:dyDescent="0.2">
      <c r="A22" t="s">
        <v>112</v>
      </c>
      <c r="B22" s="7">
        <v>46183</v>
      </c>
      <c r="C22" s="7">
        <v>46265</v>
      </c>
      <c r="D22" t="s">
        <v>113</v>
      </c>
      <c r="E22" t="s">
        <v>62</v>
      </c>
      <c r="F22" t="s">
        <v>22</v>
      </c>
      <c r="G22" t="s">
        <v>55</v>
      </c>
      <c r="H22" t="s">
        <v>56</v>
      </c>
      <c r="I22" t="s">
        <v>35</v>
      </c>
      <c r="J22" t="s">
        <v>26</v>
      </c>
      <c r="K22" t="s">
        <v>88</v>
      </c>
      <c r="L22" t="s">
        <v>44</v>
      </c>
      <c r="M22" s="46">
        <v>29200</v>
      </c>
      <c r="N22">
        <v>6.6000000000000003E-2</v>
      </c>
      <c r="O22">
        <v>0.35</v>
      </c>
      <c r="P22" t="s">
        <v>38</v>
      </c>
      <c r="R22">
        <v>82</v>
      </c>
      <c r="S22">
        <v>2273.5300000000002</v>
      </c>
      <c r="T22">
        <f>Deals_[[#This Row],[Amount]]*Deals_[[#This Row],[Probability_Pct]]</f>
        <v>10220</v>
      </c>
    </row>
    <row r="23" spans="1:20" x14ac:dyDescent="0.2">
      <c r="A23" t="s">
        <v>114</v>
      </c>
      <c r="B23" s="7">
        <v>46276</v>
      </c>
      <c r="C23" s="7">
        <v>46313</v>
      </c>
      <c r="D23" t="s">
        <v>115</v>
      </c>
      <c r="E23" t="s">
        <v>91</v>
      </c>
      <c r="F23" t="s">
        <v>48</v>
      </c>
      <c r="G23" t="s">
        <v>63</v>
      </c>
      <c r="H23" t="s">
        <v>69</v>
      </c>
      <c r="I23" t="s">
        <v>42</v>
      </c>
      <c r="J23" t="s">
        <v>57</v>
      </c>
      <c r="K23" t="s">
        <v>78</v>
      </c>
      <c r="L23" t="s">
        <v>44</v>
      </c>
      <c r="M23" s="46">
        <v>17000</v>
      </c>
      <c r="N23">
        <v>0.17399999999999999</v>
      </c>
      <c r="O23">
        <v>0.6</v>
      </c>
      <c r="P23" t="s">
        <v>79</v>
      </c>
      <c r="R23">
        <v>37</v>
      </c>
      <c r="S23">
        <v>1169.71</v>
      </c>
      <c r="T23">
        <f>Deals_[[#This Row],[Amount]]*Deals_[[#This Row],[Probability_Pct]]</f>
        <v>10200</v>
      </c>
    </row>
    <row r="24" spans="1:20" x14ac:dyDescent="0.2">
      <c r="A24" t="s">
        <v>116</v>
      </c>
      <c r="B24" s="7">
        <v>45994</v>
      </c>
      <c r="C24" s="7">
        <v>46050</v>
      </c>
      <c r="D24" t="s">
        <v>117</v>
      </c>
      <c r="E24" t="s">
        <v>54</v>
      </c>
      <c r="F24" t="s">
        <v>48</v>
      </c>
      <c r="G24" t="s">
        <v>23</v>
      </c>
      <c r="H24" t="s">
        <v>24</v>
      </c>
      <c r="I24" t="s">
        <v>42</v>
      </c>
      <c r="J24" t="s">
        <v>57</v>
      </c>
      <c r="K24" t="s">
        <v>58</v>
      </c>
      <c r="L24" t="s">
        <v>28</v>
      </c>
      <c r="M24" s="46">
        <v>19700</v>
      </c>
      <c r="N24">
        <v>0.191</v>
      </c>
      <c r="O24">
        <v>0.75</v>
      </c>
      <c r="P24" t="s">
        <v>59</v>
      </c>
      <c r="R24">
        <v>56</v>
      </c>
      <c r="S24">
        <v>1328.36</v>
      </c>
      <c r="T24">
        <f>Deals_[[#This Row],[Amount]]*Deals_[[#This Row],[Probability_Pct]]</f>
        <v>14775</v>
      </c>
    </row>
    <row r="25" spans="1:20" x14ac:dyDescent="0.2">
      <c r="A25" t="s">
        <v>118</v>
      </c>
      <c r="B25" s="7">
        <v>46137</v>
      </c>
      <c r="C25" s="7">
        <v>46165</v>
      </c>
      <c r="D25" t="s">
        <v>119</v>
      </c>
      <c r="E25" t="s">
        <v>68</v>
      </c>
      <c r="F25" t="s">
        <v>48</v>
      </c>
      <c r="G25" t="s">
        <v>63</v>
      </c>
      <c r="H25" t="s">
        <v>120</v>
      </c>
      <c r="I25" t="s">
        <v>35</v>
      </c>
      <c r="J25" t="s">
        <v>36</v>
      </c>
      <c r="K25" t="s">
        <v>50</v>
      </c>
      <c r="L25" t="s">
        <v>51</v>
      </c>
      <c r="M25" s="46">
        <v>6100</v>
      </c>
      <c r="N25">
        <v>0.109</v>
      </c>
      <c r="O25">
        <v>1</v>
      </c>
      <c r="P25" t="s">
        <v>29</v>
      </c>
      <c r="R25">
        <v>28</v>
      </c>
      <c r="S25">
        <v>452.79</v>
      </c>
      <c r="T25">
        <f>Deals_[[#This Row],[Amount]]*Deals_[[#This Row],[Probability_Pct]]</f>
        <v>6100</v>
      </c>
    </row>
    <row r="26" spans="1:20" x14ac:dyDescent="0.2">
      <c r="A26" t="s">
        <v>121</v>
      </c>
      <c r="B26" s="7">
        <v>46031</v>
      </c>
      <c r="C26" s="7">
        <v>46118</v>
      </c>
      <c r="D26" t="s">
        <v>122</v>
      </c>
      <c r="E26" t="s">
        <v>82</v>
      </c>
      <c r="F26" t="s">
        <v>48</v>
      </c>
      <c r="G26" t="s">
        <v>63</v>
      </c>
      <c r="H26" t="s">
        <v>69</v>
      </c>
      <c r="I26" t="s">
        <v>25</v>
      </c>
      <c r="J26" t="s">
        <v>43</v>
      </c>
      <c r="K26" t="s">
        <v>50</v>
      </c>
      <c r="L26" t="s">
        <v>28</v>
      </c>
      <c r="M26" s="46">
        <v>27900</v>
      </c>
      <c r="N26">
        <v>6.0000000000000001E-3</v>
      </c>
      <c r="O26">
        <v>1</v>
      </c>
      <c r="P26" t="s">
        <v>29</v>
      </c>
      <c r="R26">
        <v>87</v>
      </c>
      <c r="S26">
        <v>2310.19</v>
      </c>
      <c r="T26">
        <f>Deals_[[#This Row],[Amount]]*Deals_[[#This Row],[Probability_Pct]]</f>
        <v>27900</v>
      </c>
    </row>
    <row r="27" spans="1:20" x14ac:dyDescent="0.2">
      <c r="A27" t="s">
        <v>123</v>
      </c>
      <c r="B27" s="7">
        <v>46099</v>
      </c>
      <c r="C27" s="7">
        <v>46137</v>
      </c>
      <c r="D27" t="s">
        <v>90</v>
      </c>
      <c r="E27" t="s">
        <v>62</v>
      </c>
      <c r="F27" t="s">
        <v>22</v>
      </c>
      <c r="G27" t="s">
        <v>34</v>
      </c>
      <c r="H27" t="s">
        <v>83</v>
      </c>
      <c r="I27" t="s">
        <v>65</v>
      </c>
      <c r="J27" t="s">
        <v>26</v>
      </c>
      <c r="K27" t="s">
        <v>106</v>
      </c>
      <c r="L27" t="s">
        <v>44</v>
      </c>
      <c r="M27" s="46">
        <v>35200</v>
      </c>
      <c r="N27">
        <v>0.21199999999999999</v>
      </c>
      <c r="O27">
        <v>0.2</v>
      </c>
      <c r="P27" t="s">
        <v>38</v>
      </c>
      <c r="R27">
        <v>38</v>
      </c>
      <c r="S27">
        <v>2312.91</v>
      </c>
      <c r="T27">
        <f>Deals_[[#This Row],[Amount]]*Deals_[[#This Row],[Probability_Pct]]</f>
        <v>7040</v>
      </c>
    </row>
    <row r="28" spans="1:20" x14ac:dyDescent="0.2">
      <c r="A28" t="s">
        <v>124</v>
      </c>
      <c r="B28" s="7">
        <v>46258</v>
      </c>
      <c r="C28" s="7">
        <v>46277</v>
      </c>
      <c r="D28" t="s">
        <v>125</v>
      </c>
      <c r="E28" t="s">
        <v>62</v>
      </c>
      <c r="F28" t="s">
        <v>48</v>
      </c>
      <c r="G28" t="s">
        <v>63</v>
      </c>
      <c r="H28" t="s">
        <v>98</v>
      </c>
      <c r="I28" t="s">
        <v>84</v>
      </c>
      <c r="J28" t="s">
        <v>57</v>
      </c>
      <c r="K28" t="s">
        <v>27</v>
      </c>
      <c r="L28" t="s">
        <v>28</v>
      </c>
      <c r="M28" s="46">
        <v>13200</v>
      </c>
      <c r="N28">
        <v>0.16200000000000001</v>
      </c>
      <c r="O28">
        <v>0</v>
      </c>
      <c r="P28" t="s">
        <v>29</v>
      </c>
      <c r="Q28" t="s">
        <v>126</v>
      </c>
      <c r="R28">
        <v>19</v>
      </c>
      <c r="S28">
        <v>921.48</v>
      </c>
      <c r="T28">
        <f>Deals_[[#This Row],[Amount]]*Deals_[[#This Row],[Probability_Pct]]</f>
        <v>0</v>
      </c>
    </row>
    <row r="29" spans="1:20" x14ac:dyDescent="0.2">
      <c r="A29" t="s">
        <v>127</v>
      </c>
      <c r="B29" s="7">
        <v>45987</v>
      </c>
      <c r="C29" s="7">
        <v>46027</v>
      </c>
      <c r="D29" t="s">
        <v>128</v>
      </c>
      <c r="E29" t="s">
        <v>91</v>
      </c>
      <c r="F29" t="s">
        <v>48</v>
      </c>
      <c r="G29" t="s">
        <v>63</v>
      </c>
      <c r="H29" t="s">
        <v>120</v>
      </c>
      <c r="I29" t="s">
        <v>84</v>
      </c>
      <c r="J29" t="s">
        <v>43</v>
      </c>
      <c r="K29" t="s">
        <v>88</v>
      </c>
      <c r="L29" t="s">
        <v>28</v>
      </c>
      <c r="M29" s="46">
        <v>22400</v>
      </c>
      <c r="N29">
        <v>0.20799999999999999</v>
      </c>
      <c r="O29">
        <v>0.35</v>
      </c>
      <c r="P29" t="s">
        <v>38</v>
      </c>
      <c r="R29">
        <v>40</v>
      </c>
      <c r="S29">
        <v>1479.05</v>
      </c>
      <c r="T29">
        <f>Deals_[[#This Row],[Amount]]*Deals_[[#This Row],[Probability_Pct]]</f>
        <v>7839.9999999999991</v>
      </c>
    </row>
    <row r="30" spans="1:20" x14ac:dyDescent="0.2">
      <c r="A30" t="s">
        <v>129</v>
      </c>
      <c r="B30" s="7">
        <v>46095</v>
      </c>
      <c r="C30" s="7">
        <v>46220</v>
      </c>
      <c r="D30" t="s">
        <v>130</v>
      </c>
      <c r="E30" t="s">
        <v>68</v>
      </c>
      <c r="F30" t="s">
        <v>48</v>
      </c>
      <c r="G30" t="s">
        <v>55</v>
      </c>
      <c r="H30" t="s">
        <v>95</v>
      </c>
      <c r="I30" t="s">
        <v>65</v>
      </c>
      <c r="J30" t="s">
        <v>36</v>
      </c>
      <c r="K30" t="s">
        <v>58</v>
      </c>
      <c r="L30" t="s">
        <v>51</v>
      </c>
      <c r="M30" s="46">
        <v>10200</v>
      </c>
      <c r="N30">
        <v>0.115</v>
      </c>
      <c r="O30">
        <v>0.7</v>
      </c>
      <c r="P30" t="s">
        <v>59</v>
      </c>
      <c r="R30">
        <v>125</v>
      </c>
      <c r="S30">
        <v>752.61</v>
      </c>
      <c r="T30">
        <f>Deals_[[#This Row],[Amount]]*Deals_[[#This Row],[Probability_Pct]]</f>
        <v>7140</v>
      </c>
    </row>
    <row r="31" spans="1:20" x14ac:dyDescent="0.2">
      <c r="A31" t="s">
        <v>131</v>
      </c>
      <c r="B31" s="7">
        <v>46082</v>
      </c>
      <c r="C31" s="7">
        <v>46209</v>
      </c>
      <c r="D31" t="s">
        <v>132</v>
      </c>
      <c r="E31" t="s">
        <v>82</v>
      </c>
      <c r="F31" t="s">
        <v>22</v>
      </c>
      <c r="G31" t="s">
        <v>92</v>
      </c>
      <c r="H31" t="s">
        <v>98</v>
      </c>
      <c r="I31" t="s">
        <v>25</v>
      </c>
      <c r="J31" t="s">
        <v>43</v>
      </c>
      <c r="K31" t="s">
        <v>50</v>
      </c>
      <c r="L31" t="s">
        <v>28</v>
      </c>
      <c r="M31" s="46">
        <v>42200</v>
      </c>
      <c r="N31">
        <v>0.19700000000000001</v>
      </c>
      <c r="O31">
        <v>1</v>
      </c>
      <c r="P31" t="s">
        <v>29</v>
      </c>
      <c r="R31">
        <v>127</v>
      </c>
      <c r="S31">
        <v>2823.01</v>
      </c>
      <c r="T31">
        <f>Deals_[[#This Row],[Amount]]*Deals_[[#This Row],[Probability_Pct]]</f>
        <v>42200</v>
      </c>
    </row>
    <row r="32" spans="1:20" x14ac:dyDescent="0.2">
      <c r="A32" t="s">
        <v>133</v>
      </c>
      <c r="B32" s="7">
        <v>46151</v>
      </c>
      <c r="C32" s="7">
        <v>46240</v>
      </c>
      <c r="D32" t="s">
        <v>134</v>
      </c>
      <c r="E32" t="s">
        <v>91</v>
      </c>
      <c r="F32" t="s">
        <v>48</v>
      </c>
      <c r="G32" t="s">
        <v>55</v>
      </c>
      <c r="H32" t="s">
        <v>95</v>
      </c>
      <c r="I32" t="s">
        <v>99</v>
      </c>
      <c r="J32" t="s">
        <v>43</v>
      </c>
      <c r="K32" t="s">
        <v>106</v>
      </c>
      <c r="L32" t="s">
        <v>44</v>
      </c>
      <c r="M32" s="46">
        <v>28500</v>
      </c>
      <c r="N32">
        <v>0.187</v>
      </c>
      <c r="O32">
        <v>0.2</v>
      </c>
      <c r="P32" t="s">
        <v>38</v>
      </c>
      <c r="R32">
        <v>89</v>
      </c>
      <c r="S32">
        <v>1930.72</v>
      </c>
      <c r="T32">
        <f>Deals_[[#This Row],[Amount]]*Deals_[[#This Row],[Probability_Pct]]</f>
        <v>5700</v>
      </c>
    </row>
    <row r="33" spans="1:20" x14ac:dyDescent="0.2">
      <c r="A33" t="s">
        <v>135</v>
      </c>
      <c r="B33" s="7">
        <v>45967</v>
      </c>
      <c r="C33" s="7">
        <v>46042</v>
      </c>
      <c r="D33" t="s">
        <v>136</v>
      </c>
      <c r="E33" t="s">
        <v>111</v>
      </c>
      <c r="F33" t="s">
        <v>22</v>
      </c>
      <c r="G33" t="s">
        <v>55</v>
      </c>
      <c r="H33" t="s">
        <v>137</v>
      </c>
      <c r="I33" t="s">
        <v>35</v>
      </c>
      <c r="J33" t="s">
        <v>26</v>
      </c>
      <c r="K33" t="s">
        <v>88</v>
      </c>
      <c r="L33" t="s">
        <v>51</v>
      </c>
      <c r="M33" s="46">
        <v>63800</v>
      </c>
      <c r="N33">
        <v>4.1000000000000002E-2</v>
      </c>
      <c r="O33">
        <v>0.35</v>
      </c>
      <c r="P33" t="s">
        <v>38</v>
      </c>
      <c r="R33">
        <v>75</v>
      </c>
      <c r="S33">
        <v>5101.13</v>
      </c>
      <c r="T33">
        <f>Deals_[[#This Row],[Amount]]*Deals_[[#This Row],[Probability_Pct]]</f>
        <v>22330</v>
      </c>
    </row>
    <row r="34" spans="1:20" x14ac:dyDescent="0.2">
      <c r="A34" t="s">
        <v>138</v>
      </c>
      <c r="B34" s="7">
        <v>46108</v>
      </c>
      <c r="C34" s="7">
        <v>46232</v>
      </c>
      <c r="D34" t="s">
        <v>139</v>
      </c>
      <c r="E34" t="s">
        <v>21</v>
      </c>
      <c r="F34" t="s">
        <v>48</v>
      </c>
      <c r="G34" t="s">
        <v>92</v>
      </c>
      <c r="H34" t="s">
        <v>69</v>
      </c>
      <c r="I34" t="s">
        <v>99</v>
      </c>
      <c r="J34" t="s">
        <v>43</v>
      </c>
      <c r="K34" t="s">
        <v>88</v>
      </c>
      <c r="L34" t="s">
        <v>44</v>
      </c>
      <c r="M34" s="46">
        <v>17500</v>
      </c>
      <c r="N34">
        <v>0.123</v>
      </c>
      <c r="O34">
        <v>0.4</v>
      </c>
      <c r="P34" t="s">
        <v>38</v>
      </c>
      <c r="R34">
        <v>124</v>
      </c>
      <c r="S34">
        <v>1279.1199999999999</v>
      </c>
      <c r="T34">
        <f>Deals_[[#This Row],[Amount]]*Deals_[[#This Row],[Probability_Pct]]</f>
        <v>7000</v>
      </c>
    </row>
    <row r="35" spans="1:20" x14ac:dyDescent="0.2">
      <c r="A35" t="s">
        <v>140</v>
      </c>
      <c r="B35" s="7">
        <v>46110</v>
      </c>
      <c r="C35" s="7">
        <v>46218</v>
      </c>
      <c r="D35" t="s">
        <v>141</v>
      </c>
      <c r="E35" t="s">
        <v>111</v>
      </c>
      <c r="F35" t="s">
        <v>48</v>
      </c>
      <c r="G35" t="s">
        <v>55</v>
      </c>
      <c r="H35" t="s">
        <v>24</v>
      </c>
      <c r="I35" t="s">
        <v>84</v>
      </c>
      <c r="J35" t="s">
        <v>36</v>
      </c>
      <c r="K35" t="s">
        <v>37</v>
      </c>
      <c r="L35" t="s">
        <v>44</v>
      </c>
      <c r="M35" s="46">
        <v>7900</v>
      </c>
      <c r="N35">
        <v>0.252</v>
      </c>
      <c r="O35">
        <v>0.05</v>
      </c>
      <c r="P35" t="s">
        <v>38</v>
      </c>
      <c r="R35">
        <v>108</v>
      </c>
      <c r="S35">
        <v>492.76</v>
      </c>
      <c r="T35">
        <f>Deals_[[#This Row],[Amount]]*Deals_[[#This Row],[Probability_Pct]]</f>
        <v>395</v>
      </c>
    </row>
    <row r="36" spans="1:20" x14ac:dyDescent="0.2">
      <c r="A36" t="s">
        <v>142</v>
      </c>
      <c r="B36" s="7">
        <v>46206</v>
      </c>
      <c r="C36" s="7">
        <v>46246</v>
      </c>
      <c r="D36" t="s">
        <v>143</v>
      </c>
      <c r="E36" t="s">
        <v>91</v>
      </c>
      <c r="F36" t="s">
        <v>74</v>
      </c>
      <c r="G36" t="s">
        <v>92</v>
      </c>
      <c r="H36" t="s">
        <v>56</v>
      </c>
      <c r="I36" t="s">
        <v>42</v>
      </c>
      <c r="J36" t="s">
        <v>36</v>
      </c>
      <c r="K36" t="s">
        <v>37</v>
      </c>
      <c r="L36" t="s">
        <v>44</v>
      </c>
      <c r="M36" s="46">
        <v>233200</v>
      </c>
      <c r="N36">
        <v>0.20399999999999999</v>
      </c>
      <c r="O36">
        <v>0.1</v>
      </c>
      <c r="P36" t="s">
        <v>38</v>
      </c>
      <c r="R36">
        <v>40</v>
      </c>
      <c r="S36">
        <v>15462.21</v>
      </c>
      <c r="T36">
        <f>Deals_[[#This Row],[Amount]]*Deals_[[#This Row],[Probability_Pct]]</f>
        <v>23320</v>
      </c>
    </row>
    <row r="37" spans="1:20" x14ac:dyDescent="0.2">
      <c r="A37" t="s">
        <v>144</v>
      </c>
      <c r="B37" s="7">
        <v>46076</v>
      </c>
      <c r="C37" s="7">
        <v>46208</v>
      </c>
      <c r="D37" t="s">
        <v>145</v>
      </c>
      <c r="E37" t="s">
        <v>54</v>
      </c>
      <c r="F37" t="s">
        <v>48</v>
      </c>
      <c r="G37" t="s">
        <v>23</v>
      </c>
      <c r="H37" t="s">
        <v>49</v>
      </c>
      <c r="I37" t="s">
        <v>35</v>
      </c>
      <c r="J37" t="s">
        <v>26</v>
      </c>
      <c r="K37" t="s">
        <v>37</v>
      </c>
      <c r="L37" t="s">
        <v>51</v>
      </c>
      <c r="M37" s="46">
        <v>20100</v>
      </c>
      <c r="N37">
        <v>6.8000000000000005E-2</v>
      </c>
      <c r="O37">
        <v>0.1</v>
      </c>
      <c r="P37" t="s">
        <v>38</v>
      </c>
      <c r="R37">
        <v>132</v>
      </c>
      <c r="S37">
        <v>1561.84</v>
      </c>
      <c r="T37">
        <f>Deals_[[#This Row],[Amount]]*Deals_[[#This Row],[Probability_Pct]]</f>
        <v>2010</v>
      </c>
    </row>
    <row r="38" spans="1:20" x14ac:dyDescent="0.2">
      <c r="A38" t="s">
        <v>146</v>
      </c>
      <c r="B38" s="7">
        <v>46221</v>
      </c>
      <c r="C38" s="7">
        <v>46277</v>
      </c>
      <c r="D38" t="s">
        <v>147</v>
      </c>
      <c r="E38" t="s">
        <v>68</v>
      </c>
      <c r="F38" t="s">
        <v>48</v>
      </c>
      <c r="G38" t="s">
        <v>92</v>
      </c>
      <c r="H38" t="s">
        <v>41</v>
      </c>
      <c r="I38" t="s">
        <v>42</v>
      </c>
      <c r="J38" t="s">
        <v>26</v>
      </c>
      <c r="K38" t="s">
        <v>50</v>
      </c>
      <c r="L38" t="s">
        <v>51</v>
      </c>
      <c r="M38" s="46">
        <v>16300</v>
      </c>
      <c r="N38">
        <v>0.16600000000000001</v>
      </c>
      <c r="O38">
        <v>1</v>
      </c>
      <c r="P38" t="s">
        <v>29</v>
      </c>
      <c r="R38">
        <v>56</v>
      </c>
      <c r="S38">
        <v>1133.3699999999999</v>
      </c>
      <c r="T38">
        <f>Deals_[[#This Row],[Amount]]*Deals_[[#This Row],[Probability_Pct]]</f>
        <v>16300</v>
      </c>
    </row>
    <row r="39" spans="1:20" x14ac:dyDescent="0.2">
      <c r="A39" t="s">
        <v>148</v>
      </c>
      <c r="B39" s="7">
        <v>46238</v>
      </c>
      <c r="C39" s="7">
        <v>46273</v>
      </c>
      <c r="D39" t="s">
        <v>149</v>
      </c>
      <c r="E39" t="s">
        <v>111</v>
      </c>
      <c r="F39" t="s">
        <v>22</v>
      </c>
      <c r="G39" t="s">
        <v>92</v>
      </c>
      <c r="H39" t="s">
        <v>83</v>
      </c>
      <c r="I39" t="s">
        <v>25</v>
      </c>
      <c r="J39" t="s">
        <v>43</v>
      </c>
      <c r="K39" t="s">
        <v>27</v>
      </c>
      <c r="L39" t="s">
        <v>44</v>
      </c>
      <c r="M39" s="46">
        <v>53200</v>
      </c>
      <c r="N39">
        <v>6.0999999999999999E-2</v>
      </c>
      <c r="O39">
        <v>0</v>
      </c>
      <c r="P39" t="s">
        <v>29</v>
      </c>
      <c r="Q39" t="s">
        <v>126</v>
      </c>
      <c r="R39">
        <v>35</v>
      </c>
      <c r="S39">
        <v>4163.2299999999996</v>
      </c>
      <c r="T39">
        <f>Deals_[[#This Row],[Amount]]*Deals_[[#This Row],[Probability_Pct]]</f>
        <v>0</v>
      </c>
    </row>
    <row r="40" spans="1:20" x14ac:dyDescent="0.2">
      <c r="A40" t="s">
        <v>150</v>
      </c>
      <c r="B40" s="7">
        <v>46133</v>
      </c>
      <c r="C40" s="7">
        <v>46195</v>
      </c>
      <c r="D40" t="s">
        <v>151</v>
      </c>
      <c r="E40" t="s">
        <v>54</v>
      </c>
      <c r="F40" t="s">
        <v>48</v>
      </c>
      <c r="G40" t="s">
        <v>92</v>
      </c>
      <c r="H40" t="s">
        <v>77</v>
      </c>
      <c r="I40" t="s">
        <v>25</v>
      </c>
      <c r="J40" t="s">
        <v>26</v>
      </c>
      <c r="K40" t="s">
        <v>27</v>
      </c>
      <c r="L40" t="s">
        <v>51</v>
      </c>
      <c r="M40" s="46">
        <v>19100</v>
      </c>
      <c r="N40">
        <v>0.12</v>
      </c>
      <c r="O40">
        <v>0</v>
      </c>
      <c r="P40" t="s">
        <v>29</v>
      </c>
      <c r="Q40" t="s">
        <v>152</v>
      </c>
      <c r="R40">
        <v>62</v>
      </c>
      <c r="S40">
        <v>1401.26</v>
      </c>
      <c r="T40">
        <f>Deals_[[#This Row],[Amount]]*Deals_[[#This Row],[Probability_Pct]]</f>
        <v>0</v>
      </c>
    </row>
    <row r="41" spans="1:20" x14ac:dyDescent="0.2">
      <c r="A41" t="s">
        <v>153</v>
      </c>
      <c r="B41" s="7">
        <v>46204</v>
      </c>
      <c r="C41" s="7">
        <v>46243</v>
      </c>
      <c r="D41" t="s">
        <v>154</v>
      </c>
      <c r="E41" t="s">
        <v>33</v>
      </c>
      <c r="F41" t="s">
        <v>48</v>
      </c>
      <c r="G41" t="s">
        <v>92</v>
      </c>
      <c r="H41" t="s">
        <v>120</v>
      </c>
      <c r="I41" t="s">
        <v>25</v>
      </c>
      <c r="J41" t="s">
        <v>26</v>
      </c>
      <c r="K41" t="s">
        <v>37</v>
      </c>
      <c r="L41" t="s">
        <v>28</v>
      </c>
      <c r="M41" s="46">
        <v>21400</v>
      </c>
      <c r="N41">
        <v>5.8999999999999997E-2</v>
      </c>
      <c r="O41">
        <v>0.1</v>
      </c>
      <c r="P41" t="s">
        <v>38</v>
      </c>
      <c r="R41">
        <v>39</v>
      </c>
      <c r="S41">
        <v>1678.94</v>
      </c>
      <c r="T41">
        <f>Deals_[[#This Row],[Amount]]*Deals_[[#This Row],[Probability_Pct]]</f>
        <v>2140</v>
      </c>
    </row>
    <row r="42" spans="1:20" x14ac:dyDescent="0.2">
      <c r="A42" t="s">
        <v>155</v>
      </c>
      <c r="B42" s="7">
        <v>46074</v>
      </c>
      <c r="C42" s="7">
        <v>46148</v>
      </c>
      <c r="D42" t="s">
        <v>97</v>
      </c>
      <c r="E42" t="s">
        <v>82</v>
      </c>
      <c r="F42" t="s">
        <v>48</v>
      </c>
      <c r="G42" t="s">
        <v>63</v>
      </c>
      <c r="H42" t="s">
        <v>120</v>
      </c>
      <c r="I42" t="s">
        <v>42</v>
      </c>
      <c r="J42" t="s">
        <v>43</v>
      </c>
      <c r="K42" t="s">
        <v>50</v>
      </c>
      <c r="L42" t="s">
        <v>51</v>
      </c>
      <c r="M42" s="46">
        <v>23200</v>
      </c>
      <c r="N42">
        <v>0</v>
      </c>
      <c r="O42">
        <v>1</v>
      </c>
      <c r="P42" t="s">
        <v>29</v>
      </c>
      <c r="R42">
        <v>74</v>
      </c>
      <c r="S42">
        <v>1933.33</v>
      </c>
      <c r="T42">
        <f>Deals_[[#This Row],[Amount]]*Deals_[[#This Row],[Probability_Pct]]</f>
        <v>23200</v>
      </c>
    </row>
    <row r="43" spans="1:20" x14ac:dyDescent="0.2">
      <c r="A43" t="s">
        <v>156</v>
      </c>
      <c r="B43" s="7">
        <v>46248</v>
      </c>
      <c r="C43" s="7">
        <v>46328</v>
      </c>
      <c r="D43" t="s">
        <v>157</v>
      </c>
      <c r="E43" t="s">
        <v>82</v>
      </c>
      <c r="F43" t="s">
        <v>48</v>
      </c>
      <c r="G43" t="s">
        <v>63</v>
      </c>
      <c r="H43" t="s">
        <v>41</v>
      </c>
      <c r="I43" t="s">
        <v>84</v>
      </c>
      <c r="J43" t="s">
        <v>26</v>
      </c>
      <c r="K43" t="s">
        <v>37</v>
      </c>
      <c r="L43" t="s">
        <v>28</v>
      </c>
      <c r="M43" s="46">
        <v>26500</v>
      </c>
      <c r="N43">
        <v>0.157</v>
      </c>
      <c r="O43">
        <v>0.1</v>
      </c>
      <c r="P43" t="s">
        <v>38</v>
      </c>
      <c r="R43">
        <v>80</v>
      </c>
      <c r="S43">
        <v>1861.38</v>
      </c>
      <c r="T43">
        <f>Deals_[[#This Row],[Amount]]*Deals_[[#This Row],[Probability_Pct]]</f>
        <v>2650</v>
      </c>
    </row>
    <row r="44" spans="1:20" x14ac:dyDescent="0.2">
      <c r="A44" t="s">
        <v>158</v>
      </c>
      <c r="B44" s="7">
        <v>46017</v>
      </c>
      <c r="C44" s="7">
        <v>46089</v>
      </c>
      <c r="D44" t="s">
        <v>159</v>
      </c>
      <c r="E44" t="s">
        <v>91</v>
      </c>
      <c r="F44" t="s">
        <v>48</v>
      </c>
      <c r="G44" t="s">
        <v>23</v>
      </c>
      <c r="H44" t="s">
        <v>24</v>
      </c>
      <c r="I44" t="s">
        <v>42</v>
      </c>
      <c r="J44" t="s">
        <v>26</v>
      </c>
      <c r="K44" t="s">
        <v>78</v>
      </c>
      <c r="L44" t="s">
        <v>28</v>
      </c>
      <c r="M44" s="46">
        <v>9200</v>
      </c>
      <c r="N44">
        <v>0.08</v>
      </c>
      <c r="O44">
        <v>0.55000000000000004</v>
      </c>
      <c r="P44" t="s">
        <v>79</v>
      </c>
      <c r="R44">
        <v>72</v>
      </c>
      <c r="S44">
        <v>704.97</v>
      </c>
      <c r="T44">
        <f>Deals_[[#This Row],[Amount]]*Deals_[[#This Row],[Probability_Pct]]</f>
        <v>5060</v>
      </c>
    </row>
    <row r="45" spans="1:20" x14ac:dyDescent="0.2">
      <c r="A45" t="s">
        <v>160</v>
      </c>
      <c r="B45" s="7">
        <v>46214</v>
      </c>
      <c r="C45" s="7">
        <v>46289</v>
      </c>
      <c r="D45" t="s">
        <v>161</v>
      </c>
      <c r="E45" t="s">
        <v>21</v>
      </c>
      <c r="F45" t="s">
        <v>74</v>
      </c>
      <c r="G45" t="s">
        <v>55</v>
      </c>
      <c r="H45" t="s">
        <v>95</v>
      </c>
      <c r="I45" t="s">
        <v>65</v>
      </c>
      <c r="J45" t="s">
        <v>26</v>
      </c>
      <c r="K45" t="s">
        <v>78</v>
      </c>
      <c r="L45" t="s">
        <v>51</v>
      </c>
      <c r="M45" s="46">
        <v>119000</v>
      </c>
      <c r="N45">
        <v>6.5000000000000002E-2</v>
      </c>
      <c r="O45">
        <v>0.6</v>
      </c>
      <c r="P45" t="s">
        <v>79</v>
      </c>
      <c r="R45">
        <v>75</v>
      </c>
      <c r="S45">
        <v>9269.6299999999992</v>
      </c>
      <c r="T45">
        <f>Deals_[[#This Row],[Amount]]*Deals_[[#This Row],[Probability_Pct]]</f>
        <v>71400</v>
      </c>
    </row>
    <row r="46" spans="1:20" x14ac:dyDescent="0.2">
      <c r="A46" t="s">
        <v>162</v>
      </c>
      <c r="B46" s="7">
        <v>46038</v>
      </c>
      <c r="C46" s="7">
        <v>46164</v>
      </c>
      <c r="D46" t="s">
        <v>163</v>
      </c>
      <c r="E46" t="s">
        <v>91</v>
      </c>
      <c r="F46" t="s">
        <v>74</v>
      </c>
      <c r="G46" t="s">
        <v>34</v>
      </c>
      <c r="H46" t="s">
        <v>49</v>
      </c>
      <c r="I46" t="s">
        <v>65</v>
      </c>
      <c r="J46" t="s">
        <v>57</v>
      </c>
      <c r="K46" t="s">
        <v>88</v>
      </c>
      <c r="L46" t="s">
        <v>51</v>
      </c>
      <c r="M46" s="46">
        <v>239200</v>
      </c>
      <c r="N46">
        <v>0</v>
      </c>
      <c r="O46">
        <v>0.35</v>
      </c>
      <c r="P46" t="s">
        <v>38</v>
      </c>
      <c r="R46">
        <v>126</v>
      </c>
      <c r="S46">
        <v>19933.330000000002</v>
      </c>
      <c r="T46">
        <f>Deals_[[#This Row],[Amount]]*Deals_[[#This Row],[Probability_Pct]]</f>
        <v>83720</v>
      </c>
    </row>
    <row r="47" spans="1:20" x14ac:dyDescent="0.2">
      <c r="A47" t="s">
        <v>164</v>
      </c>
      <c r="B47" s="7">
        <v>46064</v>
      </c>
      <c r="C47" s="7">
        <v>46212</v>
      </c>
      <c r="D47" t="s">
        <v>165</v>
      </c>
      <c r="E47" t="s">
        <v>62</v>
      </c>
      <c r="F47" t="s">
        <v>48</v>
      </c>
      <c r="G47" t="s">
        <v>23</v>
      </c>
      <c r="H47" t="s">
        <v>64</v>
      </c>
      <c r="I47" t="s">
        <v>65</v>
      </c>
      <c r="J47" t="s">
        <v>57</v>
      </c>
      <c r="K47" t="s">
        <v>37</v>
      </c>
      <c r="L47" t="s">
        <v>51</v>
      </c>
      <c r="M47" s="46">
        <v>10500</v>
      </c>
      <c r="N47">
        <v>0.218</v>
      </c>
      <c r="O47">
        <v>0.15</v>
      </c>
      <c r="P47" t="s">
        <v>38</v>
      </c>
      <c r="R47">
        <v>148</v>
      </c>
      <c r="S47">
        <v>684.67</v>
      </c>
      <c r="T47">
        <f>Deals_[[#This Row],[Amount]]*Deals_[[#This Row],[Probability_Pct]]</f>
        <v>1575</v>
      </c>
    </row>
    <row r="48" spans="1:20" x14ac:dyDescent="0.2">
      <c r="A48" t="s">
        <v>166</v>
      </c>
      <c r="B48" s="7">
        <v>46157</v>
      </c>
      <c r="C48" s="7">
        <v>46295</v>
      </c>
      <c r="D48" t="s">
        <v>167</v>
      </c>
      <c r="E48" t="s">
        <v>82</v>
      </c>
      <c r="F48" t="s">
        <v>74</v>
      </c>
      <c r="G48" t="s">
        <v>55</v>
      </c>
      <c r="H48" t="s">
        <v>41</v>
      </c>
      <c r="I48" t="s">
        <v>65</v>
      </c>
      <c r="J48" t="s">
        <v>57</v>
      </c>
      <c r="K48" t="s">
        <v>37</v>
      </c>
      <c r="L48" t="s">
        <v>44</v>
      </c>
      <c r="M48" s="46">
        <v>274600</v>
      </c>
      <c r="N48">
        <v>0.10199999999999999</v>
      </c>
      <c r="O48">
        <v>0.15</v>
      </c>
      <c r="P48" t="s">
        <v>38</v>
      </c>
      <c r="R48">
        <v>138</v>
      </c>
      <c r="S48">
        <v>20554.73</v>
      </c>
      <c r="T48">
        <f>Deals_[[#This Row],[Amount]]*Deals_[[#This Row],[Probability_Pct]]</f>
        <v>41190</v>
      </c>
    </row>
    <row r="49" spans="1:20" x14ac:dyDescent="0.2">
      <c r="A49" t="s">
        <v>168</v>
      </c>
      <c r="B49" s="7">
        <v>46032</v>
      </c>
      <c r="C49" s="7">
        <v>46143</v>
      </c>
      <c r="D49" t="s">
        <v>169</v>
      </c>
      <c r="E49" t="s">
        <v>68</v>
      </c>
      <c r="F49" t="s">
        <v>22</v>
      </c>
      <c r="G49" t="s">
        <v>23</v>
      </c>
      <c r="H49" t="s">
        <v>137</v>
      </c>
      <c r="I49" t="s">
        <v>84</v>
      </c>
      <c r="J49" t="s">
        <v>57</v>
      </c>
      <c r="K49" t="s">
        <v>78</v>
      </c>
      <c r="L49" t="s">
        <v>51</v>
      </c>
      <c r="M49" s="46">
        <v>70800</v>
      </c>
      <c r="N49">
        <v>0.106</v>
      </c>
      <c r="O49">
        <v>0.6</v>
      </c>
      <c r="P49" t="s">
        <v>79</v>
      </c>
      <c r="R49">
        <v>111</v>
      </c>
      <c r="S49">
        <v>5275.66</v>
      </c>
      <c r="T49">
        <f>Deals_[[#This Row],[Amount]]*Deals_[[#This Row],[Probability_Pct]]</f>
        <v>42480</v>
      </c>
    </row>
    <row r="50" spans="1:20" x14ac:dyDescent="0.2">
      <c r="A50" t="s">
        <v>170</v>
      </c>
      <c r="B50" s="7">
        <v>46067</v>
      </c>
      <c r="C50" s="7">
        <v>46143</v>
      </c>
      <c r="D50" t="s">
        <v>171</v>
      </c>
      <c r="E50" t="s">
        <v>111</v>
      </c>
      <c r="F50" t="s">
        <v>48</v>
      </c>
      <c r="G50" t="s">
        <v>63</v>
      </c>
      <c r="H50" t="s">
        <v>64</v>
      </c>
      <c r="I50" t="s">
        <v>25</v>
      </c>
      <c r="J50" t="s">
        <v>26</v>
      </c>
      <c r="K50" t="s">
        <v>78</v>
      </c>
      <c r="L50" t="s">
        <v>51</v>
      </c>
      <c r="M50" s="46">
        <v>14100</v>
      </c>
      <c r="N50">
        <v>4.2000000000000003E-2</v>
      </c>
      <c r="O50">
        <v>0.6</v>
      </c>
      <c r="P50" t="s">
        <v>79</v>
      </c>
      <c r="R50">
        <v>76</v>
      </c>
      <c r="S50">
        <v>1126.24</v>
      </c>
      <c r="T50">
        <f>Deals_[[#This Row],[Amount]]*Deals_[[#This Row],[Probability_Pct]]</f>
        <v>8460</v>
      </c>
    </row>
    <row r="51" spans="1:20" x14ac:dyDescent="0.2">
      <c r="A51" t="s">
        <v>172</v>
      </c>
      <c r="B51" s="7">
        <v>45984</v>
      </c>
      <c r="C51" s="7">
        <v>46079</v>
      </c>
      <c r="D51" t="s">
        <v>173</v>
      </c>
      <c r="E51" t="s">
        <v>62</v>
      </c>
      <c r="F51" t="s">
        <v>48</v>
      </c>
      <c r="G51" t="s">
        <v>23</v>
      </c>
      <c r="H51" t="s">
        <v>41</v>
      </c>
      <c r="I51" t="s">
        <v>25</v>
      </c>
      <c r="J51" t="s">
        <v>26</v>
      </c>
      <c r="K51" t="s">
        <v>50</v>
      </c>
      <c r="L51" t="s">
        <v>51</v>
      </c>
      <c r="M51" s="46">
        <v>23700</v>
      </c>
      <c r="N51">
        <v>0</v>
      </c>
      <c r="O51">
        <v>1</v>
      </c>
      <c r="P51" t="s">
        <v>29</v>
      </c>
      <c r="R51">
        <v>95</v>
      </c>
      <c r="S51">
        <v>1975</v>
      </c>
      <c r="T51">
        <f>Deals_[[#This Row],[Amount]]*Deals_[[#This Row],[Probability_Pct]]</f>
        <v>23700</v>
      </c>
    </row>
    <row r="52" spans="1:20" x14ac:dyDescent="0.2">
      <c r="A52" t="s">
        <v>174</v>
      </c>
      <c r="B52" s="7">
        <v>46219</v>
      </c>
      <c r="C52" s="7">
        <v>46292</v>
      </c>
      <c r="D52" t="s">
        <v>175</v>
      </c>
      <c r="E52" t="s">
        <v>62</v>
      </c>
      <c r="F52" t="s">
        <v>22</v>
      </c>
      <c r="G52" t="s">
        <v>63</v>
      </c>
      <c r="H52" t="s">
        <v>56</v>
      </c>
      <c r="I52" t="s">
        <v>25</v>
      </c>
      <c r="J52" t="s">
        <v>26</v>
      </c>
      <c r="K52" t="s">
        <v>37</v>
      </c>
      <c r="L52" t="s">
        <v>28</v>
      </c>
      <c r="M52" s="46">
        <v>32100</v>
      </c>
      <c r="N52">
        <v>7.0999999999999994E-2</v>
      </c>
      <c r="O52">
        <v>0.1</v>
      </c>
      <c r="P52" t="s">
        <v>38</v>
      </c>
      <c r="R52">
        <v>73</v>
      </c>
      <c r="S52">
        <v>2484.3000000000002</v>
      </c>
      <c r="T52">
        <f>Deals_[[#This Row],[Amount]]*Deals_[[#This Row],[Probability_Pct]]</f>
        <v>3210</v>
      </c>
    </row>
    <row r="53" spans="1:20" x14ac:dyDescent="0.2">
      <c r="A53" t="s">
        <v>176</v>
      </c>
      <c r="B53" s="7">
        <v>46089</v>
      </c>
      <c r="C53" s="7">
        <v>46225</v>
      </c>
      <c r="D53" t="s">
        <v>177</v>
      </c>
      <c r="E53" t="s">
        <v>33</v>
      </c>
      <c r="F53" t="s">
        <v>74</v>
      </c>
      <c r="G53" t="s">
        <v>63</v>
      </c>
      <c r="H53" t="s">
        <v>83</v>
      </c>
      <c r="I53" t="s">
        <v>84</v>
      </c>
      <c r="J53" t="s">
        <v>36</v>
      </c>
      <c r="K53" t="s">
        <v>37</v>
      </c>
      <c r="L53" t="s">
        <v>44</v>
      </c>
      <c r="M53" s="46">
        <v>282400</v>
      </c>
      <c r="N53">
        <v>0.14299999999999999</v>
      </c>
      <c r="O53">
        <v>0.1</v>
      </c>
      <c r="P53" t="s">
        <v>38</v>
      </c>
      <c r="R53">
        <v>136</v>
      </c>
      <c r="S53">
        <v>20160.169999999998</v>
      </c>
      <c r="T53">
        <f>Deals_[[#This Row],[Amount]]*Deals_[[#This Row],[Probability_Pct]]</f>
        <v>28240</v>
      </c>
    </row>
    <row r="54" spans="1:20" x14ac:dyDescent="0.2">
      <c r="A54" t="s">
        <v>178</v>
      </c>
      <c r="B54" s="7">
        <v>46075</v>
      </c>
      <c r="C54" s="7">
        <v>46162</v>
      </c>
      <c r="D54" t="s">
        <v>179</v>
      </c>
      <c r="E54" t="s">
        <v>82</v>
      </c>
      <c r="F54" t="s">
        <v>48</v>
      </c>
      <c r="G54" t="s">
        <v>34</v>
      </c>
      <c r="H54" t="s">
        <v>64</v>
      </c>
      <c r="I54" t="s">
        <v>99</v>
      </c>
      <c r="J54" t="s">
        <v>85</v>
      </c>
      <c r="K54" t="s">
        <v>88</v>
      </c>
      <c r="L54" t="s">
        <v>44</v>
      </c>
      <c r="M54" s="46">
        <v>21000</v>
      </c>
      <c r="N54">
        <v>0.129</v>
      </c>
      <c r="O54">
        <v>0.35</v>
      </c>
      <c r="P54" t="s">
        <v>38</v>
      </c>
      <c r="R54">
        <v>87</v>
      </c>
      <c r="S54">
        <v>1525.09</v>
      </c>
      <c r="T54">
        <f>Deals_[[#This Row],[Amount]]*Deals_[[#This Row],[Probability_Pct]]</f>
        <v>7349.9999999999991</v>
      </c>
    </row>
    <row r="55" spans="1:20" x14ac:dyDescent="0.2">
      <c r="A55" t="s">
        <v>180</v>
      </c>
      <c r="B55" s="7">
        <v>46171</v>
      </c>
      <c r="C55" s="7">
        <v>46213</v>
      </c>
      <c r="D55" t="s">
        <v>181</v>
      </c>
      <c r="E55" t="s">
        <v>62</v>
      </c>
      <c r="F55" t="s">
        <v>22</v>
      </c>
      <c r="G55" t="s">
        <v>55</v>
      </c>
      <c r="H55" t="s">
        <v>56</v>
      </c>
      <c r="I55" t="s">
        <v>35</v>
      </c>
      <c r="J55" t="s">
        <v>26</v>
      </c>
      <c r="K55" t="s">
        <v>58</v>
      </c>
      <c r="L55" t="s">
        <v>51</v>
      </c>
      <c r="M55" s="46">
        <v>70100</v>
      </c>
      <c r="N55">
        <v>0.104</v>
      </c>
      <c r="O55">
        <v>0.8</v>
      </c>
      <c r="P55" t="s">
        <v>59</v>
      </c>
      <c r="R55">
        <v>42</v>
      </c>
      <c r="S55">
        <v>5235.07</v>
      </c>
      <c r="T55">
        <f>Deals_[[#This Row],[Amount]]*Deals_[[#This Row],[Probability_Pct]]</f>
        <v>56080</v>
      </c>
    </row>
    <row r="56" spans="1:20" x14ac:dyDescent="0.2">
      <c r="A56" t="s">
        <v>182</v>
      </c>
      <c r="B56" s="7">
        <v>46166</v>
      </c>
      <c r="C56" s="7">
        <v>46268</v>
      </c>
      <c r="D56" t="s">
        <v>183</v>
      </c>
      <c r="E56" t="s">
        <v>111</v>
      </c>
      <c r="F56" t="s">
        <v>48</v>
      </c>
      <c r="G56" t="s">
        <v>63</v>
      </c>
      <c r="H56" t="s">
        <v>41</v>
      </c>
      <c r="I56" t="s">
        <v>65</v>
      </c>
      <c r="J56" t="s">
        <v>85</v>
      </c>
      <c r="K56" t="s">
        <v>37</v>
      </c>
      <c r="L56" t="s">
        <v>51</v>
      </c>
      <c r="M56" s="46">
        <v>7100</v>
      </c>
      <c r="N56">
        <v>4.2000000000000003E-2</v>
      </c>
      <c r="O56">
        <v>0.1</v>
      </c>
      <c r="P56" t="s">
        <v>38</v>
      </c>
      <c r="R56">
        <v>102</v>
      </c>
      <c r="S56">
        <v>566.72</v>
      </c>
      <c r="T56">
        <f>Deals_[[#This Row],[Amount]]*Deals_[[#This Row],[Probability_Pct]]</f>
        <v>710</v>
      </c>
    </row>
    <row r="57" spans="1:20" x14ac:dyDescent="0.2">
      <c r="A57" t="s">
        <v>184</v>
      </c>
      <c r="B57" s="7">
        <v>46166</v>
      </c>
      <c r="C57" s="7">
        <v>46263</v>
      </c>
      <c r="D57" t="s">
        <v>185</v>
      </c>
      <c r="E57" t="s">
        <v>21</v>
      </c>
      <c r="F57" t="s">
        <v>48</v>
      </c>
      <c r="G57" t="s">
        <v>92</v>
      </c>
      <c r="H57" t="s">
        <v>120</v>
      </c>
      <c r="I57" t="s">
        <v>65</v>
      </c>
      <c r="J57" t="s">
        <v>85</v>
      </c>
      <c r="K57" t="s">
        <v>88</v>
      </c>
      <c r="L57" t="s">
        <v>44</v>
      </c>
      <c r="M57" s="46">
        <v>14400</v>
      </c>
      <c r="N57">
        <v>5.0999999999999997E-2</v>
      </c>
      <c r="O57">
        <v>0.35</v>
      </c>
      <c r="P57" t="s">
        <v>38</v>
      </c>
      <c r="R57">
        <v>97</v>
      </c>
      <c r="S57">
        <v>1138.25</v>
      </c>
      <c r="T57">
        <f>Deals_[[#This Row],[Amount]]*Deals_[[#This Row],[Probability_Pct]]</f>
        <v>5040</v>
      </c>
    </row>
    <row r="58" spans="1:20" x14ac:dyDescent="0.2">
      <c r="A58" t="s">
        <v>186</v>
      </c>
      <c r="B58" s="7">
        <v>46097</v>
      </c>
      <c r="C58" s="7">
        <v>46218</v>
      </c>
      <c r="D58" t="s">
        <v>187</v>
      </c>
      <c r="E58" t="s">
        <v>62</v>
      </c>
      <c r="F58" t="s">
        <v>22</v>
      </c>
      <c r="G58" t="s">
        <v>34</v>
      </c>
      <c r="H58" t="s">
        <v>83</v>
      </c>
      <c r="I58" t="s">
        <v>99</v>
      </c>
      <c r="J58" t="s">
        <v>85</v>
      </c>
      <c r="K58" t="s">
        <v>27</v>
      </c>
      <c r="L58" t="s">
        <v>44</v>
      </c>
      <c r="M58" s="46">
        <v>85000</v>
      </c>
      <c r="N58">
        <v>3.5000000000000003E-2</v>
      </c>
      <c r="O58">
        <v>0</v>
      </c>
      <c r="P58" t="s">
        <v>29</v>
      </c>
      <c r="Q58" t="s">
        <v>188</v>
      </c>
      <c r="R58">
        <v>121</v>
      </c>
      <c r="S58">
        <v>6833.49</v>
      </c>
      <c r="T58">
        <f>Deals_[[#This Row],[Amount]]*Deals_[[#This Row],[Probability_Pct]]</f>
        <v>0</v>
      </c>
    </row>
    <row r="59" spans="1:20" x14ac:dyDescent="0.2">
      <c r="A59" t="s">
        <v>189</v>
      </c>
      <c r="B59" s="7">
        <v>46248</v>
      </c>
      <c r="C59" s="7">
        <v>46277</v>
      </c>
      <c r="D59" t="s">
        <v>190</v>
      </c>
      <c r="E59" t="s">
        <v>82</v>
      </c>
      <c r="F59" t="s">
        <v>48</v>
      </c>
      <c r="G59" t="s">
        <v>92</v>
      </c>
      <c r="H59" t="s">
        <v>69</v>
      </c>
      <c r="I59" t="s">
        <v>35</v>
      </c>
      <c r="J59" t="s">
        <v>36</v>
      </c>
      <c r="K59" t="s">
        <v>50</v>
      </c>
      <c r="L59" t="s">
        <v>28</v>
      </c>
      <c r="M59" s="46">
        <v>20000</v>
      </c>
      <c r="N59">
        <v>0.10299999999999999</v>
      </c>
      <c r="O59">
        <v>1</v>
      </c>
      <c r="P59" t="s">
        <v>29</v>
      </c>
      <c r="R59">
        <v>29</v>
      </c>
      <c r="S59">
        <v>1494.43</v>
      </c>
      <c r="T59">
        <f>Deals_[[#This Row],[Amount]]*Deals_[[#This Row],[Probability_Pct]]</f>
        <v>20000</v>
      </c>
    </row>
    <row r="60" spans="1:20" x14ac:dyDescent="0.2">
      <c r="A60" t="s">
        <v>191</v>
      </c>
      <c r="B60" s="7">
        <v>46094</v>
      </c>
      <c r="C60" s="7">
        <v>46120</v>
      </c>
      <c r="D60" t="s">
        <v>192</v>
      </c>
      <c r="E60" t="s">
        <v>33</v>
      </c>
      <c r="F60" t="s">
        <v>22</v>
      </c>
      <c r="G60" t="s">
        <v>34</v>
      </c>
      <c r="H60" t="s">
        <v>98</v>
      </c>
      <c r="I60" t="s">
        <v>35</v>
      </c>
      <c r="J60" t="s">
        <v>26</v>
      </c>
      <c r="K60" t="s">
        <v>37</v>
      </c>
      <c r="L60" t="s">
        <v>28</v>
      </c>
      <c r="M60" s="46">
        <v>26000</v>
      </c>
      <c r="N60">
        <v>0.14599999999999999</v>
      </c>
      <c r="O60">
        <v>0.05</v>
      </c>
      <c r="P60" t="s">
        <v>38</v>
      </c>
      <c r="R60">
        <v>26</v>
      </c>
      <c r="S60">
        <v>1850</v>
      </c>
      <c r="T60">
        <f>Deals_[[#This Row],[Amount]]*Deals_[[#This Row],[Probability_Pct]]</f>
        <v>1300</v>
      </c>
    </row>
    <row r="61" spans="1:20" x14ac:dyDescent="0.2">
      <c r="A61" t="s">
        <v>193</v>
      </c>
      <c r="B61" s="7">
        <v>46168</v>
      </c>
      <c r="C61" s="7">
        <v>46277</v>
      </c>
      <c r="D61" t="s">
        <v>194</v>
      </c>
      <c r="E61" t="s">
        <v>111</v>
      </c>
      <c r="F61" t="s">
        <v>48</v>
      </c>
      <c r="G61" t="s">
        <v>23</v>
      </c>
      <c r="H61" t="s">
        <v>95</v>
      </c>
      <c r="I61" t="s">
        <v>42</v>
      </c>
      <c r="J61" t="s">
        <v>85</v>
      </c>
      <c r="K61" t="s">
        <v>27</v>
      </c>
      <c r="L61" t="s">
        <v>28</v>
      </c>
      <c r="M61" s="46">
        <v>15700</v>
      </c>
      <c r="N61">
        <v>0.13200000000000001</v>
      </c>
      <c r="O61">
        <v>0</v>
      </c>
      <c r="P61" t="s">
        <v>29</v>
      </c>
      <c r="Q61" t="s">
        <v>45</v>
      </c>
      <c r="R61">
        <v>109</v>
      </c>
      <c r="S61">
        <v>1135.53</v>
      </c>
      <c r="T61">
        <f>Deals_[[#This Row],[Amount]]*Deals_[[#This Row],[Probability_Pct]]</f>
        <v>0</v>
      </c>
    </row>
    <row r="62" spans="1:20" x14ac:dyDescent="0.2">
      <c r="A62" t="s">
        <v>195</v>
      </c>
      <c r="B62" s="7">
        <v>46123</v>
      </c>
      <c r="C62" s="7">
        <v>46267</v>
      </c>
      <c r="D62" t="s">
        <v>196</v>
      </c>
      <c r="E62" t="s">
        <v>33</v>
      </c>
      <c r="F62" t="s">
        <v>48</v>
      </c>
      <c r="G62" t="s">
        <v>23</v>
      </c>
      <c r="H62" t="s">
        <v>24</v>
      </c>
      <c r="I62" t="s">
        <v>65</v>
      </c>
      <c r="J62" t="s">
        <v>26</v>
      </c>
      <c r="K62" t="s">
        <v>88</v>
      </c>
      <c r="L62" t="s">
        <v>44</v>
      </c>
      <c r="M62" s="46">
        <v>22400</v>
      </c>
      <c r="N62">
        <v>0.185</v>
      </c>
      <c r="O62">
        <v>0.35</v>
      </c>
      <c r="P62" t="s">
        <v>38</v>
      </c>
      <c r="R62">
        <v>144</v>
      </c>
      <c r="S62">
        <v>1522.24</v>
      </c>
      <c r="T62">
        <f>Deals_[[#This Row],[Amount]]*Deals_[[#This Row],[Probability_Pct]]</f>
        <v>7839.9999999999991</v>
      </c>
    </row>
    <row r="63" spans="1:20" x14ac:dyDescent="0.2">
      <c r="A63" t="s">
        <v>197</v>
      </c>
      <c r="B63" s="7">
        <v>46241</v>
      </c>
      <c r="C63" s="7">
        <v>46277</v>
      </c>
      <c r="D63" t="s">
        <v>198</v>
      </c>
      <c r="E63" t="s">
        <v>21</v>
      </c>
      <c r="F63" t="s">
        <v>22</v>
      </c>
      <c r="G63" t="s">
        <v>63</v>
      </c>
      <c r="H63" t="s">
        <v>64</v>
      </c>
      <c r="I63" t="s">
        <v>84</v>
      </c>
      <c r="J63" t="s">
        <v>57</v>
      </c>
      <c r="K63" t="s">
        <v>50</v>
      </c>
      <c r="L63" t="s">
        <v>51</v>
      </c>
      <c r="M63" s="46">
        <v>86800</v>
      </c>
      <c r="N63">
        <v>0.123</v>
      </c>
      <c r="O63">
        <v>1</v>
      </c>
      <c r="P63" t="s">
        <v>29</v>
      </c>
      <c r="R63">
        <v>36</v>
      </c>
      <c r="S63">
        <v>6346.85</v>
      </c>
      <c r="T63">
        <f>Deals_[[#This Row],[Amount]]*Deals_[[#This Row],[Probability_Pct]]</f>
        <v>86800</v>
      </c>
    </row>
    <row r="64" spans="1:20" x14ac:dyDescent="0.2">
      <c r="A64" t="s">
        <v>199</v>
      </c>
      <c r="B64" s="7">
        <v>45937</v>
      </c>
      <c r="C64" s="7">
        <v>45970</v>
      </c>
      <c r="D64" t="s">
        <v>200</v>
      </c>
      <c r="E64" t="s">
        <v>33</v>
      </c>
      <c r="F64" t="s">
        <v>48</v>
      </c>
      <c r="G64" t="s">
        <v>55</v>
      </c>
      <c r="H64" t="s">
        <v>49</v>
      </c>
      <c r="I64" t="s">
        <v>42</v>
      </c>
      <c r="J64" t="s">
        <v>85</v>
      </c>
      <c r="K64" t="s">
        <v>88</v>
      </c>
      <c r="L64" t="s">
        <v>51</v>
      </c>
      <c r="M64" s="46">
        <v>18400</v>
      </c>
      <c r="N64">
        <v>0.185</v>
      </c>
      <c r="O64">
        <v>0.35</v>
      </c>
      <c r="P64" t="s">
        <v>38</v>
      </c>
      <c r="R64">
        <v>33</v>
      </c>
      <c r="S64">
        <v>1248.95</v>
      </c>
      <c r="T64">
        <f>Deals_[[#This Row],[Amount]]*Deals_[[#This Row],[Probability_Pct]]</f>
        <v>6440</v>
      </c>
    </row>
    <row r="65" spans="1:20" x14ac:dyDescent="0.2">
      <c r="A65" t="s">
        <v>201</v>
      </c>
      <c r="B65" s="7">
        <v>46008</v>
      </c>
      <c r="C65" s="7">
        <v>46131</v>
      </c>
      <c r="D65" t="s">
        <v>202</v>
      </c>
      <c r="E65" t="s">
        <v>54</v>
      </c>
      <c r="F65" t="s">
        <v>22</v>
      </c>
      <c r="G65" t="s">
        <v>63</v>
      </c>
      <c r="H65" t="s">
        <v>98</v>
      </c>
      <c r="I65" t="s">
        <v>42</v>
      </c>
      <c r="J65" t="s">
        <v>57</v>
      </c>
      <c r="K65" t="s">
        <v>58</v>
      </c>
      <c r="L65" t="s">
        <v>51</v>
      </c>
      <c r="M65" s="46">
        <v>86400</v>
      </c>
      <c r="N65">
        <v>2.5999999999999999E-2</v>
      </c>
      <c r="O65">
        <v>0.75</v>
      </c>
      <c r="P65" t="s">
        <v>59</v>
      </c>
      <c r="R65">
        <v>123</v>
      </c>
      <c r="S65">
        <v>7012.44</v>
      </c>
      <c r="T65">
        <f>Deals_[[#This Row],[Amount]]*Deals_[[#This Row],[Probability_Pct]]</f>
        <v>64800</v>
      </c>
    </row>
    <row r="66" spans="1:20" x14ac:dyDescent="0.2">
      <c r="A66" t="s">
        <v>203</v>
      </c>
      <c r="B66" s="7">
        <v>46180</v>
      </c>
      <c r="C66" s="7">
        <v>46211</v>
      </c>
      <c r="D66" t="s">
        <v>204</v>
      </c>
      <c r="E66" t="s">
        <v>33</v>
      </c>
      <c r="F66" t="s">
        <v>48</v>
      </c>
      <c r="G66" t="s">
        <v>92</v>
      </c>
      <c r="H66" t="s">
        <v>98</v>
      </c>
      <c r="I66" t="s">
        <v>35</v>
      </c>
      <c r="J66" t="s">
        <v>85</v>
      </c>
      <c r="K66" t="s">
        <v>78</v>
      </c>
      <c r="L66" t="s">
        <v>28</v>
      </c>
      <c r="M66" s="46">
        <v>21300</v>
      </c>
      <c r="N66">
        <v>0</v>
      </c>
      <c r="O66">
        <v>0.55000000000000004</v>
      </c>
      <c r="P66" t="s">
        <v>79</v>
      </c>
      <c r="R66">
        <v>31</v>
      </c>
      <c r="S66">
        <v>1775</v>
      </c>
      <c r="T66">
        <f>Deals_[[#This Row],[Amount]]*Deals_[[#This Row],[Probability_Pct]]</f>
        <v>11715.000000000002</v>
      </c>
    </row>
    <row r="67" spans="1:20" x14ac:dyDescent="0.2">
      <c r="A67" t="s">
        <v>205</v>
      </c>
      <c r="B67" s="7">
        <v>46006</v>
      </c>
      <c r="C67" s="7">
        <v>46133</v>
      </c>
      <c r="D67" t="s">
        <v>206</v>
      </c>
      <c r="E67" t="s">
        <v>82</v>
      </c>
      <c r="F67" t="s">
        <v>48</v>
      </c>
      <c r="G67" t="s">
        <v>92</v>
      </c>
      <c r="H67" t="s">
        <v>56</v>
      </c>
      <c r="I67" t="s">
        <v>65</v>
      </c>
      <c r="J67" t="s">
        <v>26</v>
      </c>
      <c r="K67" t="s">
        <v>27</v>
      </c>
      <c r="L67" t="s">
        <v>51</v>
      </c>
      <c r="M67" s="46">
        <v>17300</v>
      </c>
      <c r="N67">
        <v>0.14899999999999999</v>
      </c>
      <c r="O67">
        <v>0.05</v>
      </c>
      <c r="P67" t="s">
        <v>29</v>
      </c>
      <c r="Q67" t="s">
        <v>188</v>
      </c>
      <c r="R67">
        <v>127</v>
      </c>
      <c r="S67">
        <v>1227.33</v>
      </c>
      <c r="T67">
        <f>Deals_[[#This Row],[Amount]]*Deals_[[#This Row],[Probability_Pct]]</f>
        <v>865</v>
      </c>
    </row>
    <row r="68" spans="1:20" x14ac:dyDescent="0.2">
      <c r="A68" t="s">
        <v>207</v>
      </c>
      <c r="B68" s="7">
        <v>46007</v>
      </c>
      <c r="C68" s="7">
        <v>46022</v>
      </c>
      <c r="D68" t="s">
        <v>208</v>
      </c>
      <c r="E68" t="s">
        <v>111</v>
      </c>
      <c r="F68" t="s">
        <v>48</v>
      </c>
      <c r="G68" t="s">
        <v>92</v>
      </c>
      <c r="H68" t="s">
        <v>41</v>
      </c>
      <c r="I68" t="s">
        <v>65</v>
      </c>
      <c r="J68" t="s">
        <v>85</v>
      </c>
      <c r="K68" t="s">
        <v>27</v>
      </c>
      <c r="L68" t="s">
        <v>28</v>
      </c>
      <c r="M68" s="46">
        <v>13300</v>
      </c>
      <c r="N68">
        <v>0.182</v>
      </c>
      <c r="O68">
        <v>0.05</v>
      </c>
      <c r="P68" t="s">
        <v>29</v>
      </c>
      <c r="Q68" t="s">
        <v>209</v>
      </c>
      <c r="R68">
        <v>15</v>
      </c>
      <c r="S68">
        <v>906.54</v>
      </c>
      <c r="T68">
        <f>Deals_[[#This Row],[Amount]]*Deals_[[#This Row],[Probability_Pct]]</f>
        <v>665</v>
      </c>
    </row>
    <row r="69" spans="1:20" x14ac:dyDescent="0.2">
      <c r="A69" t="s">
        <v>210</v>
      </c>
      <c r="B69" s="7">
        <v>45939</v>
      </c>
      <c r="C69" s="7">
        <v>46091</v>
      </c>
      <c r="D69" t="s">
        <v>211</v>
      </c>
      <c r="E69" t="s">
        <v>62</v>
      </c>
      <c r="F69" t="s">
        <v>22</v>
      </c>
      <c r="G69" t="s">
        <v>34</v>
      </c>
      <c r="H69" t="s">
        <v>64</v>
      </c>
      <c r="I69" t="s">
        <v>25</v>
      </c>
      <c r="J69" t="s">
        <v>26</v>
      </c>
      <c r="K69" t="s">
        <v>50</v>
      </c>
      <c r="L69" t="s">
        <v>44</v>
      </c>
      <c r="M69" s="46">
        <v>53700</v>
      </c>
      <c r="N69">
        <v>0.12</v>
      </c>
      <c r="O69">
        <v>1</v>
      </c>
      <c r="P69" t="s">
        <v>29</v>
      </c>
      <c r="R69">
        <v>152</v>
      </c>
      <c r="S69">
        <v>3937.53</v>
      </c>
      <c r="T69">
        <f>Deals_[[#This Row],[Amount]]*Deals_[[#This Row],[Probability_Pct]]</f>
        <v>53700</v>
      </c>
    </row>
    <row r="70" spans="1:20" x14ac:dyDescent="0.2">
      <c r="A70" t="s">
        <v>212</v>
      </c>
      <c r="B70" s="7">
        <v>46136</v>
      </c>
      <c r="C70" s="7">
        <v>46185</v>
      </c>
      <c r="D70" t="s">
        <v>213</v>
      </c>
      <c r="E70" t="s">
        <v>68</v>
      </c>
      <c r="F70" t="s">
        <v>48</v>
      </c>
      <c r="G70" t="s">
        <v>23</v>
      </c>
      <c r="H70" t="s">
        <v>98</v>
      </c>
      <c r="I70" t="s">
        <v>25</v>
      </c>
      <c r="J70" t="s">
        <v>43</v>
      </c>
      <c r="K70" t="s">
        <v>27</v>
      </c>
      <c r="L70" t="s">
        <v>28</v>
      </c>
      <c r="M70" s="46">
        <v>28400</v>
      </c>
      <c r="N70">
        <v>0.113</v>
      </c>
      <c r="O70">
        <v>0</v>
      </c>
      <c r="P70" t="s">
        <v>29</v>
      </c>
      <c r="Q70" t="s">
        <v>45</v>
      </c>
      <c r="R70">
        <v>49</v>
      </c>
      <c r="S70">
        <v>2099.92</v>
      </c>
      <c r="T70">
        <f>Deals_[[#This Row],[Amount]]*Deals_[[#This Row],[Probability_Pct]]</f>
        <v>0</v>
      </c>
    </row>
    <row r="71" spans="1:20" x14ac:dyDescent="0.2">
      <c r="A71" t="s">
        <v>214</v>
      </c>
      <c r="B71" s="7">
        <v>46151</v>
      </c>
      <c r="C71" s="7">
        <v>46181</v>
      </c>
      <c r="D71" t="s">
        <v>215</v>
      </c>
      <c r="E71" t="s">
        <v>82</v>
      </c>
      <c r="F71" t="s">
        <v>22</v>
      </c>
      <c r="G71" t="s">
        <v>55</v>
      </c>
      <c r="H71" t="s">
        <v>64</v>
      </c>
      <c r="I71" t="s">
        <v>99</v>
      </c>
      <c r="J71" t="s">
        <v>57</v>
      </c>
      <c r="K71" t="s">
        <v>78</v>
      </c>
      <c r="L71" t="s">
        <v>51</v>
      </c>
      <c r="M71" s="46">
        <v>87100</v>
      </c>
      <c r="N71">
        <v>0.13100000000000001</v>
      </c>
      <c r="O71">
        <v>0.55000000000000004</v>
      </c>
      <c r="P71" t="s">
        <v>79</v>
      </c>
      <c r="R71">
        <v>30</v>
      </c>
      <c r="S71">
        <v>6307.01</v>
      </c>
      <c r="T71">
        <f>Deals_[[#This Row],[Amount]]*Deals_[[#This Row],[Probability_Pct]]</f>
        <v>47905.000000000007</v>
      </c>
    </row>
    <row r="72" spans="1:20" x14ac:dyDescent="0.2">
      <c r="A72" t="s">
        <v>216</v>
      </c>
      <c r="B72" s="7">
        <v>45953</v>
      </c>
      <c r="C72" s="7">
        <v>46055</v>
      </c>
      <c r="D72" t="s">
        <v>217</v>
      </c>
      <c r="E72" t="s">
        <v>33</v>
      </c>
      <c r="F72" t="s">
        <v>74</v>
      </c>
      <c r="G72" t="s">
        <v>55</v>
      </c>
      <c r="H72" t="s">
        <v>24</v>
      </c>
      <c r="I72" t="s">
        <v>84</v>
      </c>
      <c r="J72" t="s">
        <v>57</v>
      </c>
      <c r="K72" t="s">
        <v>37</v>
      </c>
      <c r="L72" t="s">
        <v>44</v>
      </c>
      <c r="M72" s="46">
        <v>158200</v>
      </c>
      <c r="N72">
        <v>0.11700000000000001</v>
      </c>
      <c r="O72">
        <v>0.15</v>
      </c>
      <c r="P72" t="s">
        <v>38</v>
      </c>
      <c r="R72">
        <v>102</v>
      </c>
      <c r="S72">
        <v>11638.45</v>
      </c>
      <c r="T72">
        <f>Deals_[[#This Row],[Amount]]*Deals_[[#This Row],[Probability_Pct]]</f>
        <v>23730</v>
      </c>
    </row>
    <row r="73" spans="1:20" x14ac:dyDescent="0.2">
      <c r="A73" t="s">
        <v>218</v>
      </c>
      <c r="B73" s="7">
        <v>45981</v>
      </c>
      <c r="C73" s="7">
        <v>46073</v>
      </c>
      <c r="D73" t="s">
        <v>219</v>
      </c>
      <c r="E73" t="s">
        <v>54</v>
      </c>
      <c r="F73" t="s">
        <v>48</v>
      </c>
      <c r="G73" t="s">
        <v>63</v>
      </c>
      <c r="H73" t="s">
        <v>24</v>
      </c>
      <c r="I73" t="s">
        <v>84</v>
      </c>
      <c r="J73" t="s">
        <v>57</v>
      </c>
      <c r="K73" t="s">
        <v>88</v>
      </c>
      <c r="L73" t="s">
        <v>51</v>
      </c>
      <c r="M73" s="46">
        <v>28300</v>
      </c>
      <c r="N73">
        <v>0</v>
      </c>
      <c r="O73">
        <v>0.4</v>
      </c>
      <c r="P73" t="s">
        <v>38</v>
      </c>
      <c r="R73">
        <v>92</v>
      </c>
      <c r="S73">
        <v>2358.33</v>
      </c>
      <c r="T73">
        <f>Deals_[[#This Row],[Amount]]*Deals_[[#This Row],[Probability_Pct]]</f>
        <v>11320</v>
      </c>
    </row>
    <row r="74" spans="1:20" x14ac:dyDescent="0.2">
      <c r="A74" t="s">
        <v>220</v>
      </c>
      <c r="B74" s="7">
        <v>46019</v>
      </c>
      <c r="C74" s="7">
        <v>46137</v>
      </c>
      <c r="D74" t="s">
        <v>221</v>
      </c>
      <c r="E74" t="s">
        <v>54</v>
      </c>
      <c r="F74" t="s">
        <v>48</v>
      </c>
      <c r="G74" t="s">
        <v>23</v>
      </c>
      <c r="H74" t="s">
        <v>49</v>
      </c>
      <c r="I74" t="s">
        <v>84</v>
      </c>
      <c r="J74" t="s">
        <v>57</v>
      </c>
      <c r="K74" t="s">
        <v>27</v>
      </c>
      <c r="L74" t="s">
        <v>44</v>
      </c>
      <c r="M74" s="46">
        <v>6000</v>
      </c>
      <c r="N74">
        <v>0.13400000000000001</v>
      </c>
      <c r="O74">
        <v>0.05</v>
      </c>
      <c r="P74" t="s">
        <v>29</v>
      </c>
      <c r="Q74" t="s">
        <v>222</v>
      </c>
      <c r="R74">
        <v>118</v>
      </c>
      <c r="S74">
        <v>433.07</v>
      </c>
      <c r="T74">
        <f>Deals_[[#This Row],[Amount]]*Deals_[[#This Row],[Probability_Pct]]</f>
        <v>300</v>
      </c>
    </row>
    <row r="75" spans="1:20" x14ac:dyDescent="0.2">
      <c r="A75" t="s">
        <v>223</v>
      </c>
      <c r="B75" s="7">
        <v>46222</v>
      </c>
      <c r="C75" s="7">
        <v>46314</v>
      </c>
      <c r="D75" t="s">
        <v>224</v>
      </c>
      <c r="E75" t="s">
        <v>62</v>
      </c>
      <c r="F75" t="s">
        <v>74</v>
      </c>
      <c r="G75" t="s">
        <v>34</v>
      </c>
      <c r="H75" t="s">
        <v>95</v>
      </c>
      <c r="I75" t="s">
        <v>25</v>
      </c>
      <c r="J75" t="s">
        <v>57</v>
      </c>
      <c r="K75" t="s">
        <v>58</v>
      </c>
      <c r="L75" t="s">
        <v>28</v>
      </c>
      <c r="M75" s="46">
        <v>195400</v>
      </c>
      <c r="N75">
        <v>0.151</v>
      </c>
      <c r="O75">
        <v>0.75</v>
      </c>
      <c r="P75" t="s">
        <v>59</v>
      </c>
      <c r="R75">
        <v>92</v>
      </c>
      <c r="S75">
        <v>13821.72</v>
      </c>
      <c r="T75">
        <f>Deals_[[#This Row],[Amount]]*Deals_[[#This Row],[Probability_Pct]]</f>
        <v>146550</v>
      </c>
    </row>
    <row r="76" spans="1:20" x14ac:dyDescent="0.2">
      <c r="A76" t="s">
        <v>225</v>
      </c>
      <c r="B76" s="7">
        <v>46057</v>
      </c>
      <c r="C76" s="7">
        <v>46182</v>
      </c>
      <c r="D76" t="s">
        <v>226</v>
      </c>
      <c r="E76" t="s">
        <v>62</v>
      </c>
      <c r="F76" t="s">
        <v>48</v>
      </c>
      <c r="G76" t="s">
        <v>63</v>
      </c>
      <c r="H76" t="s">
        <v>77</v>
      </c>
      <c r="I76" t="s">
        <v>35</v>
      </c>
      <c r="J76" t="s">
        <v>85</v>
      </c>
      <c r="K76" t="s">
        <v>37</v>
      </c>
      <c r="L76" t="s">
        <v>44</v>
      </c>
      <c r="M76" s="46">
        <v>15500</v>
      </c>
      <c r="N76">
        <v>0.124</v>
      </c>
      <c r="O76">
        <v>0.1</v>
      </c>
      <c r="P76" t="s">
        <v>38</v>
      </c>
      <c r="R76">
        <v>125</v>
      </c>
      <c r="S76">
        <v>1131.33</v>
      </c>
      <c r="T76">
        <f>Deals_[[#This Row],[Amount]]*Deals_[[#This Row],[Probability_Pct]]</f>
        <v>1550</v>
      </c>
    </row>
    <row r="77" spans="1:20" x14ac:dyDescent="0.2">
      <c r="A77" t="s">
        <v>227</v>
      </c>
      <c r="B77" s="7">
        <v>46046</v>
      </c>
      <c r="C77" s="7">
        <v>46077</v>
      </c>
      <c r="D77" t="s">
        <v>228</v>
      </c>
      <c r="E77" t="s">
        <v>21</v>
      </c>
      <c r="F77" t="s">
        <v>74</v>
      </c>
      <c r="G77" t="s">
        <v>34</v>
      </c>
      <c r="H77" t="s">
        <v>137</v>
      </c>
      <c r="I77" t="s">
        <v>35</v>
      </c>
      <c r="J77" t="s">
        <v>43</v>
      </c>
      <c r="K77" t="s">
        <v>37</v>
      </c>
      <c r="L77" t="s">
        <v>51</v>
      </c>
      <c r="M77" s="46">
        <v>97300</v>
      </c>
      <c r="N77">
        <v>0.155</v>
      </c>
      <c r="O77">
        <v>0.1</v>
      </c>
      <c r="P77" t="s">
        <v>38</v>
      </c>
      <c r="R77">
        <v>31</v>
      </c>
      <c r="S77">
        <v>6851.44</v>
      </c>
      <c r="T77">
        <f>Deals_[[#This Row],[Amount]]*Deals_[[#This Row],[Probability_Pct]]</f>
        <v>9730</v>
      </c>
    </row>
    <row r="78" spans="1:20" x14ac:dyDescent="0.2">
      <c r="A78" t="s">
        <v>229</v>
      </c>
      <c r="B78" s="7">
        <v>45990</v>
      </c>
      <c r="C78" s="7">
        <v>46028</v>
      </c>
      <c r="D78" t="s">
        <v>230</v>
      </c>
      <c r="E78" t="s">
        <v>54</v>
      </c>
      <c r="F78" t="s">
        <v>48</v>
      </c>
      <c r="G78" t="s">
        <v>23</v>
      </c>
      <c r="H78" t="s">
        <v>137</v>
      </c>
      <c r="I78" t="s">
        <v>65</v>
      </c>
      <c r="J78" t="s">
        <v>85</v>
      </c>
      <c r="K78" t="s">
        <v>50</v>
      </c>
      <c r="L78" t="s">
        <v>44</v>
      </c>
      <c r="M78" s="46">
        <v>17800</v>
      </c>
      <c r="N78">
        <v>9.1999999999999998E-2</v>
      </c>
      <c r="O78">
        <v>0.95</v>
      </c>
      <c r="P78" t="s">
        <v>29</v>
      </c>
      <c r="R78">
        <v>38</v>
      </c>
      <c r="S78">
        <v>1346.62</v>
      </c>
      <c r="T78">
        <f>Deals_[[#This Row],[Amount]]*Deals_[[#This Row],[Probability_Pct]]</f>
        <v>16910</v>
      </c>
    </row>
    <row r="79" spans="1:20" x14ac:dyDescent="0.2">
      <c r="A79" t="s">
        <v>231</v>
      </c>
      <c r="B79" s="7">
        <v>46097</v>
      </c>
      <c r="C79" s="7">
        <v>46166</v>
      </c>
      <c r="D79" t="s">
        <v>232</v>
      </c>
      <c r="E79" t="s">
        <v>91</v>
      </c>
      <c r="F79" t="s">
        <v>74</v>
      </c>
      <c r="G79" t="s">
        <v>92</v>
      </c>
      <c r="H79" t="s">
        <v>95</v>
      </c>
      <c r="I79" t="s">
        <v>99</v>
      </c>
      <c r="J79" t="s">
        <v>85</v>
      </c>
      <c r="K79" t="s">
        <v>58</v>
      </c>
      <c r="L79" t="s">
        <v>28</v>
      </c>
      <c r="M79" s="46">
        <v>94400</v>
      </c>
      <c r="N79">
        <v>0.185</v>
      </c>
      <c r="O79">
        <v>0.7</v>
      </c>
      <c r="P79" t="s">
        <v>59</v>
      </c>
      <c r="R79">
        <v>69</v>
      </c>
      <c r="S79">
        <v>6415.05</v>
      </c>
      <c r="T79">
        <f>Deals_[[#This Row],[Amount]]*Deals_[[#This Row],[Probability_Pct]]</f>
        <v>66080</v>
      </c>
    </row>
    <row r="80" spans="1:20" x14ac:dyDescent="0.2">
      <c r="A80" t="s">
        <v>233</v>
      </c>
      <c r="B80" s="7">
        <v>45984</v>
      </c>
      <c r="C80" s="7">
        <v>46077</v>
      </c>
      <c r="D80" t="s">
        <v>234</v>
      </c>
      <c r="E80" t="s">
        <v>82</v>
      </c>
      <c r="F80" t="s">
        <v>48</v>
      </c>
      <c r="G80" t="s">
        <v>55</v>
      </c>
      <c r="H80" t="s">
        <v>98</v>
      </c>
      <c r="I80" t="s">
        <v>99</v>
      </c>
      <c r="J80" t="s">
        <v>57</v>
      </c>
      <c r="K80" t="s">
        <v>37</v>
      </c>
      <c r="L80" t="s">
        <v>51</v>
      </c>
      <c r="M80" s="46">
        <v>25000</v>
      </c>
      <c r="N80">
        <v>0.10100000000000001</v>
      </c>
      <c r="O80">
        <v>0.1</v>
      </c>
      <c r="P80" t="s">
        <v>38</v>
      </c>
      <c r="R80">
        <v>93</v>
      </c>
      <c r="S80">
        <v>1873.76</v>
      </c>
      <c r="T80">
        <f>Deals_[[#This Row],[Amount]]*Deals_[[#This Row],[Probability_Pct]]</f>
        <v>2500</v>
      </c>
    </row>
    <row r="81" spans="1:20" x14ac:dyDescent="0.2">
      <c r="A81" t="s">
        <v>235</v>
      </c>
      <c r="B81" s="7">
        <v>45978</v>
      </c>
      <c r="C81" s="7">
        <v>46024</v>
      </c>
      <c r="D81" t="s">
        <v>236</v>
      </c>
      <c r="E81" t="s">
        <v>111</v>
      </c>
      <c r="F81" t="s">
        <v>22</v>
      </c>
      <c r="G81" t="s">
        <v>63</v>
      </c>
      <c r="H81" t="s">
        <v>24</v>
      </c>
      <c r="I81" t="s">
        <v>35</v>
      </c>
      <c r="J81" t="s">
        <v>26</v>
      </c>
      <c r="K81" t="s">
        <v>50</v>
      </c>
      <c r="L81" t="s">
        <v>44</v>
      </c>
      <c r="M81" s="46">
        <v>53700</v>
      </c>
      <c r="N81">
        <v>0.152</v>
      </c>
      <c r="O81">
        <v>0.95</v>
      </c>
      <c r="P81" t="s">
        <v>29</v>
      </c>
      <c r="R81">
        <v>46</v>
      </c>
      <c r="S81">
        <v>3794.45</v>
      </c>
      <c r="T81">
        <f>Deals_[[#This Row],[Amount]]*Deals_[[#This Row],[Probability_Pct]]</f>
        <v>51015</v>
      </c>
    </row>
    <row r="82" spans="1:20" x14ac:dyDescent="0.2">
      <c r="A82" t="s">
        <v>237</v>
      </c>
      <c r="B82" s="7">
        <v>46123</v>
      </c>
      <c r="C82" s="7">
        <v>46191</v>
      </c>
      <c r="D82" t="s">
        <v>238</v>
      </c>
      <c r="E82" t="s">
        <v>33</v>
      </c>
      <c r="F82" t="s">
        <v>48</v>
      </c>
      <c r="G82" t="s">
        <v>92</v>
      </c>
      <c r="H82" t="s">
        <v>56</v>
      </c>
      <c r="I82" t="s">
        <v>42</v>
      </c>
      <c r="J82" t="s">
        <v>43</v>
      </c>
      <c r="K82" t="s">
        <v>88</v>
      </c>
      <c r="L82" t="s">
        <v>51</v>
      </c>
      <c r="M82" s="46">
        <v>18600</v>
      </c>
      <c r="N82">
        <v>4.8000000000000001E-2</v>
      </c>
      <c r="O82">
        <v>0.3</v>
      </c>
      <c r="P82" t="s">
        <v>38</v>
      </c>
      <c r="R82">
        <v>68</v>
      </c>
      <c r="S82">
        <v>1476.16</v>
      </c>
      <c r="T82">
        <f>Deals_[[#This Row],[Amount]]*Deals_[[#This Row],[Probability_Pct]]</f>
        <v>5580</v>
      </c>
    </row>
    <row r="83" spans="1:20" x14ac:dyDescent="0.2">
      <c r="A83" t="s">
        <v>239</v>
      </c>
      <c r="B83" s="7">
        <v>46185</v>
      </c>
      <c r="C83" s="7">
        <v>46303</v>
      </c>
      <c r="D83" t="s">
        <v>236</v>
      </c>
      <c r="E83" t="s">
        <v>68</v>
      </c>
      <c r="F83" t="s">
        <v>22</v>
      </c>
      <c r="G83" t="s">
        <v>63</v>
      </c>
      <c r="H83" t="s">
        <v>98</v>
      </c>
      <c r="I83" t="s">
        <v>25</v>
      </c>
      <c r="J83" t="s">
        <v>26</v>
      </c>
      <c r="K83" t="s">
        <v>106</v>
      </c>
      <c r="L83" t="s">
        <v>44</v>
      </c>
      <c r="M83" s="46">
        <v>45500</v>
      </c>
      <c r="N83">
        <v>0.13900000000000001</v>
      </c>
      <c r="O83">
        <v>0.2</v>
      </c>
      <c r="P83" t="s">
        <v>38</v>
      </c>
      <c r="R83">
        <v>118</v>
      </c>
      <c r="S83">
        <v>3262.98</v>
      </c>
      <c r="T83">
        <f>Deals_[[#This Row],[Amount]]*Deals_[[#This Row],[Probability_Pct]]</f>
        <v>9100</v>
      </c>
    </row>
    <row r="84" spans="1:20" x14ac:dyDescent="0.2">
      <c r="A84" t="s">
        <v>240</v>
      </c>
      <c r="B84" s="7">
        <v>46259</v>
      </c>
      <c r="C84" s="7">
        <v>46277</v>
      </c>
      <c r="D84" t="s">
        <v>241</v>
      </c>
      <c r="E84" t="s">
        <v>21</v>
      </c>
      <c r="F84" t="s">
        <v>74</v>
      </c>
      <c r="G84" t="s">
        <v>55</v>
      </c>
      <c r="H84" t="s">
        <v>83</v>
      </c>
      <c r="I84" t="s">
        <v>99</v>
      </c>
      <c r="J84" t="s">
        <v>57</v>
      </c>
      <c r="K84" t="s">
        <v>50</v>
      </c>
      <c r="L84" t="s">
        <v>51</v>
      </c>
      <c r="M84" s="46">
        <v>186800</v>
      </c>
      <c r="N84">
        <v>6.9000000000000006E-2</v>
      </c>
      <c r="O84">
        <v>1</v>
      </c>
      <c r="P84" t="s">
        <v>29</v>
      </c>
      <c r="R84">
        <v>18</v>
      </c>
      <c r="S84">
        <v>14488.79</v>
      </c>
      <c r="T84">
        <f>Deals_[[#This Row],[Amount]]*Deals_[[#This Row],[Probability_Pct]]</f>
        <v>186800</v>
      </c>
    </row>
    <row r="85" spans="1:20" x14ac:dyDescent="0.2">
      <c r="A85" t="s">
        <v>242</v>
      </c>
      <c r="B85" s="7">
        <v>45936</v>
      </c>
      <c r="C85" s="7">
        <v>46048</v>
      </c>
      <c r="D85" t="s">
        <v>243</v>
      </c>
      <c r="E85" t="s">
        <v>82</v>
      </c>
      <c r="F85" t="s">
        <v>48</v>
      </c>
      <c r="G85" t="s">
        <v>55</v>
      </c>
      <c r="H85" t="s">
        <v>120</v>
      </c>
      <c r="I85" t="s">
        <v>25</v>
      </c>
      <c r="J85" t="s">
        <v>85</v>
      </c>
      <c r="K85" t="s">
        <v>50</v>
      </c>
      <c r="L85" t="s">
        <v>51</v>
      </c>
      <c r="M85" s="46">
        <v>23200</v>
      </c>
      <c r="N85">
        <v>7.3999999999999996E-2</v>
      </c>
      <c r="O85">
        <v>1</v>
      </c>
      <c r="P85" t="s">
        <v>29</v>
      </c>
      <c r="R85">
        <v>112</v>
      </c>
      <c r="S85">
        <v>1790.83</v>
      </c>
      <c r="T85">
        <f>Deals_[[#This Row],[Amount]]*Deals_[[#This Row],[Probability_Pct]]</f>
        <v>23200</v>
      </c>
    </row>
    <row r="86" spans="1:20" x14ac:dyDescent="0.2">
      <c r="A86" t="s">
        <v>244</v>
      </c>
      <c r="B86" s="7">
        <v>45990</v>
      </c>
      <c r="C86" s="7">
        <v>46085</v>
      </c>
      <c r="D86" t="s">
        <v>245</v>
      </c>
      <c r="E86" t="s">
        <v>82</v>
      </c>
      <c r="F86" t="s">
        <v>74</v>
      </c>
      <c r="G86" t="s">
        <v>34</v>
      </c>
      <c r="H86" t="s">
        <v>77</v>
      </c>
      <c r="I86" t="s">
        <v>84</v>
      </c>
      <c r="J86" t="s">
        <v>36</v>
      </c>
      <c r="K86" t="s">
        <v>106</v>
      </c>
      <c r="L86" t="s">
        <v>28</v>
      </c>
      <c r="M86" s="46">
        <v>270400</v>
      </c>
      <c r="N86">
        <v>0.14799999999999999</v>
      </c>
      <c r="O86">
        <v>0.2</v>
      </c>
      <c r="P86" t="s">
        <v>38</v>
      </c>
      <c r="R86">
        <v>95</v>
      </c>
      <c r="S86">
        <v>19190.34</v>
      </c>
      <c r="T86">
        <f>Deals_[[#This Row],[Amount]]*Deals_[[#This Row],[Probability_Pct]]</f>
        <v>54080</v>
      </c>
    </row>
    <row r="87" spans="1:20" x14ac:dyDescent="0.2">
      <c r="A87" t="s">
        <v>246</v>
      </c>
      <c r="B87" s="7">
        <v>46241</v>
      </c>
      <c r="C87" s="7">
        <v>46297</v>
      </c>
      <c r="D87" t="s">
        <v>247</v>
      </c>
      <c r="E87" t="s">
        <v>21</v>
      </c>
      <c r="F87" t="s">
        <v>74</v>
      </c>
      <c r="G87" t="s">
        <v>34</v>
      </c>
      <c r="H87" t="s">
        <v>83</v>
      </c>
      <c r="I87" t="s">
        <v>42</v>
      </c>
      <c r="J87" t="s">
        <v>57</v>
      </c>
      <c r="K87" t="s">
        <v>37</v>
      </c>
      <c r="L87" t="s">
        <v>51</v>
      </c>
      <c r="M87" s="46">
        <v>305200</v>
      </c>
      <c r="N87">
        <v>0</v>
      </c>
      <c r="O87">
        <v>0.15</v>
      </c>
      <c r="P87" t="s">
        <v>38</v>
      </c>
      <c r="R87">
        <v>56</v>
      </c>
      <c r="S87">
        <v>25433.33</v>
      </c>
      <c r="T87">
        <f>Deals_[[#This Row],[Amount]]*Deals_[[#This Row],[Probability_Pct]]</f>
        <v>45780</v>
      </c>
    </row>
    <row r="88" spans="1:20" x14ac:dyDescent="0.2">
      <c r="A88" t="s">
        <v>248</v>
      </c>
      <c r="B88" s="7">
        <v>46248</v>
      </c>
      <c r="C88" s="7">
        <v>46305</v>
      </c>
      <c r="D88" t="s">
        <v>136</v>
      </c>
      <c r="E88" t="s">
        <v>33</v>
      </c>
      <c r="F88" t="s">
        <v>74</v>
      </c>
      <c r="G88" t="s">
        <v>34</v>
      </c>
      <c r="H88" t="s">
        <v>64</v>
      </c>
      <c r="I88" t="s">
        <v>84</v>
      </c>
      <c r="J88" t="s">
        <v>36</v>
      </c>
      <c r="K88" t="s">
        <v>88</v>
      </c>
      <c r="L88" t="s">
        <v>44</v>
      </c>
      <c r="M88" s="46">
        <v>136500</v>
      </c>
      <c r="N88">
        <v>3.1E-2</v>
      </c>
      <c r="O88">
        <v>0.35</v>
      </c>
      <c r="P88" t="s">
        <v>38</v>
      </c>
      <c r="R88">
        <v>57</v>
      </c>
      <c r="S88">
        <v>11022.69</v>
      </c>
      <c r="T88">
        <f>Deals_[[#This Row],[Amount]]*Deals_[[#This Row],[Probability_Pct]]</f>
        <v>47775</v>
      </c>
    </row>
    <row r="89" spans="1:20" x14ac:dyDescent="0.2">
      <c r="A89" t="s">
        <v>249</v>
      </c>
      <c r="B89" s="7">
        <v>46230</v>
      </c>
      <c r="C89" s="7">
        <v>46259</v>
      </c>
      <c r="D89" t="s">
        <v>250</v>
      </c>
      <c r="E89" t="s">
        <v>21</v>
      </c>
      <c r="F89" t="s">
        <v>74</v>
      </c>
      <c r="G89" t="s">
        <v>63</v>
      </c>
      <c r="H89" t="s">
        <v>69</v>
      </c>
      <c r="I89" t="s">
        <v>25</v>
      </c>
      <c r="J89" t="s">
        <v>36</v>
      </c>
      <c r="K89" t="s">
        <v>37</v>
      </c>
      <c r="L89" t="s">
        <v>44</v>
      </c>
      <c r="M89" s="46">
        <v>162100</v>
      </c>
      <c r="N89">
        <v>0.16</v>
      </c>
      <c r="O89">
        <v>0.15</v>
      </c>
      <c r="P89" t="s">
        <v>38</v>
      </c>
      <c r="R89">
        <v>29</v>
      </c>
      <c r="S89">
        <v>11346.46</v>
      </c>
      <c r="T89">
        <f>Deals_[[#This Row],[Amount]]*Deals_[[#This Row],[Probability_Pct]]</f>
        <v>24315</v>
      </c>
    </row>
    <row r="90" spans="1:20" x14ac:dyDescent="0.2">
      <c r="A90" t="s">
        <v>251</v>
      </c>
      <c r="B90" s="7">
        <v>46061</v>
      </c>
      <c r="C90" s="7">
        <v>46184</v>
      </c>
      <c r="D90" t="s">
        <v>252</v>
      </c>
      <c r="E90" t="s">
        <v>82</v>
      </c>
      <c r="F90" t="s">
        <v>74</v>
      </c>
      <c r="G90" t="s">
        <v>92</v>
      </c>
      <c r="H90" t="s">
        <v>98</v>
      </c>
      <c r="I90" t="s">
        <v>99</v>
      </c>
      <c r="J90" t="s">
        <v>26</v>
      </c>
      <c r="K90" t="s">
        <v>27</v>
      </c>
      <c r="L90" t="s">
        <v>28</v>
      </c>
      <c r="M90" s="46">
        <v>227500</v>
      </c>
      <c r="N90">
        <v>0.252</v>
      </c>
      <c r="O90">
        <v>0</v>
      </c>
      <c r="P90" t="s">
        <v>29</v>
      </c>
      <c r="Q90" t="s">
        <v>209</v>
      </c>
      <c r="R90">
        <v>123</v>
      </c>
      <c r="S90">
        <v>14188.07</v>
      </c>
      <c r="T90">
        <f>Deals_[[#This Row],[Amount]]*Deals_[[#This Row],[Probability_Pct]]</f>
        <v>0</v>
      </c>
    </row>
    <row r="91" spans="1:20" x14ac:dyDescent="0.2">
      <c r="A91" t="s">
        <v>253</v>
      </c>
      <c r="B91" s="7">
        <v>45995</v>
      </c>
      <c r="C91" s="7">
        <v>46126</v>
      </c>
      <c r="D91" t="s">
        <v>254</v>
      </c>
      <c r="E91" t="s">
        <v>91</v>
      </c>
      <c r="F91" t="s">
        <v>74</v>
      </c>
      <c r="G91" t="s">
        <v>34</v>
      </c>
      <c r="H91" t="s">
        <v>120</v>
      </c>
      <c r="I91" t="s">
        <v>42</v>
      </c>
      <c r="J91" t="s">
        <v>57</v>
      </c>
      <c r="K91" t="s">
        <v>50</v>
      </c>
      <c r="L91" t="s">
        <v>28</v>
      </c>
      <c r="M91" s="46">
        <v>191400</v>
      </c>
      <c r="N91">
        <v>7.0000000000000007E-2</v>
      </c>
      <c r="O91">
        <v>1</v>
      </c>
      <c r="P91" t="s">
        <v>29</v>
      </c>
      <c r="R91">
        <v>131</v>
      </c>
      <c r="S91">
        <v>14831.96</v>
      </c>
      <c r="T91">
        <f>Deals_[[#This Row],[Amount]]*Deals_[[#This Row],[Probability_Pct]]</f>
        <v>191400</v>
      </c>
    </row>
    <row r="92" spans="1:20" x14ac:dyDescent="0.2">
      <c r="A92" t="s">
        <v>255</v>
      </c>
      <c r="B92" s="7">
        <v>46184</v>
      </c>
      <c r="C92" s="7">
        <v>46329</v>
      </c>
      <c r="D92" t="s">
        <v>256</v>
      </c>
      <c r="E92" t="s">
        <v>62</v>
      </c>
      <c r="F92" t="s">
        <v>48</v>
      </c>
      <c r="G92" t="s">
        <v>63</v>
      </c>
      <c r="H92" t="s">
        <v>64</v>
      </c>
      <c r="I92" t="s">
        <v>42</v>
      </c>
      <c r="J92" t="s">
        <v>43</v>
      </c>
      <c r="K92" t="s">
        <v>88</v>
      </c>
      <c r="L92" t="s">
        <v>51</v>
      </c>
      <c r="M92" s="46">
        <v>15100</v>
      </c>
      <c r="N92">
        <v>0.10100000000000001</v>
      </c>
      <c r="O92">
        <v>0.35</v>
      </c>
      <c r="P92" t="s">
        <v>38</v>
      </c>
      <c r="R92">
        <v>145</v>
      </c>
      <c r="S92">
        <v>1131.81</v>
      </c>
      <c r="T92">
        <f>Deals_[[#This Row],[Amount]]*Deals_[[#This Row],[Probability_Pct]]</f>
        <v>5285</v>
      </c>
    </row>
    <row r="93" spans="1:20" x14ac:dyDescent="0.2">
      <c r="A93" t="s">
        <v>257</v>
      </c>
      <c r="B93" s="7">
        <v>46274</v>
      </c>
      <c r="C93" s="7">
        <v>46317</v>
      </c>
      <c r="D93" t="s">
        <v>132</v>
      </c>
      <c r="E93" t="s">
        <v>82</v>
      </c>
      <c r="F93" t="s">
        <v>48</v>
      </c>
      <c r="G93" t="s">
        <v>92</v>
      </c>
      <c r="H93" t="s">
        <v>120</v>
      </c>
      <c r="I93" t="s">
        <v>25</v>
      </c>
      <c r="J93" t="s">
        <v>85</v>
      </c>
      <c r="K93" t="s">
        <v>37</v>
      </c>
      <c r="L93" t="s">
        <v>28</v>
      </c>
      <c r="M93" s="46">
        <v>26900</v>
      </c>
      <c r="N93">
        <v>0.14899999999999999</v>
      </c>
      <c r="O93">
        <v>0.05</v>
      </c>
      <c r="P93" t="s">
        <v>38</v>
      </c>
      <c r="R93">
        <v>43</v>
      </c>
      <c r="S93">
        <v>1906.94</v>
      </c>
      <c r="T93">
        <f>Deals_[[#This Row],[Amount]]*Deals_[[#This Row],[Probability_Pct]]</f>
        <v>1345</v>
      </c>
    </row>
    <row r="94" spans="1:20" x14ac:dyDescent="0.2">
      <c r="A94" t="s">
        <v>258</v>
      </c>
      <c r="B94" s="7">
        <v>45980</v>
      </c>
      <c r="C94" s="7">
        <v>46034</v>
      </c>
      <c r="D94" t="s">
        <v>259</v>
      </c>
      <c r="E94" t="s">
        <v>82</v>
      </c>
      <c r="F94" t="s">
        <v>48</v>
      </c>
      <c r="G94" t="s">
        <v>23</v>
      </c>
      <c r="H94" t="s">
        <v>49</v>
      </c>
      <c r="I94" t="s">
        <v>42</v>
      </c>
      <c r="J94" t="s">
        <v>36</v>
      </c>
      <c r="K94" t="s">
        <v>78</v>
      </c>
      <c r="L94" t="s">
        <v>28</v>
      </c>
      <c r="M94" s="46">
        <v>11900</v>
      </c>
      <c r="N94">
        <v>9.7000000000000003E-2</v>
      </c>
      <c r="O94">
        <v>0.55000000000000004</v>
      </c>
      <c r="P94" t="s">
        <v>79</v>
      </c>
      <c r="R94">
        <v>54</v>
      </c>
      <c r="S94">
        <v>895.88</v>
      </c>
      <c r="T94">
        <f>Deals_[[#This Row],[Amount]]*Deals_[[#This Row],[Probability_Pct]]</f>
        <v>6545.0000000000009</v>
      </c>
    </row>
    <row r="95" spans="1:20" x14ac:dyDescent="0.2">
      <c r="A95" t="s">
        <v>260</v>
      </c>
      <c r="B95" s="7">
        <v>45935</v>
      </c>
      <c r="C95" s="7">
        <v>45979</v>
      </c>
      <c r="D95" t="s">
        <v>261</v>
      </c>
      <c r="E95" t="s">
        <v>91</v>
      </c>
      <c r="F95" t="s">
        <v>74</v>
      </c>
      <c r="G95" t="s">
        <v>23</v>
      </c>
      <c r="H95" t="s">
        <v>49</v>
      </c>
      <c r="I95" t="s">
        <v>42</v>
      </c>
      <c r="J95" t="s">
        <v>26</v>
      </c>
      <c r="K95" t="s">
        <v>78</v>
      </c>
      <c r="L95" t="s">
        <v>44</v>
      </c>
      <c r="M95" s="46">
        <v>260000</v>
      </c>
      <c r="N95">
        <v>0.21299999999999999</v>
      </c>
      <c r="O95">
        <v>0.55000000000000004</v>
      </c>
      <c r="P95" t="s">
        <v>79</v>
      </c>
      <c r="R95">
        <v>44</v>
      </c>
      <c r="S95">
        <v>17052.84</v>
      </c>
      <c r="T95">
        <f>Deals_[[#This Row],[Amount]]*Deals_[[#This Row],[Probability_Pct]]</f>
        <v>143000</v>
      </c>
    </row>
    <row r="96" spans="1:20" x14ac:dyDescent="0.2">
      <c r="A96" t="s">
        <v>262</v>
      </c>
      <c r="B96" s="7">
        <v>46198</v>
      </c>
      <c r="C96" s="7">
        <v>46306</v>
      </c>
      <c r="D96" t="s">
        <v>263</v>
      </c>
      <c r="E96" t="s">
        <v>54</v>
      </c>
      <c r="F96" t="s">
        <v>22</v>
      </c>
      <c r="G96" t="s">
        <v>23</v>
      </c>
      <c r="H96" t="s">
        <v>49</v>
      </c>
      <c r="I96" t="s">
        <v>65</v>
      </c>
      <c r="J96" t="s">
        <v>43</v>
      </c>
      <c r="K96" t="s">
        <v>106</v>
      </c>
      <c r="L96" t="s">
        <v>51</v>
      </c>
      <c r="M96" s="46">
        <v>53300</v>
      </c>
      <c r="N96">
        <v>0.216</v>
      </c>
      <c r="O96">
        <v>0.15</v>
      </c>
      <c r="P96" t="s">
        <v>38</v>
      </c>
      <c r="R96">
        <v>108</v>
      </c>
      <c r="S96">
        <v>3484.27</v>
      </c>
      <c r="T96">
        <f>Deals_[[#This Row],[Amount]]*Deals_[[#This Row],[Probability_Pct]]</f>
        <v>7995</v>
      </c>
    </row>
    <row r="97" spans="1:20" x14ac:dyDescent="0.2">
      <c r="A97" t="s">
        <v>264</v>
      </c>
      <c r="B97" s="7">
        <v>46219</v>
      </c>
      <c r="C97" s="7">
        <v>46330</v>
      </c>
      <c r="D97" t="s">
        <v>265</v>
      </c>
      <c r="E97" t="s">
        <v>111</v>
      </c>
      <c r="F97" t="s">
        <v>48</v>
      </c>
      <c r="G97" t="s">
        <v>92</v>
      </c>
      <c r="H97" t="s">
        <v>24</v>
      </c>
      <c r="I97" t="s">
        <v>25</v>
      </c>
      <c r="J97" t="s">
        <v>43</v>
      </c>
      <c r="K97" t="s">
        <v>88</v>
      </c>
      <c r="L97" t="s">
        <v>51</v>
      </c>
      <c r="M97" s="46">
        <v>17100</v>
      </c>
      <c r="N97">
        <v>0.13700000000000001</v>
      </c>
      <c r="O97">
        <v>0.4</v>
      </c>
      <c r="P97" t="s">
        <v>38</v>
      </c>
      <c r="R97">
        <v>111</v>
      </c>
      <c r="S97">
        <v>1229.1199999999999</v>
      </c>
      <c r="T97">
        <f>Deals_[[#This Row],[Amount]]*Deals_[[#This Row],[Probability_Pct]]</f>
        <v>6840</v>
      </c>
    </row>
    <row r="98" spans="1:20" x14ac:dyDescent="0.2">
      <c r="A98" t="s">
        <v>266</v>
      </c>
      <c r="B98" s="7">
        <v>46243</v>
      </c>
      <c r="C98" s="7">
        <v>46336</v>
      </c>
      <c r="D98" t="s">
        <v>267</v>
      </c>
      <c r="E98" t="s">
        <v>111</v>
      </c>
      <c r="F98" t="s">
        <v>48</v>
      </c>
      <c r="G98" t="s">
        <v>63</v>
      </c>
      <c r="H98" t="s">
        <v>95</v>
      </c>
      <c r="I98" t="s">
        <v>65</v>
      </c>
      <c r="J98" t="s">
        <v>85</v>
      </c>
      <c r="K98" t="s">
        <v>78</v>
      </c>
      <c r="L98" t="s">
        <v>44</v>
      </c>
      <c r="M98" s="46">
        <v>13300</v>
      </c>
      <c r="N98">
        <v>5.5E-2</v>
      </c>
      <c r="O98">
        <v>0.55000000000000004</v>
      </c>
      <c r="P98" t="s">
        <v>79</v>
      </c>
      <c r="R98">
        <v>93</v>
      </c>
      <c r="S98">
        <v>1047.82</v>
      </c>
      <c r="T98">
        <f>Deals_[[#This Row],[Amount]]*Deals_[[#This Row],[Probability_Pct]]</f>
        <v>7315.0000000000009</v>
      </c>
    </row>
    <row r="99" spans="1:20" x14ac:dyDescent="0.2">
      <c r="A99" t="s">
        <v>268</v>
      </c>
      <c r="B99" s="7">
        <v>46008</v>
      </c>
      <c r="C99" s="7">
        <v>46092</v>
      </c>
      <c r="D99" t="s">
        <v>269</v>
      </c>
      <c r="E99" t="s">
        <v>82</v>
      </c>
      <c r="F99" t="s">
        <v>22</v>
      </c>
      <c r="G99" t="s">
        <v>23</v>
      </c>
      <c r="H99" t="s">
        <v>64</v>
      </c>
      <c r="I99" t="s">
        <v>99</v>
      </c>
      <c r="J99" t="s">
        <v>85</v>
      </c>
      <c r="K99" t="s">
        <v>106</v>
      </c>
      <c r="L99" t="s">
        <v>51</v>
      </c>
      <c r="M99" s="46">
        <v>48100</v>
      </c>
      <c r="N99">
        <v>7.4999999999999997E-2</v>
      </c>
      <c r="O99">
        <v>0.25</v>
      </c>
      <c r="P99" t="s">
        <v>38</v>
      </c>
      <c r="R99">
        <v>84</v>
      </c>
      <c r="S99">
        <v>3705.97</v>
      </c>
      <c r="T99">
        <f>Deals_[[#This Row],[Amount]]*Deals_[[#This Row],[Probability_Pct]]</f>
        <v>12025</v>
      </c>
    </row>
    <row r="100" spans="1:20" x14ac:dyDescent="0.2">
      <c r="A100" t="s">
        <v>270</v>
      </c>
      <c r="B100" s="7">
        <v>46122</v>
      </c>
      <c r="C100" s="7">
        <v>46251</v>
      </c>
      <c r="D100" t="s">
        <v>271</v>
      </c>
      <c r="E100" t="s">
        <v>54</v>
      </c>
      <c r="F100" t="s">
        <v>48</v>
      </c>
      <c r="G100" t="s">
        <v>92</v>
      </c>
      <c r="H100" t="s">
        <v>56</v>
      </c>
      <c r="I100" t="s">
        <v>25</v>
      </c>
      <c r="J100" t="s">
        <v>43</v>
      </c>
      <c r="K100" t="s">
        <v>37</v>
      </c>
      <c r="L100" t="s">
        <v>44</v>
      </c>
      <c r="M100" s="46">
        <v>14800</v>
      </c>
      <c r="N100">
        <v>9.8000000000000004E-2</v>
      </c>
      <c r="O100">
        <v>0.1</v>
      </c>
      <c r="P100" t="s">
        <v>38</v>
      </c>
      <c r="R100">
        <v>129</v>
      </c>
      <c r="S100">
        <v>1112.04</v>
      </c>
      <c r="T100">
        <f>Deals_[[#This Row],[Amount]]*Deals_[[#This Row],[Probability_Pct]]</f>
        <v>1480</v>
      </c>
    </row>
    <row r="101" spans="1:20" x14ac:dyDescent="0.2">
      <c r="A101" t="s">
        <v>272</v>
      </c>
      <c r="B101" s="7">
        <v>46091</v>
      </c>
      <c r="C101" s="7">
        <v>46214</v>
      </c>
      <c r="D101" t="s">
        <v>273</v>
      </c>
      <c r="E101" t="s">
        <v>91</v>
      </c>
      <c r="F101" t="s">
        <v>74</v>
      </c>
      <c r="G101" t="s">
        <v>63</v>
      </c>
      <c r="H101" t="s">
        <v>56</v>
      </c>
      <c r="I101" t="s">
        <v>35</v>
      </c>
      <c r="J101" t="s">
        <v>26</v>
      </c>
      <c r="K101" t="s">
        <v>50</v>
      </c>
      <c r="L101" t="s">
        <v>44</v>
      </c>
      <c r="M101" s="46">
        <v>254900</v>
      </c>
      <c r="N101">
        <v>0.22600000000000001</v>
      </c>
      <c r="O101">
        <v>1</v>
      </c>
      <c r="P101" t="s">
        <v>29</v>
      </c>
      <c r="R101">
        <v>123</v>
      </c>
      <c r="S101">
        <v>16430.77</v>
      </c>
      <c r="T101">
        <f>Deals_[[#This Row],[Amount]]*Deals_[[#This Row],[Probability_Pct]]</f>
        <v>254900</v>
      </c>
    </row>
    <row r="102" spans="1:20" x14ac:dyDescent="0.2">
      <c r="A102" t="s">
        <v>274</v>
      </c>
      <c r="B102" s="7">
        <v>46137</v>
      </c>
      <c r="C102" s="7">
        <v>46177</v>
      </c>
      <c r="D102" t="s">
        <v>275</v>
      </c>
      <c r="E102" t="s">
        <v>111</v>
      </c>
      <c r="F102" t="s">
        <v>48</v>
      </c>
      <c r="G102" t="s">
        <v>92</v>
      </c>
      <c r="H102" t="s">
        <v>137</v>
      </c>
      <c r="I102" t="s">
        <v>35</v>
      </c>
      <c r="J102" t="s">
        <v>57</v>
      </c>
      <c r="K102" t="s">
        <v>106</v>
      </c>
      <c r="L102" t="s">
        <v>51</v>
      </c>
      <c r="M102" s="46">
        <v>9200</v>
      </c>
      <c r="N102">
        <v>7.1999999999999995E-2</v>
      </c>
      <c r="O102">
        <v>0.25</v>
      </c>
      <c r="P102" t="s">
        <v>38</v>
      </c>
      <c r="R102">
        <v>40</v>
      </c>
      <c r="S102">
        <v>711.62</v>
      </c>
      <c r="T102">
        <f>Deals_[[#This Row],[Amount]]*Deals_[[#This Row],[Probability_Pct]]</f>
        <v>2300</v>
      </c>
    </row>
    <row r="103" spans="1:20" x14ac:dyDescent="0.2">
      <c r="A103" t="s">
        <v>276</v>
      </c>
      <c r="B103" s="7">
        <v>46021</v>
      </c>
      <c r="C103" s="7">
        <v>46164</v>
      </c>
      <c r="D103" t="s">
        <v>277</v>
      </c>
      <c r="E103" t="s">
        <v>54</v>
      </c>
      <c r="F103" t="s">
        <v>74</v>
      </c>
      <c r="G103" t="s">
        <v>34</v>
      </c>
      <c r="H103" t="s">
        <v>49</v>
      </c>
      <c r="I103" t="s">
        <v>42</v>
      </c>
      <c r="J103" t="s">
        <v>36</v>
      </c>
      <c r="K103" t="s">
        <v>37</v>
      </c>
      <c r="L103" t="s">
        <v>44</v>
      </c>
      <c r="M103" s="46">
        <v>109800</v>
      </c>
      <c r="N103">
        <v>5.8999999999999997E-2</v>
      </c>
      <c r="O103">
        <v>0.15</v>
      </c>
      <c r="P103" t="s">
        <v>38</v>
      </c>
      <c r="R103">
        <v>143</v>
      </c>
      <c r="S103">
        <v>8606.31</v>
      </c>
      <c r="T103">
        <f>Deals_[[#This Row],[Amount]]*Deals_[[#This Row],[Probability_Pct]]</f>
        <v>16470</v>
      </c>
    </row>
    <row r="104" spans="1:20" x14ac:dyDescent="0.2">
      <c r="A104" t="s">
        <v>278</v>
      </c>
      <c r="B104" s="7">
        <v>46044</v>
      </c>
      <c r="C104" s="7">
        <v>46161</v>
      </c>
      <c r="D104" t="s">
        <v>279</v>
      </c>
      <c r="E104" t="s">
        <v>82</v>
      </c>
      <c r="F104" t="s">
        <v>22</v>
      </c>
      <c r="G104" t="s">
        <v>55</v>
      </c>
      <c r="H104" t="s">
        <v>56</v>
      </c>
      <c r="I104" t="s">
        <v>25</v>
      </c>
      <c r="J104" t="s">
        <v>26</v>
      </c>
      <c r="K104" t="s">
        <v>27</v>
      </c>
      <c r="L104" t="s">
        <v>44</v>
      </c>
      <c r="M104" s="46">
        <v>98300</v>
      </c>
      <c r="N104">
        <v>0.216</v>
      </c>
      <c r="O104">
        <v>0</v>
      </c>
      <c r="P104" t="s">
        <v>29</v>
      </c>
      <c r="Q104" t="s">
        <v>152</v>
      </c>
      <c r="R104">
        <v>117</v>
      </c>
      <c r="S104">
        <v>6419.29</v>
      </c>
      <c r="T104">
        <f>Deals_[[#This Row],[Amount]]*Deals_[[#This Row],[Probability_Pct]]</f>
        <v>0</v>
      </c>
    </row>
    <row r="105" spans="1:20" x14ac:dyDescent="0.2">
      <c r="A105" t="s">
        <v>280</v>
      </c>
      <c r="B105" s="7">
        <v>46206</v>
      </c>
      <c r="C105" s="7">
        <v>46277</v>
      </c>
      <c r="D105" t="s">
        <v>281</v>
      </c>
      <c r="E105" t="s">
        <v>62</v>
      </c>
      <c r="F105" t="s">
        <v>74</v>
      </c>
      <c r="G105" t="s">
        <v>34</v>
      </c>
      <c r="H105" t="s">
        <v>98</v>
      </c>
      <c r="I105" t="s">
        <v>84</v>
      </c>
      <c r="J105" t="s">
        <v>57</v>
      </c>
      <c r="K105" t="s">
        <v>27</v>
      </c>
      <c r="L105" t="s">
        <v>44</v>
      </c>
      <c r="M105" s="46">
        <v>193200</v>
      </c>
      <c r="N105">
        <v>6.0000000000000001E-3</v>
      </c>
      <c r="O105">
        <v>0</v>
      </c>
      <c r="P105" t="s">
        <v>29</v>
      </c>
      <c r="Q105" t="s">
        <v>188</v>
      </c>
      <c r="R105">
        <v>71</v>
      </c>
      <c r="S105">
        <v>16003.45</v>
      </c>
      <c r="T105">
        <f>Deals_[[#This Row],[Amount]]*Deals_[[#This Row],[Probability_Pct]]</f>
        <v>0</v>
      </c>
    </row>
    <row r="106" spans="1:20" x14ac:dyDescent="0.2">
      <c r="A106" t="s">
        <v>282</v>
      </c>
      <c r="B106" s="7">
        <v>46194</v>
      </c>
      <c r="C106" s="7">
        <v>46265</v>
      </c>
      <c r="D106" t="s">
        <v>283</v>
      </c>
      <c r="E106" t="s">
        <v>68</v>
      </c>
      <c r="F106" t="s">
        <v>48</v>
      </c>
      <c r="G106" t="s">
        <v>55</v>
      </c>
      <c r="H106" t="s">
        <v>69</v>
      </c>
      <c r="I106" t="s">
        <v>42</v>
      </c>
      <c r="J106" t="s">
        <v>85</v>
      </c>
      <c r="K106" t="s">
        <v>78</v>
      </c>
      <c r="L106" t="s">
        <v>44</v>
      </c>
      <c r="M106" s="46">
        <v>8700</v>
      </c>
      <c r="N106">
        <v>0.20799999999999999</v>
      </c>
      <c r="O106">
        <v>0.55000000000000004</v>
      </c>
      <c r="P106" t="s">
        <v>79</v>
      </c>
      <c r="R106">
        <v>71</v>
      </c>
      <c r="S106">
        <v>573.97</v>
      </c>
      <c r="T106">
        <f>Deals_[[#This Row],[Amount]]*Deals_[[#This Row],[Probability_Pct]]</f>
        <v>4785</v>
      </c>
    </row>
    <row r="107" spans="1:20" x14ac:dyDescent="0.2">
      <c r="A107" t="s">
        <v>284</v>
      </c>
      <c r="B107" s="7">
        <v>46194</v>
      </c>
      <c r="C107" s="7">
        <v>46251</v>
      </c>
      <c r="D107" t="s">
        <v>285</v>
      </c>
      <c r="E107" t="s">
        <v>62</v>
      </c>
      <c r="F107" t="s">
        <v>48</v>
      </c>
      <c r="G107" t="s">
        <v>34</v>
      </c>
      <c r="H107" t="s">
        <v>98</v>
      </c>
      <c r="I107" t="s">
        <v>99</v>
      </c>
      <c r="J107" t="s">
        <v>85</v>
      </c>
      <c r="K107" t="s">
        <v>106</v>
      </c>
      <c r="L107" t="s">
        <v>28</v>
      </c>
      <c r="M107" s="46">
        <v>29400</v>
      </c>
      <c r="N107">
        <v>0.112</v>
      </c>
      <c r="O107">
        <v>0.2</v>
      </c>
      <c r="P107" t="s">
        <v>38</v>
      </c>
      <c r="R107">
        <v>57</v>
      </c>
      <c r="S107">
        <v>2176.66</v>
      </c>
      <c r="T107">
        <f>Deals_[[#This Row],[Amount]]*Deals_[[#This Row],[Probability_Pct]]</f>
        <v>5880</v>
      </c>
    </row>
    <row r="108" spans="1:20" x14ac:dyDescent="0.2">
      <c r="A108" t="s">
        <v>286</v>
      </c>
      <c r="B108" s="7">
        <v>45974</v>
      </c>
      <c r="C108" s="7">
        <v>46060</v>
      </c>
      <c r="D108" t="s">
        <v>287</v>
      </c>
      <c r="E108" t="s">
        <v>62</v>
      </c>
      <c r="F108" t="s">
        <v>74</v>
      </c>
      <c r="G108" t="s">
        <v>23</v>
      </c>
      <c r="H108" t="s">
        <v>137</v>
      </c>
      <c r="I108" t="s">
        <v>35</v>
      </c>
      <c r="J108" t="s">
        <v>26</v>
      </c>
      <c r="K108" t="s">
        <v>88</v>
      </c>
      <c r="L108" t="s">
        <v>44</v>
      </c>
      <c r="M108" s="46">
        <v>82700</v>
      </c>
      <c r="N108">
        <v>0.155</v>
      </c>
      <c r="O108">
        <v>0.35</v>
      </c>
      <c r="P108" t="s">
        <v>38</v>
      </c>
      <c r="R108">
        <v>86</v>
      </c>
      <c r="S108">
        <v>5825.52</v>
      </c>
      <c r="T108">
        <f>Deals_[[#This Row],[Amount]]*Deals_[[#This Row],[Probability_Pct]]</f>
        <v>28944.999999999996</v>
      </c>
    </row>
    <row r="109" spans="1:20" x14ac:dyDescent="0.2">
      <c r="A109" t="s">
        <v>288</v>
      </c>
      <c r="B109" s="7">
        <v>46261</v>
      </c>
      <c r="C109" s="7">
        <v>46334</v>
      </c>
      <c r="D109" t="s">
        <v>289</v>
      </c>
      <c r="E109" t="s">
        <v>111</v>
      </c>
      <c r="F109" t="s">
        <v>22</v>
      </c>
      <c r="G109" t="s">
        <v>92</v>
      </c>
      <c r="H109" t="s">
        <v>120</v>
      </c>
      <c r="I109" t="s">
        <v>84</v>
      </c>
      <c r="J109" t="s">
        <v>57</v>
      </c>
      <c r="K109" t="s">
        <v>78</v>
      </c>
      <c r="L109" t="s">
        <v>51</v>
      </c>
      <c r="M109" s="46">
        <v>28400</v>
      </c>
      <c r="N109">
        <v>0.214</v>
      </c>
      <c r="O109">
        <v>0.55000000000000004</v>
      </c>
      <c r="P109" t="s">
        <v>79</v>
      </c>
      <c r="R109">
        <v>73</v>
      </c>
      <c r="S109">
        <v>1860.44</v>
      </c>
      <c r="T109">
        <f>Deals_[[#This Row],[Amount]]*Deals_[[#This Row],[Probability_Pct]]</f>
        <v>15620.000000000002</v>
      </c>
    </row>
    <row r="110" spans="1:20" x14ac:dyDescent="0.2">
      <c r="A110" t="s">
        <v>290</v>
      </c>
      <c r="B110" s="7">
        <v>46233</v>
      </c>
      <c r="C110" s="7">
        <v>46307</v>
      </c>
      <c r="D110" t="s">
        <v>291</v>
      </c>
      <c r="E110" t="s">
        <v>68</v>
      </c>
      <c r="F110" t="s">
        <v>48</v>
      </c>
      <c r="G110" t="s">
        <v>34</v>
      </c>
      <c r="H110" t="s">
        <v>69</v>
      </c>
      <c r="I110" t="s">
        <v>25</v>
      </c>
      <c r="J110" t="s">
        <v>43</v>
      </c>
      <c r="K110" t="s">
        <v>37</v>
      </c>
      <c r="L110" t="s">
        <v>28</v>
      </c>
      <c r="M110" s="46">
        <v>24300</v>
      </c>
      <c r="N110">
        <v>0.11600000000000001</v>
      </c>
      <c r="O110">
        <v>0.1</v>
      </c>
      <c r="P110" t="s">
        <v>38</v>
      </c>
      <c r="R110">
        <v>74</v>
      </c>
      <c r="S110">
        <v>1789.9</v>
      </c>
      <c r="T110">
        <f>Deals_[[#This Row],[Amount]]*Deals_[[#This Row],[Probability_Pct]]</f>
        <v>2430</v>
      </c>
    </row>
    <row r="111" spans="1:20" x14ac:dyDescent="0.2">
      <c r="A111" t="s">
        <v>292</v>
      </c>
      <c r="B111" s="7">
        <v>46227</v>
      </c>
      <c r="C111" s="7">
        <v>46326</v>
      </c>
      <c r="D111" t="s">
        <v>134</v>
      </c>
      <c r="E111" t="s">
        <v>21</v>
      </c>
      <c r="F111" t="s">
        <v>22</v>
      </c>
      <c r="G111" t="s">
        <v>63</v>
      </c>
      <c r="H111" t="s">
        <v>24</v>
      </c>
      <c r="I111" t="s">
        <v>35</v>
      </c>
      <c r="J111" t="s">
        <v>85</v>
      </c>
      <c r="K111" t="s">
        <v>37</v>
      </c>
      <c r="L111" t="s">
        <v>44</v>
      </c>
      <c r="M111" s="46">
        <v>28500</v>
      </c>
      <c r="N111">
        <v>5.8000000000000003E-2</v>
      </c>
      <c r="O111">
        <v>0.1</v>
      </c>
      <c r="P111" t="s">
        <v>38</v>
      </c>
      <c r="R111">
        <v>99</v>
      </c>
      <c r="S111">
        <v>2237.2800000000002</v>
      </c>
      <c r="T111">
        <f>Deals_[[#This Row],[Amount]]*Deals_[[#This Row],[Probability_Pct]]</f>
        <v>2850</v>
      </c>
    </row>
    <row r="112" spans="1:20" x14ac:dyDescent="0.2">
      <c r="A112" t="s">
        <v>293</v>
      </c>
      <c r="B112" s="7">
        <v>46157</v>
      </c>
      <c r="C112" s="7">
        <v>46230</v>
      </c>
      <c r="D112" t="s">
        <v>147</v>
      </c>
      <c r="E112" t="s">
        <v>21</v>
      </c>
      <c r="F112" t="s">
        <v>48</v>
      </c>
      <c r="G112" t="s">
        <v>34</v>
      </c>
      <c r="H112" t="s">
        <v>137</v>
      </c>
      <c r="I112" t="s">
        <v>65</v>
      </c>
      <c r="J112" t="s">
        <v>85</v>
      </c>
      <c r="K112" t="s">
        <v>106</v>
      </c>
      <c r="L112" t="s">
        <v>44</v>
      </c>
      <c r="M112" s="46">
        <v>10800</v>
      </c>
      <c r="N112">
        <v>7.2999999999999995E-2</v>
      </c>
      <c r="O112">
        <v>0.25</v>
      </c>
      <c r="P112" t="s">
        <v>38</v>
      </c>
      <c r="R112">
        <v>73</v>
      </c>
      <c r="S112">
        <v>834.28</v>
      </c>
      <c r="T112">
        <f>Deals_[[#This Row],[Amount]]*Deals_[[#This Row],[Probability_Pct]]</f>
        <v>2700</v>
      </c>
    </row>
    <row r="113" spans="1:20" x14ac:dyDescent="0.2">
      <c r="A113" t="s">
        <v>294</v>
      </c>
      <c r="B113" s="7">
        <v>45977</v>
      </c>
      <c r="C113" s="7">
        <v>46002</v>
      </c>
      <c r="D113" t="s">
        <v>295</v>
      </c>
      <c r="E113" t="s">
        <v>62</v>
      </c>
      <c r="F113" t="s">
        <v>22</v>
      </c>
      <c r="G113" t="s">
        <v>55</v>
      </c>
      <c r="H113" t="s">
        <v>41</v>
      </c>
      <c r="I113" t="s">
        <v>42</v>
      </c>
      <c r="J113" t="s">
        <v>26</v>
      </c>
      <c r="K113" t="s">
        <v>88</v>
      </c>
      <c r="L113" t="s">
        <v>44</v>
      </c>
      <c r="M113" s="46">
        <v>38500</v>
      </c>
      <c r="N113">
        <v>7.3999999999999996E-2</v>
      </c>
      <c r="O113">
        <v>0.35</v>
      </c>
      <c r="P113" t="s">
        <v>38</v>
      </c>
      <c r="R113">
        <v>25</v>
      </c>
      <c r="S113">
        <v>2970.75</v>
      </c>
      <c r="T113">
        <f>Deals_[[#This Row],[Amount]]*Deals_[[#This Row],[Probability_Pct]]</f>
        <v>13475</v>
      </c>
    </row>
    <row r="114" spans="1:20" x14ac:dyDescent="0.2">
      <c r="A114" t="s">
        <v>296</v>
      </c>
      <c r="B114" s="7">
        <v>46153</v>
      </c>
      <c r="C114" s="7">
        <v>46239</v>
      </c>
      <c r="D114" t="s">
        <v>192</v>
      </c>
      <c r="E114" t="s">
        <v>68</v>
      </c>
      <c r="F114" t="s">
        <v>74</v>
      </c>
      <c r="G114" t="s">
        <v>34</v>
      </c>
      <c r="H114" t="s">
        <v>69</v>
      </c>
      <c r="I114" t="s">
        <v>65</v>
      </c>
      <c r="J114" t="s">
        <v>57</v>
      </c>
      <c r="K114" t="s">
        <v>78</v>
      </c>
      <c r="L114" t="s">
        <v>51</v>
      </c>
      <c r="M114" s="46">
        <v>343900</v>
      </c>
      <c r="N114">
        <v>9.1999999999999998E-2</v>
      </c>
      <c r="O114">
        <v>0.5</v>
      </c>
      <c r="P114" t="s">
        <v>79</v>
      </c>
      <c r="R114">
        <v>86</v>
      </c>
      <c r="S114">
        <v>26030.85</v>
      </c>
      <c r="T114">
        <f>Deals_[[#This Row],[Amount]]*Deals_[[#This Row],[Probability_Pct]]</f>
        <v>171950</v>
      </c>
    </row>
    <row r="115" spans="1:20" x14ac:dyDescent="0.2">
      <c r="A115" t="s">
        <v>297</v>
      </c>
      <c r="B115" s="7">
        <v>46010</v>
      </c>
      <c r="C115" s="7">
        <v>46080</v>
      </c>
      <c r="D115" t="s">
        <v>298</v>
      </c>
      <c r="E115" t="s">
        <v>21</v>
      </c>
      <c r="F115" t="s">
        <v>48</v>
      </c>
      <c r="G115" t="s">
        <v>63</v>
      </c>
      <c r="H115" t="s">
        <v>64</v>
      </c>
      <c r="I115" t="s">
        <v>65</v>
      </c>
      <c r="J115" t="s">
        <v>36</v>
      </c>
      <c r="K115" t="s">
        <v>106</v>
      </c>
      <c r="L115" t="s">
        <v>44</v>
      </c>
      <c r="M115" s="46">
        <v>28800</v>
      </c>
      <c r="N115">
        <v>2.3E-2</v>
      </c>
      <c r="O115">
        <v>0.2</v>
      </c>
      <c r="P115" t="s">
        <v>38</v>
      </c>
      <c r="R115">
        <v>70</v>
      </c>
      <c r="S115">
        <v>2344.9899999999998</v>
      </c>
      <c r="T115">
        <f>Deals_[[#This Row],[Amount]]*Deals_[[#This Row],[Probability_Pct]]</f>
        <v>5760</v>
      </c>
    </row>
    <row r="116" spans="1:20" x14ac:dyDescent="0.2">
      <c r="A116" t="s">
        <v>299</v>
      </c>
      <c r="B116" s="7">
        <v>45986</v>
      </c>
      <c r="C116" s="7">
        <v>46100</v>
      </c>
      <c r="D116" t="s">
        <v>71</v>
      </c>
      <c r="E116" t="s">
        <v>33</v>
      </c>
      <c r="F116" t="s">
        <v>48</v>
      </c>
      <c r="G116" t="s">
        <v>34</v>
      </c>
      <c r="H116" t="s">
        <v>41</v>
      </c>
      <c r="I116" t="s">
        <v>25</v>
      </c>
      <c r="J116" t="s">
        <v>36</v>
      </c>
      <c r="K116" t="s">
        <v>27</v>
      </c>
      <c r="L116" t="s">
        <v>28</v>
      </c>
      <c r="M116" s="46">
        <v>16700</v>
      </c>
      <c r="N116">
        <v>0.28599999999999998</v>
      </c>
      <c r="O116">
        <v>0</v>
      </c>
      <c r="P116" t="s">
        <v>29</v>
      </c>
      <c r="Q116" t="s">
        <v>188</v>
      </c>
      <c r="R116">
        <v>114</v>
      </c>
      <c r="S116">
        <v>993.21</v>
      </c>
      <c r="T116">
        <f>Deals_[[#This Row],[Amount]]*Deals_[[#This Row],[Probability_Pct]]</f>
        <v>0</v>
      </c>
    </row>
    <row r="117" spans="1:20" x14ac:dyDescent="0.2">
      <c r="A117" t="s">
        <v>300</v>
      </c>
      <c r="B117" s="7">
        <v>46275</v>
      </c>
      <c r="C117" s="7">
        <v>46318</v>
      </c>
      <c r="D117" t="s">
        <v>301</v>
      </c>
      <c r="E117" t="s">
        <v>91</v>
      </c>
      <c r="F117" t="s">
        <v>48</v>
      </c>
      <c r="G117" t="s">
        <v>63</v>
      </c>
      <c r="H117" t="s">
        <v>41</v>
      </c>
      <c r="I117" t="s">
        <v>84</v>
      </c>
      <c r="J117" t="s">
        <v>57</v>
      </c>
      <c r="K117" t="s">
        <v>37</v>
      </c>
      <c r="L117" t="s">
        <v>51</v>
      </c>
      <c r="M117" s="46">
        <v>21100</v>
      </c>
      <c r="N117">
        <v>0.13900000000000001</v>
      </c>
      <c r="O117">
        <v>0.1</v>
      </c>
      <c r="P117" t="s">
        <v>38</v>
      </c>
      <c r="R117">
        <v>43</v>
      </c>
      <c r="S117">
        <v>1513.68</v>
      </c>
      <c r="T117">
        <f>Deals_[[#This Row],[Amount]]*Deals_[[#This Row],[Probability_Pct]]</f>
        <v>2110</v>
      </c>
    </row>
    <row r="118" spans="1:20" x14ac:dyDescent="0.2">
      <c r="A118" t="s">
        <v>302</v>
      </c>
      <c r="B118" s="7">
        <v>46115</v>
      </c>
      <c r="C118" s="7">
        <v>46177</v>
      </c>
      <c r="D118" t="s">
        <v>303</v>
      </c>
      <c r="E118" t="s">
        <v>111</v>
      </c>
      <c r="F118" t="s">
        <v>48</v>
      </c>
      <c r="G118" t="s">
        <v>92</v>
      </c>
      <c r="H118" t="s">
        <v>120</v>
      </c>
      <c r="I118" t="s">
        <v>35</v>
      </c>
      <c r="J118" t="s">
        <v>36</v>
      </c>
      <c r="K118" t="s">
        <v>106</v>
      </c>
      <c r="L118" t="s">
        <v>51</v>
      </c>
      <c r="M118" s="46">
        <v>26500</v>
      </c>
      <c r="N118">
        <v>0.14000000000000001</v>
      </c>
      <c r="O118">
        <v>0.2</v>
      </c>
      <c r="P118" t="s">
        <v>38</v>
      </c>
      <c r="R118">
        <v>62</v>
      </c>
      <c r="S118">
        <v>1899.01</v>
      </c>
      <c r="T118">
        <f>Deals_[[#This Row],[Amount]]*Deals_[[#This Row],[Probability_Pct]]</f>
        <v>5300</v>
      </c>
    </row>
    <row r="119" spans="1:20" x14ac:dyDescent="0.2">
      <c r="A119" t="s">
        <v>304</v>
      </c>
      <c r="B119" s="7">
        <v>46101</v>
      </c>
      <c r="C119" s="7">
        <v>46126</v>
      </c>
      <c r="D119" t="s">
        <v>305</v>
      </c>
      <c r="E119" t="s">
        <v>91</v>
      </c>
      <c r="F119" t="s">
        <v>48</v>
      </c>
      <c r="G119" t="s">
        <v>34</v>
      </c>
      <c r="H119" t="s">
        <v>64</v>
      </c>
      <c r="I119" t="s">
        <v>42</v>
      </c>
      <c r="J119" t="s">
        <v>57</v>
      </c>
      <c r="K119" t="s">
        <v>78</v>
      </c>
      <c r="L119" t="s">
        <v>51</v>
      </c>
      <c r="M119" s="46">
        <v>26100</v>
      </c>
      <c r="N119">
        <v>0.11799999999999999</v>
      </c>
      <c r="O119">
        <v>0.55000000000000004</v>
      </c>
      <c r="P119" t="s">
        <v>79</v>
      </c>
      <c r="R119">
        <v>25</v>
      </c>
      <c r="S119">
        <v>1918.28</v>
      </c>
      <c r="T119">
        <f>Deals_[[#This Row],[Amount]]*Deals_[[#This Row],[Probability_Pct]]</f>
        <v>14355.000000000002</v>
      </c>
    </row>
    <row r="120" spans="1:20" x14ac:dyDescent="0.2">
      <c r="A120" t="s">
        <v>306</v>
      </c>
      <c r="B120" s="7">
        <v>46003</v>
      </c>
      <c r="C120" s="7">
        <v>46051</v>
      </c>
      <c r="D120" t="s">
        <v>307</v>
      </c>
      <c r="E120" t="s">
        <v>54</v>
      </c>
      <c r="F120" t="s">
        <v>22</v>
      </c>
      <c r="G120" t="s">
        <v>63</v>
      </c>
      <c r="H120" t="s">
        <v>64</v>
      </c>
      <c r="I120" t="s">
        <v>99</v>
      </c>
      <c r="J120" t="s">
        <v>43</v>
      </c>
      <c r="K120" t="s">
        <v>106</v>
      </c>
      <c r="L120" t="s">
        <v>28</v>
      </c>
      <c r="M120" s="46">
        <v>88300</v>
      </c>
      <c r="N120">
        <v>8.3000000000000004E-2</v>
      </c>
      <c r="O120">
        <v>0.15</v>
      </c>
      <c r="P120" t="s">
        <v>38</v>
      </c>
      <c r="R120">
        <v>48</v>
      </c>
      <c r="S120">
        <v>6747.3</v>
      </c>
      <c r="T120">
        <f>Deals_[[#This Row],[Amount]]*Deals_[[#This Row],[Probability_Pct]]</f>
        <v>13245</v>
      </c>
    </row>
    <row r="121" spans="1:20" x14ac:dyDescent="0.2">
      <c r="A121" t="s">
        <v>308</v>
      </c>
      <c r="B121" s="7">
        <v>46117</v>
      </c>
      <c r="C121" s="7">
        <v>46200</v>
      </c>
      <c r="D121" t="s">
        <v>309</v>
      </c>
      <c r="E121" t="s">
        <v>21</v>
      </c>
      <c r="F121" t="s">
        <v>22</v>
      </c>
      <c r="G121" t="s">
        <v>63</v>
      </c>
      <c r="H121" t="s">
        <v>95</v>
      </c>
      <c r="I121" t="s">
        <v>65</v>
      </c>
      <c r="J121" t="s">
        <v>36</v>
      </c>
      <c r="K121" t="s">
        <v>106</v>
      </c>
      <c r="L121" t="s">
        <v>44</v>
      </c>
      <c r="M121" s="46">
        <v>83600</v>
      </c>
      <c r="N121">
        <v>8.6999999999999994E-2</v>
      </c>
      <c r="O121">
        <v>0.2</v>
      </c>
      <c r="P121" t="s">
        <v>38</v>
      </c>
      <c r="R121">
        <v>83</v>
      </c>
      <c r="S121">
        <v>6360.46</v>
      </c>
      <c r="T121">
        <f>Deals_[[#This Row],[Amount]]*Deals_[[#This Row],[Probability_Pct]]</f>
        <v>16720</v>
      </c>
    </row>
    <row r="122" spans="1:20" x14ac:dyDescent="0.2">
      <c r="A122" t="s">
        <v>310</v>
      </c>
      <c r="B122" s="7">
        <v>46071</v>
      </c>
      <c r="C122" s="7">
        <v>46165</v>
      </c>
      <c r="D122" t="s">
        <v>76</v>
      </c>
      <c r="E122" t="s">
        <v>91</v>
      </c>
      <c r="F122" t="s">
        <v>48</v>
      </c>
      <c r="G122" t="s">
        <v>23</v>
      </c>
      <c r="H122" t="s">
        <v>41</v>
      </c>
      <c r="I122" t="s">
        <v>99</v>
      </c>
      <c r="J122" t="s">
        <v>26</v>
      </c>
      <c r="K122" t="s">
        <v>88</v>
      </c>
      <c r="L122" t="s">
        <v>51</v>
      </c>
      <c r="M122" s="46">
        <v>21700</v>
      </c>
      <c r="N122">
        <v>0.13900000000000001</v>
      </c>
      <c r="O122">
        <v>0.35</v>
      </c>
      <c r="P122" t="s">
        <v>38</v>
      </c>
      <c r="R122">
        <v>94</v>
      </c>
      <c r="S122">
        <v>1556.6</v>
      </c>
      <c r="T122">
        <f>Deals_[[#This Row],[Amount]]*Deals_[[#This Row],[Probability_Pct]]</f>
        <v>7594.9999999999991</v>
      </c>
    </row>
    <row r="123" spans="1:20" x14ac:dyDescent="0.2">
      <c r="A123" t="s">
        <v>311</v>
      </c>
      <c r="B123" s="7">
        <v>46179</v>
      </c>
      <c r="C123" s="7">
        <v>46277</v>
      </c>
      <c r="D123" t="s">
        <v>312</v>
      </c>
      <c r="E123" t="s">
        <v>21</v>
      </c>
      <c r="F123" t="s">
        <v>48</v>
      </c>
      <c r="G123" t="s">
        <v>63</v>
      </c>
      <c r="H123" t="s">
        <v>98</v>
      </c>
      <c r="I123" t="s">
        <v>99</v>
      </c>
      <c r="J123" t="s">
        <v>36</v>
      </c>
      <c r="K123" t="s">
        <v>27</v>
      </c>
      <c r="L123" t="s">
        <v>51</v>
      </c>
      <c r="M123" s="46">
        <v>22300</v>
      </c>
      <c r="N123">
        <v>0.123</v>
      </c>
      <c r="O123">
        <v>0.05</v>
      </c>
      <c r="P123" t="s">
        <v>29</v>
      </c>
      <c r="Q123" t="s">
        <v>222</v>
      </c>
      <c r="R123">
        <v>98</v>
      </c>
      <c r="S123">
        <v>1628.94</v>
      </c>
      <c r="T123">
        <f>Deals_[[#This Row],[Amount]]*Deals_[[#This Row],[Probability_Pct]]</f>
        <v>1115</v>
      </c>
    </row>
    <row r="124" spans="1:20" x14ac:dyDescent="0.2">
      <c r="A124" t="s">
        <v>313</v>
      </c>
      <c r="B124" s="7">
        <v>46131</v>
      </c>
      <c r="C124" s="7">
        <v>46162</v>
      </c>
      <c r="D124" t="s">
        <v>314</v>
      </c>
      <c r="E124" t="s">
        <v>62</v>
      </c>
      <c r="F124" t="s">
        <v>22</v>
      </c>
      <c r="G124" t="s">
        <v>23</v>
      </c>
      <c r="H124" t="s">
        <v>77</v>
      </c>
      <c r="I124" t="s">
        <v>25</v>
      </c>
      <c r="J124" t="s">
        <v>26</v>
      </c>
      <c r="K124" t="s">
        <v>88</v>
      </c>
      <c r="L124" t="s">
        <v>28</v>
      </c>
      <c r="M124" s="46">
        <v>93500</v>
      </c>
      <c r="N124">
        <v>0.121</v>
      </c>
      <c r="O124">
        <v>0.35</v>
      </c>
      <c r="P124" t="s">
        <v>38</v>
      </c>
      <c r="R124">
        <v>31</v>
      </c>
      <c r="S124">
        <v>6852.66</v>
      </c>
      <c r="T124">
        <f>Deals_[[#This Row],[Amount]]*Deals_[[#This Row],[Probability_Pct]]</f>
        <v>32724.999999999996</v>
      </c>
    </row>
    <row r="125" spans="1:20" x14ac:dyDescent="0.2">
      <c r="A125" t="s">
        <v>315</v>
      </c>
      <c r="B125" s="7">
        <v>46186</v>
      </c>
      <c r="C125" s="7">
        <v>46226</v>
      </c>
      <c r="D125" t="s">
        <v>316</v>
      </c>
      <c r="E125" t="s">
        <v>82</v>
      </c>
      <c r="F125" t="s">
        <v>74</v>
      </c>
      <c r="G125" t="s">
        <v>92</v>
      </c>
      <c r="H125" t="s">
        <v>49</v>
      </c>
      <c r="I125" t="s">
        <v>25</v>
      </c>
      <c r="J125" t="s">
        <v>57</v>
      </c>
      <c r="K125" t="s">
        <v>106</v>
      </c>
      <c r="L125" t="s">
        <v>44</v>
      </c>
      <c r="M125" s="46">
        <v>80600</v>
      </c>
      <c r="N125">
        <v>0.26200000000000001</v>
      </c>
      <c r="O125">
        <v>0.15</v>
      </c>
      <c r="P125" t="s">
        <v>38</v>
      </c>
      <c r="R125">
        <v>40</v>
      </c>
      <c r="S125">
        <v>4959.08</v>
      </c>
      <c r="T125">
        <f>Deals_[[#This Row],[Amount]]*Deals_[[#This Row],[Probability_Pct]]</f>
        <v>12090</v>
      </c>
    </row>
    <row r="126" spans="1:20" x14ac:dyDescent="0.2">
      <c r="A126" t="s">
        <v>317</v>
      </c>
      <c r="B126" s="7">
        <v>46053</v>
      </c>
      <c r="C126" s="7">
        <v>46119</v>
      </c>
      <c r="D126" t="s">
        <v>318</v>
      </c>
      <c r="E126" t="s">
        <v>62</v>
      </c>
      <c r="F126" t="s">
        <v>22</v>
      </c>
      <c r="G126" t="s">
        <v>34</v>
      </c>
      <c r="H126" t="s">
        <v>137</v>
      </c>
      <c r="I126" t="s">
        <v>25</v>
      </c>
      <c r="J126" t="s">
        <v>57</v>
      </c>
      <c r="K126" t="s">
        <v>78</v>
      </c>
      <c r="L126" t="s">
        <v>51</v>
      </c>
      <c r="M126" s="46">
        <v>41100</v>
      </c>
      <c r="N126">
        <v>0.16400000000000001</v>
      </c>
      <c r="O126">
        <v>0.5</v>
      </c>
      <c r="P126" t="s">
        <v>79</v>
      </c>
      <c r="R126">
        <v>66</v>
      </c>
      <c r="S126">
        <v>2862.39</v>
      </c>
      <c r="T126">
        <f>Deals_[[#This Row],[Amount]]*Deals_[[#This Row],[Probability_Pct]]</f>
        <v>20550</v>
      </c>
    </row>
    <row r="127" spans="1:20" x14ac:dyDescent="0.2">
      <c r="A127" t="s">
        <v>319</v>
      </c>
      <c r="B127" s="7">
        <v>46165</v>
      </c>
      <c r="C127" s="7">
        <v>46314</v>
      </c>
      <c r="D127" t="s">
        <v>265</v>
      </c>
      <c r="E127" t="s">
        <v>68</v>
      </c>
      <c r="F127" t="s">
        <v>22</v>
      </c>
      <c r="G127" t="s">
        <v>23</v>
      </c>
      <c r="H127" t="s">
        <v>69</v>
      </c>
      <c r="I127" t="s">
        <v>99</v>
      </c>
      <c r="J127" t="s">
        <v>36</v>
      </c>
      <c r="K127" t="s">
        <v>37</v>
      </c>
      <c r="L127" t="s">
        <v>51</v>
      </c>
      <c r="M127" s="46">
        <v>70100</v>
      </c>
      <c r="N127">
        <v>1.4E-2</v>
      </c>
      <c r="O127">
        <v>0.15</v>
      </c>
      <c r="P127" t="s">
        <v>38</v>
      </c>
      <c r="R127">
        <v>149</v>
      </c>
      <c r="S127">
        <v>5759.27</v>
      </c>
      <c r="T127">
        <f>Deals_[[#This Row],[Amount]]*Deals_[[#This Row],[Probability_Pct]]</f>
        <v>10515</v>
      </c>
    </row>
    <row r="128" spans="1:20" x14ac:dyDescent="0.2">
      <c r="A128" t="s">
        <v>320</v>
      </c>
      <c r="B128" s="7">
        <v>46021</v>
      </c>
      <c r="C128" s="7">
        <v>46152</v>
      </c>
      <c r="D128" t="s">
        <v>321</v>
      </c>
      <c r="E128" t="s">
        <v>21</v>
      </c>
      <c r="F128" t="s">
        <v>22</v>
      </c>
      <c r="G128" t="s">
        <v>34</v>
      </c>
      <c r="H128" t="s">
        <v>95</v>
      </c>
      <c r="I128" t="s">
        <v>84</v>
      </c>
      <c r="J128" t="s">
        <v>57</v>
      </c>
      <c r="K128" t="s">
        <v>50</v>
      </c>
      <c r="L128" t="s">
        <v>51</v>
      </c>
      <c r="M128" s="46">
        <v>36500</v>
      </c>
      <c r="N128">
        <v>1.6E-2</v>
      </c>
      <c r="O128">
        <v>1</v>
      </c>
      <c r="P128" t="s">
        <v>29</v>
      </c>
      <c r="R128">
        <v>131</v>
      </c>
      <c r="S128">
        <v>2992.16</v>
      </c>
      <c r="T128">
        <f>Deals_[[#This Row],[Amount]]*Deals_[[#This Row],[Probability_Pct]]</f>
        <v>36500</v>
      </c>
    </row>
    <row r="129" spans="1:20" x14ac:dyDescent="0.2">
      <c r="A129" t="s">
        <v>322</v>
      </c>
      <c r="B129" s="7">
        <v>45960</v>
      </c>
      <c r="C129" s="7">
        <v>45985</v>
      </c>
      <c r="D129" t="s">
        <v>323</v>
      </c>
      <c r="E129" t="s">
        <v>21</v>
      </c>
      <c r="F129" t="s">
        <v>22</v>
      </c>
      <c r="G129" t="s">
        <v>55</v>
      </c>
      <c r="H129" t="s">
        <v>137</v>
      </c>
      <c r="I129" t="s">
        <v>25</v>
      </c>
      <c r="J129" t="s">
        <v>85</v>
      </c>
      <c r="K129" t="s">
        <v>88</v>
      </c>
      <c r="L129" t="s">
        <v>28</v>
      </c>
      <c r="M129" s="46">
        <v>79900</v>
      </c>
      <c r="N129">
        <v>0.156</v>
      </c>
      <c r="O129">
        <v>0.35</v>
      </c>
      <c r="P129" t="s">
        <v>38</v>
      </c>
      <c r="R129">
        <v>25</v>
      </c>
      <c r="S129">
        <v>5622.01</v>
      </c>
      <c r="T129">
        <f>Deals_[[#This Row],[Amount]]*Deals_[[#This Row],[Probability_Pct]]</f>
        <v>27965</v>
      </c>
    </row>
    <row r="130" spans="1:20" x14ac:dyDescent="0.2">
      <c r="A130" t="s">
        <v>324</v>
      </c>
      <c r="B130" s="7">
        <v>46053</v>
      </c>
      <c r="C130" s="7">
        <v>46133</v>
      </c>
      <c r="D130" t="s">
        <v>325</v>
      </c>
      <c r="E130" t="s">
        <v>21</v>
      </c>
      <c r="F130" t="s">
        <v>48</v>
      </c>
      <c r="G130" t="s">
        <v>23</v>
      </c>
      <c r="H130" t="s">
        <v>77</v>
      </c>
      <c r="I130" t="s">
        <v>35</v>
      </c>
      <c r="J130" t="s">
        <v>57</v>
      </c>
      <c r="K130" t="s">
        <v>88</v>
      </c>
      <c r="L130" t="s">
        <v>28</v>
      </c>
      <c r="M130" s="46">
        <v>21400</v>
      </c>
      <c r="N130">
        <v>0.121</v>
      </c>
      <c r="O130">
        <v>0.35</v>
      </c>
      <c r="P130" t="s">
        <v>38</v>
      </c>
      <c r="R130">
        <v>80</v>
      </c>
      <c r="S130">
        <v>1566.98</v>
      </c>
      <c r="T130">
        <f>Deals_[[#This Row],[Amount]]*Deals_[[#This Row],[Probability_Pct]]</f>
        <v>7489.9999999999991</v>
      </c>
    </row>
    <row r="131" spans="1:20" x14ac:dyDescent="0.2">
      <c r="A131" t="s">
        <v>326</v>
      </c>
      <c r="B131" s="7">
        <v>45947</v>
      </c>
      <c r="C131" s="7">
        <v>46024</v>
      </c>
      <c r="D131" t="s">
        <v>327</v>
      </c>
      <c r="E131" t="s">
        <v>82</v>
      </c>
      <c r="F131" t="s">
        <v>22</v>
      </c>
      <c r="G131" t="s">
        <v>34</v>
      </c>
      <c r="H131" t="s">
        <v>95</v>
      </c>
      <c r="I131" t="s">
        <v>25</v>
      </c>
      <c r="J131" t="s">
        <v>26</v>
      </c>
      <c r="K131" t="s">
        <v>88</v>
      </c>
      <c r="L131" t="s">
        <v>44</v>
      </c>
      <c r="M131" s="46">
        <v>32000</v>
      </c>
      <c r="N131">
        <v>0.11</v>
      </c>
      <c r="O131">
        <v>0.35</v>
      </c>
      <c r="P131" t="s">
        <v>38</v>
      </c>
      <c r="R131">
        <v>77</v>
      </c>
      <c r="S131">
        <v>2373.7199999999998</v>
      </c>
      <c r="T131">
        <f>Deals_[[#This Row],[Amount]]*Deals_[[#This Row],[Probability_Pct]]</f>
        <v>11200</v>
      </c>
    </row>
    <row r="132" spans="1:20" x14ac:dyDescent="0.2">
      <c r="A132" t="s">
        <v>328</v>
      </c>
      <c r="B132" s="7">
        <v>46194</v>
      </c>
      <c r="C132" s="7">
        <v>46277</v>
      </c>
      <c r="D132" t="s">
        <v>202</v>
      </c>
      <c r="E132" t="s">
        <v>62</v>
      </c>
      <c r="F132" t="s">
        <v>22</v>
      </c>
      <c r="G132" t="s">
        <v>63</v>
      </c>
      <c r="H132" t="s">
        <v>69</v>
      </c>
      <c r="I132" t="s">
        <v>84</v>
      </c>
      <c r="J132" t="s">
        <v>36</v>
      </c>
      <c r="K132" t="s">
        <v>50</v>
      </c>
      <c r="L132" t="s">
        <v>28</v>
      </c>
      <c r="M132" s="46">
        <v>84900</v>
      </c>
      <c r="N132">
        <v>0</v>
      </c>
      <c r="O132">
        <v>0.95</v>
      </c>
      <c r="P132" t="s">
        <v>29</v>
      </c>
      <c r="R132">
        <v>83</v>
      </c>
      <c r="S132">
        <v>7075</v>
      </c>
      <c r="T132">
        <f>Deals_[[#This Row],[Amount]]*Deals_[[#This Row],[Probability_Pct]]</f>
        <v>80655</v>
      </c>
    </row>
    <row r="133" spans="1:20" x14ac:dyDescent="0.2">
      <c r="A133" t="s">
        <v>329</v>
      </c>
      <c r="B133" s="7">
        <v>46193</v>
      </c>
      <c r="C133" s="7">
        <v>46231</v>
      </c>
      <c r="D133" t="s">
        <v>330</v>
      </c>
      <c r="E133" t="s">
        <v>82</v>
      </c>
      <c r="F133" t="s">
        <v>22</v>
      </c>
      <c r="G133" t="s">
        <v>63</v>
      </c>
      <c r="H133" t="s">
        <v>69</v>
      </c>
      <c r="I133" t="s">
        <v>65</v>
      </c>
      <c r="J133" t="s">
        <v>57</v>
      </c>
      <c r="K133" t="s">
        <v>37</v>
      </c>
      <c r="L133" t="s">
        <v>44</v>
      </c>
      <c r="M133" s="46">
        <v>97100</v>
      </c>
      <c r="N133">
        <v>0.14899999999999999</v>
      </c>
      <c r="O133">
        <v>0.15</v>
      </c>
      <c r="P133" t="s">
        <v>38</v>
      </c>
      <c r="R133">
        <v>38</v>
      </c>
      <c r="S133">
        <v>6885.74</v>
      </c>
      <c r="T133">
        <f>Deals_[[#This Row],[Amount]]*Deals_[[#This Row],[Probability_Pct]]</f>
        <v>14565</v>
      </c>
    </row>
    <row r="134" spans="1:20" x14ac:dyDescent="0.2">
      <c r="A134" t="s">
        <v>331</v>
      </c>
      <c r="B134" s="7">
        <v>46155</v>
      </c>
      <c r="C134" s="7">
        <v>46269</v>
      </c>
      <c r="D134" t="s">
        <v>332</v>
      </c>
      <c r="E134" t="s">
        <v>111</v>
      </c>
      <c r="F134" t="s">
        <v>22</v>
      </c>
      <c r="G134" t="s">
        <v>63</v>
      </c>
      <c r="H134" t="s">
        <v>95</v>
      </c>
      <c r="I134" t="s">
        <v>65</v>
      </c>
      <c r="J134" t="s">
        <v>57</v>
      </c>
      <c r="K134" t="s">
        <v>106</v>
      </c>
      <c r="L134" t="s">
        <v>51</v>
      </c>
      <c r="M134" s="46">
        <v>55800</v>
      </c>
      <c r="N134">
        <v>9.6000000000000002E-2</v>
      </c>
      <c r="O134">
        <v>0.2</v>
      </c>
      <c r="P134" t="s">
        <v>38</v>
      </c>
      <c r="R134">
        <v>114</v>
      </c>
      <c r="S134">
        <v>4203.71</v>
      </c>
      <c r="T134">
        <f>Deals_[[#This Row],[Amount]]*Deals_[[#This Row],[Probability_Pct]]</f>
        <v>11160</v>
      </c>
    </row>
    <row r="135" spans="1:20" x14ac:dyDescent="0.2">
      <c r="A135" t="s">
        <v>333</v>
      </c>
      <c r="B135" s="7">
        <v>45970</v>
      </c>
      <c r="C135" s="7">
        <v>46048</v>
      </c>
      <c r="D135" t="s">
        <v>145</v>
      </c>
      <c r="E135" t="s">
        <v>82</v>
      </c>
      <c r="F135" t="s">
        <v>48</v>
      </c>
      <c r="G135" t="s">
        <v>92</v>
      </c>
      <c r="H135" t="s">
        <v>24</v>
      </c>
      <c r="I135" t="s">
        <v>84</v>
      </c>
      <c r="J135" t="s">
        <v>26</v>
      </c>
      <c r="K135" t="s">
        <v>37</v>
      </c>
      <c r="L135" t="s">
        <v>51</v>
      </c>
      <c r="M135" s="46">
        <v>20200</v>
      </c>
      <c r="N135">
        <v>0.11600000000000001</v>
      </c>
      <c r="O135">
        <v>0.1</v>
      </c>
      <c r="P135" t="s">
        <v>38</v>
      </c>
      <c r="R135">
        <v>78</v>
      </c>
      <c r="S135">
        <v>1487.64</v>
      </c>
      <c r="T135">
        <f>Deals_[[#This Row],[Amount]]*Deals_[[#This Row],[Probability_Pct]]</f>
        <v>2020</v>
      </c>
    </row>
    <row r="136" spans="1:20" x14ac:dyDescent="0.2">
      <c r="A136" t="s">
        <v>334</v>
      </c>
      <c r="B136" s="7">
        <v>46268</v>
      </c>
      <c r="C136" s="7">
        <v>46287</v>
      </c>
      <c r="D136" t="s">
        <v>335</v>
      </c>
      <c r="E136" t="s">
        <v>68</v>
      </c>
      <c r="F136" t="s">
        <v>74</v>
      </c>
      <c r="G136" t="s">
        <v>92</v>
      </c>
      <c r="H136" t="s">
        <v>41</v>
      </c>
      <c r="I136" t="s">
        <v>65</v>
      </c>
      <c r="J136" t="s">
        <v>36</v>
      </c>
      <c r="K136" t="s">
        <v>58</v>
      </c>
      <c r="L136" t="s">
        <v>28</v>
      </c>
      <c r="M136" s="46">
        <v>255300</v>
      </c>
      <c r="N136">
        <v>0.156</v>
      </c>
      <c r="O136">
        <v>0.8</v>
      </c>
      <c r="P136" t="s">
        <v>59</v>
      </c>
      <c r="R136">
        <v>19</v>
      </c>
      <c r="S136">
        <v>17957.86</v>
      </c>
      <c r="T136">
        <f>Deals_[[#This Row],[Amount]]*Deals_[[#This Row],[Probability_Pct]]</f>
        <v>204240</v>
      </c>
    </row>
    <row r="137" spans="1:20" x14ac:dyDescent="0.2">
      <c r="A137" t="s">
        <v>336</v>
      </c>
      <c r="B137" s="7">
        <v>46086</v>
      </c>
      <c r="C137" s="7">
        <v>46118</v>
      </c>
      <c r="D137" t="s">
        <v>143</v>
      </c>
      <c r="E137" t="s">
        <v>62</v>
      </c>
      <c r="F137" t="s">
        <v>48</v>
      </c>
      <c r="G137" t="s">
        <v>63</v>
      </c>
      <c r="H137" t="s">
        <v>69</v>
      </c>
      <c r="I137" t="s">
        <v>25</v>
      </c>
      <c r="J137" t="s">
        <v>26</v>
      </c>
      <c r="K137" t="s">
        <v>88</v>
      </c>
      <c r="L137" t="s">
        <v>44</v>
      </c>
      <c r="M137" s="46">
        <v>6800</v>
      </c>
      <c r="N137">
        <v>9.7000000000000003E-2</v>
      </c>
      <c r="O137">
        <v>0.4</v>
      </c>
      <c r="P137" t="s">
        <v>38</v>
      </c>
      <c r="R137">
        <v>32</v>
      </c>
      <c r="S137">
        <v>511.53</v>
      </c>
      <c r="T137">
        <f>Deals_[[#This Row],[Amount]]*Deals_[[#This Row],[Probability_Pct]]</f>
        <v>2720</v>
      </c>
    </row>
    <row r="138" spans="1:20" x14ac:dyDescent="0.2">
      <c r="A138" t="s">
        <v>337</v>
      </c>
      <c r="B138" s="7">
        <v>46159</v>
      </c>
      <c r="C138" s="7">
        <v>46205</v>
      </c>
      <c r="D138" t="s">
        <v>338</v>
      </c>
      <c r="E138" t="s">
        <v>68</v>
      </c>
      <c r="F138" t="s">
        <v>22</v>
      </c>
      <c r="G138" t="s">
        <v>23</v>
      </c>
      <c r="H138" t="s">
        <v>56</v>
      </c>
      <c r="I138" t="s">
        <v>42</v>
      </c>
      <c r="J138" t="s">
        <v>85</v>
      </c>
      <c r="K138" t="s">
        <v>106</v>
      </c>
      <c r="L138" t="s">
        <v>28</v>
      </c>
      <c r="M138" s="46">
        <v>56200</v>
      </c>
      <c r="N138">
        <v>1.9E-2</v>
      </c>
      <c r="O138">
        <v>0.2</v>
      </c>
      <c r="P138" t="s">
        <v>38</v>
      </c>
      <c r="R138">
        <v>46</v>
      </c>
      <c r="S138">
        <v>4596.0600000000004</v>
      </c>
      <c r="T138">
        <f>Deals_[[#This Row],[Amount]]*Deals_[[#This Row],[Probability_Pct]]</f>
        <v>11240</v>
      </c>
    </row>
    <row r="139" spans="1:20" x14ac:dyDescent="0.2">
      <c r="A139" t="s">
        <v>339</v>
      </c>
      <c r="B139" s="7">
        <v>46181</v>
      </c>
      <c r="C139" s="7">
        <v>46277</v>
      </c>
      <c r="D139" t="s">
        <v>321</v>
      </c>
      <c r="E139" t="s">
        <v>62</v>
      </c>
      <c r="F139" t="s">
        <v>74</v>
      </c>
      <c r="G139" t="s">
        <v>55</v>
      </c>
      <c r="H139" t="s">
        <v>95</v>
      </c>
      <c r="I139" t="s">
        <v>35</v>
      </c>
      <c r="J139" t="s">
        <v>26</v>
      </c>
      <c r="K139" t="s">
        <v>27</v>
      </c>
      <c r="L139" t="s">
        <v>28</v>
      </c>
      <c r="M139" s="46">
        <v>340700</v>
      </c>
      <c r="N139">
        <v>0.14299999999999999</v>
      </c>
      <c r="O139">
        <v>0</v>
      </c>
      <c r="P139" t="s">
        <v>29</v>
      </c>
      <c r="Q139" t="s">
        <v>222</v>
      </c>
      <c r="R139">
        <v>96</v>
      </c>
      <c r="S139">
        <v>24334.55</v>
      </c>
      <c r="T139">
        <f>Deals_[[#This Row],[Amount]]*Deals_[[#This Row],[Probability_Pct]]</f>
        <v>0</v>
      </c>
    </row>
    <row r="140" spans="1:20" x14ac:dyDescent="0.2">
      <c r="A140" t="s">
        <v>340</v>
      </c>
      <c r="B140" s="7">
        <v>46209</v>
      </c>
      <c r="C140" s="7">
        <v>46277</v>
      </c>
      <c r="D140" t="s">
        <v>314</v>
      </c>
      <c r="E140" t="s">
        <v>54</v>
      </c>
      <c r="F140" t="s">
        <v>48</v>
      </c>
      <c r="G140" t="s">
        <v>34</v>
      </c>
      <c r="H140" t="s">
        <v>49</v>
      </c>
      <c r="I140" t="s">
        <v>42</v>
      </c>
      <c r="J140" t="s">
        <v>43</v>
      </c>
      <c r="K140" t="s">
        <v>27</v>
      </c>
      <c r="L140" t="s">
        <v>28</v>
      </c>
      <c r="M140" s="46">
        <v>24200</v>
      </c>
      <c r="N140">
        <v>3.9E-2</v>
      </c>
      <c r="O140">
        <v>0</v>
      </c>
      <c r="P140" t="s">
        <v>29</v>
      </c>
      <c r="Q140" t="s">
        <v>188</v>
      </c>
      <c r="R140">
        <v>68</v>
      </c>
      <c r="S140">
        <v>1937.9</v>
      </c>
      <c r="T140">
        <f>Deals_[[#This Row],[Amount]]*Deals_[[#This Row],[Probability_Pct]]</f>
        <v>0</v>
      </c>
    </row>
    <row r="141" spans="1:20" x14ac:dyDescent="0.2">
      <c r="A141" t="s">
        <v>341</v>
      </c>
      <c r="B141" s="7">
        <v>46241</v>
      </c>
      <c r="C141" s="7">
        <v>46328</v>
      </c>
      <c r="D141" t="s">
        <v>342</v>
      </c>
      <c r="E141" t="s">
        <v>62</v>
      </c>
      <c r="F141" t="s">
        <v>48</v>
      </c>
      <c r="G141" t="s">
        <v>63</v>
      </c>
      <c r="H141" t="s">
        <v>83</v>
      </c>
      <c r="I141" t="s">
        <v>35</v>
      </c>
      <c r="J141" t="s">
        <v>43</v>
      </c>
      <c r="K141" t="s">
        <v>37</v>
      </c>
      <c r="L141" t="s">
        <v>51</v>
      </c>
      <c r="M141" s="46">
        <v>28100</v>
      </c>
      <c r="N141">
        <v>9.7000000000000003E-2</v>
      </c>
      <c r="O141">
        <v>0.1</v>
      </c>
      <c r="P141" t="s">
        <v>38</v>
      </c>
      <c r="R141">
        <v>87</v>
      </c>
      <c r="S141">
        <v>2114.9899999999998</v>
      </c>
      <c r="T141">
        <f>Deals_[[#This Row],[Amount]]*Deals_[[#This Row],[Probability_Pct]]</f>
        <v>2810</v>
      </c>
    </row>
    <row r="142" spans="1:20" x14ac:dyDescent="0.2">
      <c r="A142" t="s">
        <v>343</v>
      </c>
      <c r="B142" s="7">
        <v>46210</v>
      </c>
      <c r="C142" s="7">
        <v>46335</v>
      </c>
      <c r="D142" t="s">
        <v>344</v>
      </c>
      <c r="E142" t="s">
        <v>54</v>
      </c>
      <c r="F142" t="s">
        <v>22</v>
      </c>
      <c r="G142" t="s">
        <v>34</v>
      </c>
      <c r="H142" t="s">
        <v>83</v>
      </c>
      <c r="I142" t="s">
        <v>35</v>
      </c>
      <c r="J142" t="s">
        <v>43</v>
      </c>
      <c r="K142" t="s">
        <v>78</v>
      </c>
      <c r="L142" t="s">
        <v>51</v>
      </c>
      <c r="M142" s="46">
        <v>31000</v>
      </c>
      <c r="N142">
        <v>4.5999999999999999E-2</v>
      </c>
      <c r="O142">
        <v>0.55000000000000004</v>
      </c>
      <c r="P142" t="s">
        <v>79</v>
      </c>
      <c r="R142">
        <v>125</v>
      </c>
      <c r="S142">
        <v>2464</v>
      </c>
      <c r="T142">
        <f>Deals_[[#This Row],[Amount]]*Deals_[[#This Row],[Probability_Pct]]</f>
        <v>17050</v>
      </c>
    </row>
    <row r="143" spans="1:20" x14ac:dyDescent="0.2">
      <c r="A143" t="s">
        <v>345</v>
      </c>
      <c r="B143" s="7">
        <v>46006</v>
      </c>
      <c r="C143" s="7">
        <v>46050</v>
      </c>
      <c r="D143" t="s">
        <v>307</v>
      </c>
      <c r="E143" t="s">
        <v>82</v>
      </c>
      <c r="F143" t="s">
        <v>22</v>
      </c>
      <c r="G143" t="s">
        <v>63</v>
      </c>
      <c r="H143" t="s">
        <v>95</v>
      </c>
      <c r="I143" t="s">
        <v>84</v>
      </c>
      <c r="J143" t="s">
        <v>26</v>
      </c>
      <c r="K143" t="s">
        <v>50</v>
      </c>
      <c r="L143" t="s">
        <v>28</v>
      </c>
      <c r="M143" s="46">
        <v>85800</v>
      </c>
      <c r="N143">
        <v>5.6000000000000001E-2</v>
      </c>
      <c r="O143">
        <v>1</v>
      </c>
      <c r="P143" t="s">
        <v>29</v>
      </c>
      <c r="R143">
        <v>44</v>
      </c>
      <c r="S143">
        <v>6746.3</v>
      </c>
      <c r="T143">
        <f>Deals_[[#This Row],[Amount]]*Deals_[[#This Row],[Probability_Pct]]</f>
        <v>85800</v>
      </c>
    </row>
    <row r="144" spans="1:20" x14ac:dyDescent="0.2">
      <c r="A144" t="s">
        <v>346</v>
      </c>
      <c r="B144" s="7">
        <v>46081</v>
      </c>
      <c r="C144" s="7">
        <v>46235</v>
      </c>
      <c r="D144" t="s">
        <v>217</v>
      </c>
      <c r="E144" t="s">
        <v>33</v>
      </c>
      <c r="F144" t="s">
        <v>22</v>
      </c>
      <c r="G144" t="s">
        <v>63</v>
      </c>
      <c r="H144" t="s">
        <v>98</v>
      </c>
      <c r="I144" t="s">
        <v>25</v>
      </c>
      <c r="J144" t="s">
        <v>43</v>
      </c>
      <c r="K144" t="s">
        <v>50</v>
      </c>
      <c r="L144" t="s">
        <v>28</v>
      </c>
      <c r="M144" s="46">
        <v>54100</v>
      </c>
      <c r="N144">
        <v>0.12</v>
      </c>
      <c r="O144">
        <v>1</v>
      </c>
      <c r="P144" t="s">
        <v>29</v>
      </c>
      <c r="R144">
        <v>154</v>
      </c>
      <c r="S144">
        <v>3965.2</v>
      </c>
      <c r="T144">
        <f>Deals_[[#This Row],[Amount]]*Deals_[[#This Row],[Probability_Pct]]</f>
        <v>54100</v>
      </c>
    </row>
    <row r="145" spans="1:20" x14ac:dyDescent="0.2">
      <c r="A145" t="s">
        <v>347</v>
      </c>
      <c r="B145" s="7">
        <v>46126</v>
      </c>
      <c r="C145" s="7">
        <v>46265</v>
      </c>
      <c r="D145" t="s">
        <v>348</v>
      </c>
      <c r="E145" t="s">
        <v>62</v>
      </c>
      <c r="F145" t="s">
        <v>22</v>
      </c>
      <c r="G145" t="s">
        <v>92</v>
      </c>
      <c r="H145" t="s">
        <v>120</v>
      </c>
      <c r="I145" t="s">
        <v>65</v>
      </c>
      <c r="J145" t="s">
        <v>57</v>
      </c>
      <c r="K145" t="s">
        <v>88</v>
      </c>
      <c r="L145" t="s">
        <v>44</v>
      </c>
      <c r="M145" s="46">
        <v>96700</v>
      </c>
      <c r="N145">
        <v>0.105</v>
      </c>
      <c r="O145">
        <v>0.35</v>
      </c>
      <c r="P145" t="s">
        <v>38</v>
      </c>
      <c r="R145">
        <v>139</v>
      </c>
      <c r="S145">
        <v>7212.71</v>
      </c>
      <c r="T145">
        <f>Deals_[[#This Row],[Amount]]*Deals_[[#This Row],[Probability_Pct]]</f>
        <v>33845</v>
      </c>
    </row>
    <row r="146" spans="1:20" x14ac:dyDescent="0.2">
      <c r="A146" t="s">
        <v>349</v>
      </c>
      <c r="B146" s="7">
        <v>46244</v>
      </c>
      <c r="C146" s="7">
        <v>46281</v>
      </c>
      <c r="D146" t="s">
        <v>350</v>
      </c>
      <c r="E146" t="s">
        <v>82</v>
      </c>
      <c r="F146" t="s">
        <v>74</v>
      </c>
      <c r="G146" t="s">
        <v>55</v>
      </c>
      <c r="H146" t="s">
        <v>69</v>
      </c>
      <c r="I146" t="s">
        <v>42</v>
      </c>
      <c r="J146" t="s">
        <v>26</v>
      </c>
      <c r="K146" t="s">
        <v>88</v>
      </c>
      <c r="L146" t="s">
        <v>51</v>
      </c>
      <c r="M146" s="46">
        <v>128100</v>
      </c>
      <c r="N146">
        <v>0.14199999999999999</v>
      </c>
      <c r="O146">
        <v>0.3</v>
      </c>
      <c r="P146" t="s">
        <v>38</v>
      </c>
      <c r="R146">
        <v>37</v>
      </c>
      <c r="S146">
        <v>9161.57</v>
      </c>
      <c r="T146">
        <f>Deals_[[#This Row],[Amount]]*Deals_[[#This Row],[Probability_Pct]]</f>
        <v>38430</v>
      </c>
    </row>
    <row r="147" spans="1:20" x14ac:dyDescent="0.2">
      <c r="A147" t="s">
        <v>351</v>
      </c>
      <c r="B147" s="7">
        <v>45999</v>
      </c>
      <c r="C147" s="7">
        <v>46083</v>
      </c>
      <c r="D147" t="s">
        <v>352</v>
      </c>
      <c r="E147" t="s">
        <v>68</v>
      </c>
      <c r="F147" t="s">
        <v>48</v>
      </c>
      <c r="G147" t="s">
        <v>92</v>
      </c>
      <c r="H147" t="s">
        <v>41</v>
      </c>
      <c r="I147" t="s">
        <v>42</v>
      </c>
      <c r="J147" t="s">
        <v>57</v>
      </c>
      <c r="K147" t="s">
        <v>88</v>
      </c>
      <c r="L147" t="s">
        <v>28</v>
      </c>
      <c r="M147" s="46">
        <v>11900</v>
      </c>
      <c r="N147">
        <v>0.106</v>
      </c>
      <c r="O147">
        <v>0.4</v>
      </c>
      <c r="P147" t="s">
        <v>38</v>
      </c>
      <c r="R147">
        <v>84</v>
      </c>
      <c r="S147">
        <v>886.47</v>
      </c>
      <c r="T147">
        <f>Deals_[[#This Row],[Amount]]*Deals_[[#This Row],[Probability_Pct]]</f>
        <v>4760</v>
      </c>
    </row>
    <row r="148" spans="1:20" x14ac:dyDescent="0.2">
      <c r="A148" t="s">
        <v>353</v>
      </c>
      <c r="B148" s="7">
        <v>46183</v>
      </c>
      <c r="C148" s="7">
        <v>46244</v>
      </c>
      <c r="D148" t="s">
        <v>354</v>
      </c>
      <c r="E148" t="s">
        <v>33</v>
      </c>
      <c r="F148" t="s">
        <v>48</v>
      </c>
      <c r="G148" t="s">
        <v>34</v>
      </c>
      <c r="H148" t="s">
        <v>41</v>
      </c>
      <c r="I148" t="s">
        <v>99</v>
      </c>
      <c r="J148" t="s">
        <v>26</v>
      </c>
      <c r="K148" t="s">
        <v>50</v>
      </c>
      <c r="L148" t="s">
        <v>44</v>
      </c>
      <c r="M148" s="46">
        <v>14000</v>
      </c>
      <c r="N148">
        <v>0.115</v>
      </c>
      <c r="O148">
        <v>1</v>
      </c>
      <c r="P148" t="s">
        <v>29</v>
      </c>
      <c r="R148">
        <v>61</v>
      </c>
      <c r="S148">
        <v>1032.0899999999999</v>
      </c>
      <c r="T148">
        <f>Deals_[[#This Row],[Amount]]*Deals_[[#This Row],[Probability_Pct]]</f>
        <v>14000</v>
      </c>
    </row>
    <row r="149" spans="1:20" x14ac:dyDescent="0.2">
      <c r="A149" t="s">
        <v>355</v>
      </c>
      <c r="B149" s="7">
        <v>45970</v>
      </c>
      <c r="C149" s="7">
        <v>46108</v>
      </c>
      <c r="D149" t="s">
        <v>356</v>
      </c>
      <c r="E149" t="s">
        <v>62</v>
      </c>
      <c r="F149" t="s">
        <v>48</v>
      </c>
      <c r="G149" t="s">
        <v>55</v>
      </c>
      <c r="H149" t="s">
        <v>49</v>
      </c>
      <c r="I149" t="s">
        <v>99</v>
      </c>
      <c r="J149" t="s">
        <v>36</v>
      </c>
      <c r="K149" t="s">
        <v>106</v>
      </c>
      <c r="L149" t="s">
        <v>28</v>
      </c>
      <c r="M149" s="46">
        <v>15400</v>
      </c>
      <c r="N149">
        <v>0.159</v>
      </c>
      <c r="O149">
        <v>0.15</v>
      </c>
      <c r="P149" t="s">
        <v>38</v>
      </c>
      <c r="R149">
        <v>138</v>
      </c>
      <c r="S149">
        <v>1078.99</v>
      </c>
      <c r="T149">
        <f>Deals_[[#This Row],[Amount]]*Deals_[[#This Row],[Probability_Pct]]</f>
        <v>2310</v>
      </c>
    </row>
    <row r="150" spans="1:20" x14ac:dyDescent="0.2">
      <c r="A150" t="s">
        <v>357</v>
      </c>
      <c r="B150" s="7">
        <v>46228</v>
      </c>
      <c r="C150" s="7">
        <v>46331</v>
      </c>
      <c r="D150" t="s">
        <v>358</v>
      </c>
      <c r="E150" t="s">
        <v>111</v>
      </c>
      <c r="F150" t="s">
        <v>48</v>
      </c>
      <c r="G150" t="s">
        <v>34</v>
      </c>
      <c r="H150" t="s">
        <v>137</v>
      </c>
      <c r="I150" t="s">
        <v>42</v>
      </c>
      <c r="J150" t="s">
        <v>57</v>
      </c>
      <c r="K150" t="s">
        <v>78</v>
      </c>
      <c r="L150" t="s">
        <v>51</v>
      </c>
      <c r="M150" s="46">
        <v>27500</v>
      </c>
      <c r="N150">
        <v>0.105</v>
      </c>
      <c r="O150">
        <v>0.55000000000000004</v>
      </c>
      <c r="P150" t="s">
        <v>79</v>
      </c>
      <c r="R150">
        <v>103</v>
      </c>
      <c r="S150">
        <v>2050.37</v>
      </c>
      <c r="T150">
        <f>Deals_[[#This Row],[Amount]]*Deals_[[#This Row],[Probability_Pct]]</f>
        <v>15125.000000000002</v>
      </c>
    </row>
    <row r="151" spans="1:20" x14ac:dyDescent="0.2">
      <c r="A151" t="s">
        <v>359</v>
      </c>
      <c r="B151" s="7">
        <v>46188</v>
      </c>
      <c r="C151" s="7">
        <v>46255</v>
      </c>
      <c r="D151" t="s">
        <v>360</v>
      </c>
      <c r="E151" t="s">
        <v>82</v>
      </c>
      <c r="F151" t="s">
        <v>48</v>
      </c>
      <c r="G151" t="s">
        <v>23</v>
      </c>
      <c r="H151" t="s">
        <v>137</v>
      </c>
      <c r="I151" t="s">
        <v>42</v>
      </c>
      <c r="J151" t="s">
        <v>43</v>
      </c>
      <c r="K151" t="s">
        <v>50</v>
      </c>
      <c r="L151" t="s">
        <v>44</v>
      </c>
      <c r="M151" s="46">
        <v>12800</v>
      </c>
      <c r="N151">
        <v>5.3999999999999999E-2</v>
      </c>
      <c r="O151">
        <v>0.95</v>
      </c>
      <c r="P151" t="s">
        <v>29</v>
      </c>
      <c r="R151">
        <v>67</v>
      </c>
      <c r="S151">
        <v>1008.73</v>
      </c>
      <c r="T151">
        <f>Deals_[[#This Row],[Amount]]*Deals_[[#This Row],[Probability_Pct]]</f>
        <v>12160</v>
      </c>
    </row>
    <row r="152" spans="1:20" x14ac:dyDescent="0.2">
      <c r="A152" t="s">
        <v>361</v>
      </c>
      <c r="B152" s="7">
        <v>46216</v>
      </c>
      <c r="C152" s="7">
        <v>46270</v>
      </c>
      <c r="D152" t="s">
        <v>362</v>
      </c>
      <c r="E152" t="s">
        <v>62</v>
      </c>
      <c r="F152" t="s">
        <v>22</v>
      </c>
      <c r="G152" t="s">
        <v>63</v>
      </c>
      <c r="H152" t="s">
        <v>98</v>
      </c>
      <c r="I152" t="s">
        <v>35</v>
      </c>
      <c r="J152" t="s">
        <v>26</v>
      </c>
      <c r="K152" t="s">
        <v>27</v>
      </c>
      <c r="L152" t="s">
        <v>44</v>
      </c>
      <c r="M152" s="46">
        <v>94000</v>
      </c>
      <c r="N152">
        <v>0.17</v>
      </c>
      <c r="O152">
        <v>0</v>
      </c>
      <c r="P152" t="s">
        <v>29</v>
      </c>
      <c r="Q152" t="s">
        <v>209</v>
      </c>
      <c r="R152">
        <v>54</v>
      </c>
      <c r="S152">
        <v>6504.86</v>
      </c>
      <c r="T152">
        <f>Deals_[[#This Row],[Amount]]*Deals_[[#This Row],[Probability_Pct]]</f>
        <v>0</v>
      </c>
    </row>
    <row r="153" spans="1:20" x14ac:dyDescent="0.2">
      <c r="A153" t="s">
        <v>363</v>
      </c>
      <c r="B153" s="7">
        <v>46256</v>
      </c>
      <c r="C153" s="7">
        <v>46277</v>
      </c>
      <c r="D153" t="s">
        <v>364</v>
      </c>
      <c r="E153" t="s">
        <v>82</v>
      </c>
      <c r="F153" t="s">
        <v>74</v>
      </c>
      <c r="G153" t="s">
        <v>23</v>
      </c>
      <c r="H153" t="s">
        <v>137</v>
      </c>
      <c r="I153" t="s">
        <v>65</v>
      </c>
      <c r="J153" t="s">
        <v>43</v>
      </c>
      <c r="K153" t="s">
        <v>50</v>
      </c>
      <c r="L153" t="s">
        <v>28</v>
      </c>
      <c r="M153" s="46">
        <v>100700</v>
      </c>
      <c r="N153">
        <v>0.13200000000000001</v>
      </c>
      <c r="O153">
        <v>1</v>
      </c>
      <c r="P153" t="s">
        <v>29</v>
      </c>
      <c r="R153">
        <v>21</v>
      </c>
      <c r="S153">
        <v>7284.35</v>
      </c>
      <c r="T153">
        <f>Deals_[[#This Row],[Amount]]*Deals_[[#This Row],[Probability_Pct]]</f>
        <v>100700</v>
      </c>
    </row>
    <row r="154" spans="1:20" x14ac:dyDescent="0.2">
      <c r="A154" t="s">
        <v>365</v>
      </c>
      <c r="B154" s="7">
        <v>45954</v>
      </c>
      <c r="C154" s="7">
        <v>46038</v>
      </c>
      <c r="D154" t="s">
        <v>366</v>
      </c>
      <c r="E154" t="s">
        <v>21</v>
      </c>
      <c r="F154" t="s">
        <v>22</v>
      </c>
      <c r="G154" t="s">
        <v>34</v>
      </c>
      <c r="H154" t="s">
        <v>98</v>
      </c>
      <c r="I154" t="s">
        <v>84</v>
      </c>
      <c r="J154" t="s">
        <v>36</v>
      </c>
      <c r="K154" t="s">
        <v>78</v>
      </c>
      <c r="L154" t="s">
        <v>51</v>
      </c>
      <c r="M154" s="46">
        <v>82100</v>
      </c>
      <c r="N154">
        <v>7.4999999999999997E-2</v>
      </c>
      <c r="O154">
        <v>0.55000000000000004</v>
      </c>
      <c r="P154" t="s">
        <v>79</v>
      </c>
      <c r="R154">
        <v>84</v>
      </c>
      <c r="S154">
        <v>6329.1</v>
      </c>
      <c r="T154">
        <f>Deals_[[#This Row],[Amount]]*Deals_[[#This Row],[Probability_Pct]]</f>
        <v>45155.000000000007</v>
      </c>
    </row>
    <row r="155" spans="1:20" x14ac:dyDescent="0.2">
      <c r="A155" t="s">
        <v>367</v>
      </c>
      <c r="B155" s="7">
        <v>46150</v>
      </c>
      <c r="C155" s="7">
        <v>46233</v>
      </c>
      <c r="D155" t="s">
        <v>368</v>
      </c>
      <c r="E155" t="s">
        <v>68</v>
      </c>
      <c r="F155" t="s">
        <v>22</v>
      </c>
      <c r="G155" t="s">
        <v>23</v>
      </c>
      <c r="H155" t="s">
        <v>137</v>
      </c>
      <c r="I155" t="s">
        <v>35</v>
      </c>
      <c r="J155" t="s">
        <v>57</v>
      </c>
      <c r="K155" t="s">
        <v>37</v>
      </c>
      <c r="L155" t="s">
        <v>51</v>
      </c>
      <c r="M155" s="46">
        <v>63900</v>
      </c>
      <c r="N155">
        <v>0.13900000000000001</v>
      </c>
      <c r="O155">
        <v>0.15</v>
      </c>
      <c r="P155" t="s">
        <v>38</v>
      </c>
      <c r="R155">
        <v>83</v>
      </c>
      <c r="S155">
        <v>4585.63</v>
      </c>
      <c r="T155">
        <f>Deals_[[#This Row],[Amount]]*Deals_[[#This Row],[Probability_Pct]]</f>
        <v>9585</v>
      </c>
    </row>
    <row r="156" spans="1:20" x14ac:dyDescent="0.2">
      <c r="A156" t="s">
        <v>369</v>
      </c>
      <c r="B156" s="7">
        <v>46000</v>
      </c>
      <c r="C156" s="7">
        <v>46155</v>
      </c>
      <c r="D156" t="s">
        <v>370</v>
      </c>
      <c r="E156" t="s">
        <v>82</v>
      </c>
      <c r="F156" t="s">
        <v>22</v>
      </c>
      <c r="G156" t="s">
        <v>34</v>
      </c>
      <c r="H156" t="s">
        <v>137</v>
      </c>
      <c r="I156" t="s">
        <v>99</v>
      </c>
      <c r="J156" t="s">
        <v>43</v>
      </c>
      <c r="K156" t="s">
        <v>50</v>
      </c>
      <c r="L156" t="s">
        <v>51</v>
      </c>
      <c r="M156" s="46">
        <v>35700</v>
      </c>
      <c r="N156">
        <v>0.154</v>
      </c>
      <c r="O156">
        <v>1</v>
      </c>
      <c r="P156" t="s">
        <v>29</v>
      </c>
      <c r="R156">
        <v>155</v>
      </c>
      <c r="S156">
        <v>2515.98</v>
      </c>
      <c r="T156">
        <f>Deals_[[#This Row],[Amount]]*Deals_[[#This Row],[Probability_Pct]]</f>
        <v>35700</v>
      </c>
    </row>
    <row r="157" spans="1:20" x14ac:dyDescent="0.2">
      <c r="A157" t="s">
        <v>371</v>
      </c>
      <c r="B157" s="7">
        <v>46185</v>
      </c>
      <c r="C157" s="7">
        <v>46331</v>
      </c>
      <c r="D157" t="s">
        <v>372</v>
      </c>
      <c r="E157" t="s">
        <v>91</v>
      </c>
      <c r="F157" t="s">
        <v>48</v>
      </c>
      <c r="G157" t="s">
        <v>55</v>
      </c>
      <c r="H157" t="s">
        <v>120</v>
      </c>
      <c r="I157" t="s">
        <v>84</v>
      </c>
      <c r="J157" t="s">
        <v>26</v>
      </c>
      <c r="K157" t="s">
        <v>106</v>
      </c>
      <c r="L157" t="s">
        <v>28</v>
      </c>
      <c r="M157" s="46">
        <v>9200</v>
      </c>
      <c r="N157">
        <v>0.161</v>
      </c>
      <c r="O157">
        <v>0.2</v>
      </c>
      <c r="P157" t="s">
        <v>38</v>
      </c>
      <c r="R157">
        <v>146</v>
      </c>
      <c r="S157">
        <v>643.17999999999995</v>
      </c>
      <c r="T157">
        <f>Deals_[[#This Row],[Amount]]*Deals_[[#This Row],[Probability_Pct]]</f>
        <v>1840</v>
      </c>
    </row>
    <row r="158" spans="1:20" x14ac:dyDescent="0.2">
      <c r="A158" t="s">
        <v>373</v>
      </c>
      <c r="B158" s="7">
        <v>46144</v>
      </c>
      <c r="C158" s="7">
        <v>46271</v>
      </c>
      <c r="D158" t="s">
        <v>130</v>
      </c>
      <c r="E158" t="s">
        <v>91</v>
      </c>
      <c r="F158" t="s">
        <v>48</v>
      </c>
      <c r="G158" t="s">
        <v>92</v>
      </c>
      <c r="H158" t="s">
        <v>83</v>
      </c>
      <c r="I158" t="s">
        <v>25</v>
      </c>
      <c r="J158" t="s">
        <v>26</v>
      </c>
      <c r="K158" t="s">
        <v>37</v>
      </c>
      <c r="L158" t="s">
        <v>28</v>
      </c>
      <c r="M158" s="46">
        <v>22100</v>
      </c>
      <c r="N158">
        <v>0.17899999999999999</v>
      </c>
      <c r="O158">
        <v>0.1</v>
      </c>
      <c r="P158" t="s">
        <v>38</v>
      </c>
      <c r="R158">
        <v>127</v>
      </c>
      <c r="S158">
        <v>1512.11</v>
      </c>
      <c r="T158">
        <f>Deals_[[#This Row],[Amount]]*Deals_[[#This Row],[Probability_Pct]]</f>
        <v>2210</v>
      </c>
    </row>
    <row r="159" spans="1:20" x14ac:dyDescent="0.2">
      <c r="A159" t="s">
        <v>374</v>
      </c>
      <c r="B159" s="7">
        <v>46053</v>
      </c>
      <c r="C159" s="7">
        <v>46147</v>
      </c>
      <c r="D159" t="s">
        <v>375</v>
      </c>
      <c r="E159" t="s">
        <v>21</v>
      </c>
      <c r="F159" t="s">
        <v>48</v>
      </c>
      <c r="G159" t="s">
        <v>55</v>
      </c>
      <c r="H159" t="s">
        <v>49</v>
      </c>
      <c r="I159" t="s">
        <v>25</v>
      </c>
      <c r="J159" t="s">
        <v>43</v>
      </c>
      <c r="K159" t="s">
        <v>88</v>
      </c>
      <c r="L159" t="s">
        <v>44</v>
      </c>
      <c r="M159" s="46">
        <v>24100</v>
      </c>
      <c r="N159">
        <v>0.128</v>
      </c>
      <c r="O159">
        <v>0.35</v>
      </c>
      <c r="P159" t="s">
        <v>38</v>
      </c>
      <c r="R159">
        <v>94</v>
      </c>
      <c r="S159">
        <v>1751.18</v>
      </c>
      <c r="T159">
        <f>Deals_[[#This Row],[Amount]]*Deals_[[#This Row],[Probability_Pct]]</f>
        <v>8435</v>
      </c>
    </row>
    <row r="160" spans="1:20" x14ac:dyDescent="0.2">
      <c r="A160" t="s">
        <v>376</v>
      </c>
      <c r="B160" s="7">
        <v>46257</v>
      </c>
      <c r="C160" s="7">
        <v>46305</v>
      </c>
      <c r="D160" t="s">
        <v>377</v>
      </c>
      <c r="E160" t="s">
        <v>21</v>
      </c>
      <c r="F160" t="s">
        <v>48</v>
      </c>
      <c r="G160" t="s">
        <v>63</v>
      </c>
      <c r="H160" t="s">
        <v>120</v>
      </c>
      <c r="I160" t="s">
        <v>65</v>
      </c>
      <c r="J160" t="s">
        <v>36</v>
      </c>
      <c r="K160" t="s">
        <v>58</v>
      </c>
      <c r="L160" t="s">
        <v>28</v>
      </c>
      <c r="M160" s="46">
        <v>17900</v>
      </c>
      <c r="N160">
        <v>8.6999999999999994E-2</v>
      </c>
      <c r="O160">
        <v>0.8</v>
      </c>
      <c r="P160" t="s">
        <v>59</v>
      </c>
      <c r="R160">
        <v>48</v>
      </c>
      <c r="S160">
        <v>1362.02</v>
      </c>
      <c r="T160">
        <f>Deals_[[#This Row],[Amount]]*Deals_[[#This Row],[Probability_Pct]]</f>
        <v>14320</v>
      </c>
    </row>
    <row r="161" spans="1:20" x14ac:dyDescent="0.2">
      <c r="A161" t="s">
        <v>378</v>
      </c>
      <c r="B161" s="7">
        <v>46084</v>
      </c>
      <c r="C161" s="7">
        <v>46184</v>
      </c>
      <c r="D161" t="s">
        <v>105</v>
      </c>
      <c r="E161" t="s">
        <v>33</v>
      </c>
      <c r="F161" t="s">
        <v>48</v>
      </c>
      <c r="G161" t="s">
        <v>55</v>
      </c>
      <c r="H161" t="s">
        <v>24</v>
      </c>
      <c r="I161" t="s">
        <v>42</v>
      </c>
      <c r="J161" t="s">
        <v>26</v>
      </c>
      <c r="K161" t="s">
        <v>50</v>
      </c>
      <c r="L161" t="s">
        <v>51</v>
      </c>
      <c r="M161" s="46">
        <v>15900</v>
      </c>
      <c r="N161">
        <v>0.16400000000000001</v>
      </c>
      <c r="O161">
        <v>1</v>
      </c>
      <c r="P161" t="s">
        <v>29</v>
      </c>
      <c r="R161">
        <v>100</v>
      </c>
      <c r="S161">
        <v>1107.3599999999999</v>
      </c>
      <c r="T161">
        <f>Deals_[[#This Row],[Amount]]*Deals_[[#This Row],[Probability_Pct]]</f>
        <v>15900</v>
      </c>
    </row>
    <row r="162" spans="1:20" x14ac:dyDescent="0.2">
      <c r="A162" t="s">
        <v>379</v>
      </c>
      <c r="B162" s="7">
        <v>45941</v>
      </c>
      <c r="C162" s="7">
        <v>46029</v>
      </c>
      <c r="D162" t="s">
        <v>380</v>
      </c>
      <c r="E162" t="s">
        <v>21</v>
      </c>
      <c r="F162" t="s">
        <v>48</v>
      </c>
      <c r="G162" t="s">
        <v>23</v>
      </c>
      <c r="H162" t="s">
        <v>24</v>
      </c>
      <c r="I162" t="s">
        <v>99</v>
      </c>
      <c r="J162" t="s">
        <v>26</v>
      </c>
      <c r="K162" t="s">
        <v>78</v>
      </c>
      <c r="L162" t="s">
        <v>28</v>
      </c>
      <c r="M162" s="46">
        <v>28600</v>
      </c>
      <c r="N162">
        <v>0.105</v>
      </c>
      <c r="O162">
        <v>0.5</v>
      </c>
      <c r="P162" t="s">
        <v>79</v>
      </c>
      <c r="R162">
        <v>88</v>
      </c>
      <c r="S162">
        <v>2133.9699999999998</v>
      </c>
      <c r="T162">
        <f>Deals_[[#This Row],[Amount]]*Deals_[[#This Row],[Probability_Pct]]</f>
        <v>14300</v>
      </c>
    </row>
    <row r="163" spans="1:20" x14ac:dyDescent="0.2">
      <c r="A163" t="s">
        <v>381</v>
      </c>
      <c r="B163" s="7">
        <v>46022</v>
      </c>
      <c r="C163" s="7">
        <v>46065</v>
      </c>
      <c r="D163" t="s">
        <v>382</v>
      </c>
      <c r="E163" t="s">
        <v>91</v>
      </c>
      <c r="F163" t="s">
        <v>22</v>
      </c>
      <c r="G163" t="s">
        <v>92</v>
      </c>
      <c r="H163" t="s">
        <v>56</v>
      </c>
      <c r="I163" t="s">
        <v>35</v>
      </c>
      <c r="J163" t="s">
        <v>43</v>
      </c>
      <c r="K163" t="s">
        <v>58</v>
      </c>
      <c r="L163" t="s">
        <v>51</v>
      </c>
      <c r="M163" s="46">
        <v>85600</v>
      </c>
      <c r="N163">
        <v>0.24099999999999999</v>
      </c>
      <c r="O163">
        <v>0.75</v>
      </c>
      <c r="P163" t="s">
        <v>59</v>
      </c>
      <c r="R163">
        <v>43</v>
      </c>
      <c r="S163">
        <v>5416.82</v>
      </c>
      <c r="T163">
        <f>Deals_[[#This Row],[Amount]]*Deals_[[#This Row],[Probability_Pct]]</f>
        <v>64200</v>
      </c>
    </row>
    <row r="164" spans="1:20" x14ac:dyDescent="0.2">
      <c r="A164" t="s">
        <v>383</v>
      </c>
      <c r="B164" s="7">
        <v>45965</v>
      </c>
      <c r="C164" s="7">
        <v>46094</v>
      </c>
      <c r="D164" t="s">
        <v>384</v>
      </c>
      <c r="E164" t="s">
        <v>33</v>
      </c>
      <c r="F164" t="s">
        <v>22</v>
      </c>
      <c r="G164" t="s">
        <v>63</v>
      </c>
      <c r="H164" t="s">
        <v>64</v>
      </c>
      <c r="I164" t="s">
        <v>42</v>
      </c>
      <c r="J164" t="s">
        <v>43</v>
      </c>
      <c r="K164" t="s">
        <v>50</v>
      </c>
      <c r="L164" t="s">
        <v>28</v>
      </c>
      <c r="M164" s="46">
        <v>56800</v>
      </c>
      <c r="N164">
        <v>0.13</v>
      </c>
      <c r="O164">
        <v>1</v>
      </c>
      <c r="P164" t="s">
        <v>29</v>
      </c>
      <c r="R164">
        <v>129</v>
      </c>
      <c r="S164">
        <v>4115.8500000000004</v>
      </c>
      <c r="T164">
        <f>Deals_[[#This Row],[Amount]]*Deals_[[#This Row],[Probability_Pct]]</f>
        <v>56800</v>
      </c>
    </row>
    <row r="165" spans="1:20" x14ac:dyDescent="0.2">
      <c r="A165" t="s">
        <v>385</v>
      </c>
      <c r="B165" s="7">
        <v>45943</v>
      </c>
      <c r="C165" s="7">
        <v>46086</v>
      </c>
      <c r="D165" t="s">
        <v>386</v>
      </c>
      <c r="E165" t="s">
        <v>111</v>
      </c>
      <c r="F165" t="s">
        <v>74</v>
      </c>
      <c r="G165" t="s">
        <v>34</v>
      </c>
      <c r="H165" t="s">
        <v>95</v>
      </c>
      <c r="I165" t="s">
        <v>35</v>
      </c>
      <c r="J165" t="s">
        <v>57</v>
      </c>
      <c r="K165" t="s">
        <v>27</v>
      </c>
      <c r="L165" t="s">
        <v>51</v>
      </c>
      <c r="M165" s="46">
        <v>99400</v>
      </c>
      <c r="N165">
        <v>0.14199999999999999</v>
      </c>
      <c r="O165">
        <v>0</v>
      </c>
      <c r="P165" t="s">
        <v>29</v>
      </c>
      <c r="Q165" t="s">
        <v>188</v>
      </c>
      <c r="R165">
        <v>143</v>
      </c>
      <c r="S165">
        <v>7104.77</v>
      </c>
      <c r="T165">
        <f>Deals_[[#This Row],[Amount]]*Deals_[[#This Row],[Probability_Pct]]</f>
        <v>0</v>
      </c>
    </row>
    <row r="166" spans="1:20" x14ac:dyDescent="0.2">
      <c r="A166" t="s">
        <v>387</v>
      </c>
      <c r="B166" s="7">
        <v>46129</v>
      </c>
      <c r="C166" s="7">
        <v>46250</v>
      </c>
      <c r="D166" t="s">
        <v>388</v>
      </c>
      <c r="E166" t="s">
        <v>54</v>
      </c>
      <c r="F166" t="s">
        <v>48</v>
      </c>
      <c r="G166" t="s">
        <v>34</v>
      </c>
      <c r="H166" t="s">
        <v>49</v>
      </c>
      <c r="I166" t="s">
        <v>84</v>
      </c>
      <c r="J166" t="s">
        <v>36</v>
      </c>
      <c r="K166" t="s">
        <v>88</v>
      </c>
      <c r="L166" t="s">
        <v>44</v>
      </c>
      <c r="M166" s="46">
        <v>24700</v>
      </c>
      <c r="N166">
        <v>0.108</v>
      </c>
      <c r="O166">
        <v>0.4</v>
      </c>
      <c r="P166" t="s">
        <v>38</v>
      </c>
      <c r="R166">
        <v>121</v>
      </c>
      <c r="S166">
        <v>1836.35</v>
      </c>
      <c r="T166">
        <f>Deals_[[#This Row],[Amount]]*Deals_[[#This Row],[Probability_Pct]]</f>
        <v>9880</v>
      </c>
    </row>
    <row r="167" spans="1:20" x14ac:dyDescent="0.2">
      <c r="A167" t="s">
        <v>389</v>
      </c>
      <c r="B167" s="7">
        <v>45986</v>
      </c>
      <c r="C167" s="7">
        <v>46022</v>
      </c>
      <c r="D167" t="s">
        <v>390</v>
      </c>
      <c r="E167" t="s">
        <v>68</v>
      </c>
      <c r="F167" t="s">
        <v>48</v>
      </c>
      <c r="G167" t="s">
        <v>63</v>
      </c>
      <c r="H167" t="s">
        <v>41</v>
      </c>
      <c r="I167" t="s">
        <v>42</v>
      </c>
      <c r="J167" t="s">
        <v>57</v>
      </c>
      <c r="K167" t="s">
        <v>37</v>
      </c>
      <c r="L167" t="s">
        <v>28</v>
      </c>
      <c r="M167" s="46">
        <v>7600</v>
      </c>
      <c r="N167">
        <v>0.21199999999999999</v>
      </c>
      <c r="O167">
        <v>0.1</v>
      </c>
      <c r="P167" t="s">
        <v>38</v>
      </c>
      <c r="R167">
        <v>36</v>
      </c>
      <c r="S167">
        <v>499.02</v>
      </c>
      <c r="T167">
        <f>Deals_[[#This Row],[Amount]]*Deals_[[#This Row],[Probability_Pct]]</f>
        <v>760</v>
      </c>
    </row>
    <row r="168" spans="1:20" x14ac:dyDescent="0.2">
      <c r="A168" t="s">
        <v>391</v>
      </c>
      <c r="B168" s="7">
        <v>46208</v>
      </c>
      <c r="C168" s="7">
        <v>46258</v>
      </c>
      <c r="D168" t="s">
        <v>392</v>
      </c>
      <c r="E168" t="s">
        <v>62</v>
      </c>
      <c r="F168" t="s">
        <v>74</v>
      </c>
      <c r="G168" t="s">
        <v>34</v>
      </c>
      <c r="H168" t="s">
        <v>41</v>
      </c>
      <c r="I168" t="s">
        <v>65</v>
      </c>
      <c r="J168" t="s">
        <v>36</v>
      </c>
      <c r="K168" t="s">
        <v>50</v>
      </c>
      <c r="L168" t="s">
        <v>44</v>
      </c>
      <c r="M168" s="46">
        <v>308700</v>
      </c>
      <c r="N168">
        <v>0.11899999999999999</v>
      </c>
      <c r="O168">
        <v>1</v>
      </c>
      <c r="P168" t="s">
        <v>29</v>
      </c>
      <c r="R168">
        <v>50</v>
      </c>
      <c r="S168">
        <v>22654.34</v>
      </c>
      <c r="T168">
        <f>Deals_[[#This Row],[Amount]]*Deals_[[#This Row],[Probability_Pct]]</f>
        <v>308700</v>
      </c>
    </row>
    <row r="169" spans="1:20" x14ac:dyDescent="0.2">
      <c r="A169" t="s">
        <v>393</v>
      </c>
      <c r="B169" s="7">
        <v>46260</v>
      </c>
      <c r="C169" s="7">
        <v>46277</v>
      </c>
      <c r="D169" t="s">
        <v>394</v>
      </c>
      <c r="E169" t="s">
        <v>91</v>
      </c>
      <c r="F169" t="s">
        <v>74</v>
      </c>
      <c r="G169" t="s">
        <v>63</v>
      </c>
      <c r="H169" t="s">
        <v>56</v>
      </c>
      <c r="I169" t="s">
        <v>99</v>
      </c>
      <c r="J169" t="s">
        <v>43</v>
      </c>
      <c r="K169" t="s">
        <v>27</v>
      </c>
      <c r="L169" t="s">
        <v>51</v>
      </c>
      <c r="M169" s="46">
        <v>341300</v>
      </c>
      <c r="N169">
        <v>1.2E-2</v>
      </c>
      <c r="O169">
        <v>0</v>
      </c>
      <c r="P169" t="s">
        <v>29</v>
      </c>
      <c r="Q169" t="s">
        <v>45</v>
      </c>
      <c r="R169">
        <v>17</v>
      </c>
      <c r="S169">
        <v>28094.46</v>
      </c>
      <c r="T169">
        <f>Deals_[[#This Row],[Amount]]*Deals_[[#This Row],[Probability_Pct]]</f>
        <v>0</v>
      </c>
    </row>
    <row r="170" spans="1:20" x14ac:dyDescent="0.2">
      <c r="A170" t="s">
        <v>395</v>
      </c>
      <c r="B170" s="7">
        <v>46182</v>
      </c>
      <c r="C170" s="7">
        <v>46301</v>
      </c>
      <c r="D170" t="s">
        <v>396</v>
      </c>
      <c r="E170" t="s">
        <v>111</v>
      </c>
      <c r="F170" t="s">
        <v>74</v>
      </c>
      <c r="G170" t="s">
        <v>63</v>
      </c>
      <c r="H170" t="s">
        <v>98</v>
      </c>
      <c r="I170" t="s">
        <v>65</v>
      </c>
      <c r="J170" t="s">
        <v>57</v>
      </c>
      <c r="K170" t="s">
        <v>88</v>
      </c>
      <c r="L170" t="s">
        <v>44</v>
      </c>
      <c r="M170" s="46">
        <v>336500</v>
      </c>
      <c r="N170">
        <v>0.14899999999999999</v>
      </c>
      <c r="O170">
        <v>0.4</v>
      </c>
      <c r="P170" t="s">
        <v>38</v>
      </c>
      <c r="R170">
        <v>119</v>
      </c>
      <c r="S170">
        <v>23849.63</v>
      </c>
      <c r="T170">
        <f>Deals_[[#This Row],[Amount]]*Deals_[[#This Row],[Probability_Pct]]</f>
        <v>134600</v>
      </c>
    </row>
    <row r="171" spans="1:20" x14ac:dyDescent="0.2">
      <c r="A171" t="s">
        <v>397</v>
      </c>
      <c r="B171" s="7">
        <v>45991</v>
      </c>
      <c r="C171" s="7">
        <v>46027</v>
      </c>
      <c r="D171" t="s">
        <v>352</v>
      </c>
      <c r="E171" t="s">
        <v>82</v>
      </c>
      <c r="F171" t="s">
        <v>22</v>
      </c>
      <c r="G171" t="s">
        <v>92</v>
      </c>
      <c r="H171" t="s">
        <v>69</v>
      </c>
      <c r="I171" t="s">
        <v>35</v>
      </c>
      <c r="J171" t="s">
        <v>26</v>
      </c>
      <c r="K171" t="s">
        <v>50</v>
      </c>
      <c r="L171" t="s">
        <v>28</v>
      </c>
      <c r="M171" s="46">
        <v>59300</v>
      </c>
      <c r="N171">
        <v>0.05</v>
      </c>
      <c r="O171">
        <v>1</v>
      </c>
      <c r="P171" t="s">
        <v>29</v>
      </c>
      <c r="R171">
        <v>36</v>
      </c>
      <c r="S171">
        <v>4693.63</v>
      </c>
      <c r="T171">
        <f>Deals_[[#This Row],[Amount]]*Deals_[[#This Row],[Probability_Pct]]</f>
        <v>59300</v>
      </c>
    </row>
    <row r="172" spans="1:20" x14ac:dyDescent="0.2">
      <c r="A172" t="s">
        <v>398</v>
      </c>
      <c r="B172" s="7">
        <v>45988</v>
      </c>
      <c r="C172" s="7">
        <v>46071</v>
      </c>
      <c r="D172" t="s">
        <v>399</v>
      </c>
      <c r="E172" t="s">
        <v>54</v>
      </c>
      <c r="F172" t="s">
        <v>48</v>
      </c>
      <c r="G172" t="s">
        <v>55</v>
      </c>
      <c r="H172" t="s">
        <v>95</v>
      </c>
      <c r="I172" t="s">
        <v>42</v>
      </c>
      <c r="J172" t="s">
        <v>43</v>
      </c>
      <c r="K172" t="s">
        <v>78</v>
      </c>
      <c r="L172" t="s">
        <v>51</v>
      </c>
      <c r="M172" s="46">
        <v>11000</v>
      </c>
      <c r="N172">
        <v>0.221</v>
      </c>
      <c r="O172">
        <v>0.55000000000000004</v>
      </c>
      <c r="P172" t="s">
        <v>79</v>
      </c>
      <c r="R172">
        <v>83</v>
      </c>
      <c r="S172">
        <v>713.77</v>
      </c>
      <c r="T172">
        <f>Deals_[[#This Row],[Amount]]*Deals_[[#This Row],[Probability_Pct]]</f>
        <v>6050.0000000000009</v>
      </c>
    </row>
    <row r="173" spans="1:20" x14ac:dyDescent="0.2">
      <c r="A173" t="s">
        <v>400</v>
      </c>
      <c r="B173" s="7">
        <v>45976</v>
      </c>
      <c r="C173" s="7">
        <v>46126</v>
      </c>
      <c r="D173" t="s">
        <v>401</v>
      </c>
      <c r="E173" t="s">
        <v>111</v>
      </c>
      <c r="F173" t="s">
        <v>48</v>
      </c>
      <c r="G173" t="s">
        <v>92</v>
      </c>
      <c r="H173" t="s">
        <v>98</v>
      </c>
      <c r="I173" t="s">
        <v>35</v>
      </c>
      <c r="J173" t="s">
        <v>85</v>
      </c>
      <c r="K173" t="s">
        <v>88</v>
      </c>
      <c r="L173" t="s">
        <v>44</v>
      </c>
      <c r="M173" s="46">
        <v>22900</v>
      </c>
      <c r="N173">
        <v>0.13900000000000001</v>
      </c>
      <c r="O173">
        <v>0.35</v>
      </c>
      <c r="P173" t="s">
        <v>38</v>
      </c>
      <c r="R173">
        <v>150</v>
      </c>
      <c r="S173">
        <v>1642.82</v>
      </c>
      <c r="T173">
        <f>Deals_[[#This Row],[Amount]]*Deals_[[#This Row],[Probability_Pct]]</f>
        <v>8014.9999999999991</v>
      </c>
    </row>
    <row r="174" spans="1:20" x14ac:dyDescent="0.2">
      <c r="A174" t="s">
        <v>402</v>
      </c>
      <c r="B174" s="7">
        <v>45980</v>
      </c>
      <c r="C174" s="7">
        <v>46134</v>
      </c>
      <c r="D174" t="s">
        <v>243</v>
      </c>
      <c r="E174" t="s">
        <v>82</v>
      </c>
      <c r="F174" t="s">
        <v>48</v>
      </c>
      <c r="G174" t="s">
        <v>92</v>
      </c>
      <c r="H174" t="s">
        <v>77</v>
      </c>
      <c r="I174" t="s">
        <v>99</v>
      </c>
      <c r="J174" t="s">
        <v>85</v>
      </c>
      <c r="K174" t="s">
        <v>50</v>
      </c>
      <c r="L174" t="s">
        <v>44</v>
      </c>
      <c r="M174" s="46">
        <v>25200</v>
      </c>
      <c r="N174">
        <v>0.14599999999999999</v>
      </c>
      <c r="O174">
        <v>1</v>
      </c>
      <c r="P174" t="s">
        <v>29</v>
      </c>
      <c r="R174">
        <v>154</v>
      </c>
      <c r="S174">
        <v>1793.61</v>
      </c>
      <c r="T174">
        <f>Deals_[[#This Row],[Amount]]*Deals_[[#This Row],[Probability_Pct]]</f>
        <v>25200</v>
      </c>
    </row>
    <row r="175" spans="1:20" x14ac:dyDescent="0.2">
      <c r="A175" t="s">
        <v>403</v>
      </c>
      <c r="B175" s="7">
        <v>46062</v>
      </c>
      <c r="C175" s="7">
        <v>46173</v>
      </c>
      <c r="D175" t="s">
        <v>404</v>
      </c>
      <c r="E175" t="s">
        <v>21</v>
      </c>
      <c r="F175" t="s">
        <v>74</v>
      </c>
      <c r="G175" t="s">
        <v>55</v>
      </c>
      <c r="H175" t="s">
        <v>77</v>
      </c>
      <c r="I175" t="s">
        <v>99</v>
      </c>
      <c r="J175" t="s">
        <v>43</v>
      </c>
      <c r="K175" t="s">
        <v>37</v>
      </c>
      <c r="L175" t="s">
        <v>44</v>
      </c>
      <c r="M175" s="46">
        <v>310600</v>
      </c>
      <c r="N175">
        <v>5.7000000000000002E-2</v>
      </c>
      <c r="O175">
        <v>0.1</v>
      </c>
      <c r="P175" t="s">
        <v>38</v>
      </c>
      <c r="R175">
        <v>111</v>
      </c>
      <c r="S175">
        <v>24414.48</v>
      </c>
      <c r="T175">
        <f>Deals_[[#This Row],[Amount]]*Deals_[[#This Row],[Probability_Pct]]</f>
        <v>31060</v>
      </c>
    </row>
    <row r="176" spans="1:20" x14ac:dyDescent="0.2">
      <c r="A176" t="s">
        <v>405</v>
      </c>
      <c r="B176" s="7">
        <v>46070</v>
      </c>
      <c r="C176" s="7">
        <v>46191</v>
      </c>
      <c r="D176" t="s">
        <v>406</v>
      </c>
      <c r="E176" t="s">
        <v>54</v>
      </c>
      <c r="F176" t="s">
        <v>48</v>
      </c>
      <c r="G176" t="s">
        <v>63</v>
      </c>
      <c r="H176" t="s">
        <v>77</v>
      </c>
      <c r="I176" t="s">
        <v>35</v>
      </c>
      <c r="J176" t="s">
        <v>43</v>
      </c>
      <c r="K176" t="s">
        <v>88</v>
      </c>
      <c r="L176" t="s">
        <v>28</v>
      </c>
      <c r="M176" s="46">
        <v>18000</v>
      </c>
      <c r="N176">
        <v>0.13500000000000001</v>
      </c>
      <c r="O176">
        <v>0.3</v>
      </c>
      <c r="P176" t="s">
        <v>38</v>
      </c>
      <c r="R176">
        <v>121</v>
      </c>
      <c r="S176">
        <v>1298.04</v>
      </c>
      <c r="T176">
        <f>Deals_[[#This Row],[Amount]]*Deals_[[#This Row],[Probability_Pct]]</f>
        <v>5400</v>
      </c>
    </row>
    <row r="177" spans="1:20" x14ac:dyDescent="0.2">
      <c r="A177" t="s">
        <v>407</v>
      </c>
      <c r="B177" s="7">
        <v>46036</v>
      </c>
      <c r="C177" s="7">
        <v>46128</v>
      </c>
      <c r="D177" t="s">
        <v>408</v>
      </c>
      <c r="E177" t="s">
        <v>54</v>
      </c>
      <c r="F177" t="s">
        <v>22</v>
      </c>
      <c r="G177" t="s">
        <v>92</v>
      </c>
      <c r="H177" t="s">
        <v>64</v>
      </c>
      <c r="I177" t="s">
        <v>84</v>
      </c>
      <c r="J177" t="s">
        <v>57</v>
      </c>
      <c r="K177" t="s">
        <v>37</v>
      </c>
      <c r="L177" t="s">
        <v>28</v>
      </c>
      <c r="M177" s="46">
        <v>74000</v>
      </c>
      <c r="N177">
        <v>0.09</v>
      </c>
      <c r="O177">
        <v>0.1</v>
      </c>
      <c r="P177" t="s">
        <v>38</v>
      </c>
      <c r="R177">
        <v>92</v>
      </c>
      <c r="S177">
        <v>5612.85</v>
      </c>
      <c r="T177">
        <f>Deals_[[#This Row],[Amount]]*Deals_[[#This Row],[Probability_Pct]]</f>
        <v>7400</v>
      </c>
    </row>
    <row r="178" spans="1:20" x14ac:dyDescent="0.2">
      <c r="A178" t="s">
        <v>409</v>
      </c>
      <c r="B178" s="7">
        <v>46031</v>
      </c>
      <c r="C178" s="7">
        <v>46177</v>
      </c>
      <c r="D178" t="s">
        <v>410</v>
      </c>
      <c r="E178" t="s">
        <v>21</v>
      </c>
      <c r="F178" t="s">
        <v>48</v>
      </c>
      <c r="G178" t="s">
        <v>34</v>
      </c>
      <c r="H178" t="s">
        <v>24</v>
      </c>
      <c r="I178" t="s">
        <v>42</v>
      </c>
      <c r="J178" t="s">
        <v>26</v>
      </c>
      <c r="K178" t="s">
        <v>58</v>
      </c>
      <c r="L178" t="s">
        <v>44</v>
      </c>
      <c r="M178" s="46">
        <v>30000</v>
      </c>
      <c r="N178">
        <v>4.9000000000000002E-2</v>
      </c>
      <c r="O178">
        <v>0.8</v>
      </c>
      <c r="P178" t="s">
        <v>59</v>
      </c>
      <c r="R178">
        <v>146</v>
      </c>
      <c r="S178">
        <v>2377.9499999999998</v>
      </c>
      <c r="T178">
        <f>Deals_[[#This Row],[Amount]]*Deals_[[#This Row],[Probability_Pct]]</f>
        <v>24000</v>
      </c>
    </row>
    <row r="179" spans="1:20" x14ac:dyDescent="0.2">
      <c r="A179" t="s">
        <v>411</v>
      </c>
      <c r="B179" s="7">
        <v>45934</v>
      </c>
      <c r="C179" s="7">
        <v>46011</v>
      </c>
      <c r="D179" t="s">
        <v>412</v>
      </c>
      <c r="E179" t="s">
        <v>62</v>
      </c>
      <c r="F179" t="s">
        <v>74</v>
      </c>
      <c r="G179" t="s">
        <v>23</v>
      </c>
      <c r="H179" t="s">
        <v>120</v>
      </c>
      <c r="I179" t="s">
        <v>25</v>
      </c>
      <c r="J179" t="s">
        <v>26</v>
      </c>
      <c r="K179" t="s">
        <v>50</v>
      </c>
      <c r="L179" t="s">
        <v>51</v>
      </c>
      <c r="M179" s="46">
        <v>300800</v>
      </c>
      <c r="N179">
        <v>0.21099999999999999</v>
      </c>
      <c r="O179">
        <v>1</v>
      </c>
      <c r="P179" t="s">
        <v>29</v>
      </c>
      <c r="R179">
        <v>77</v>
      </c>
      <c r="S179">
        <v>19779.060000000001</v>
      </c>
      <c r="T179">
        <f>Deals_[[#This Row],[Amount]]*Deals_[[#This Row],[Probability_Pct]]</f>
        <v>300800</v>
      </c>
    </row>
    <row r="180" spans="1:20" x14ac:dyDescent="0.2">
      <c r="A180" t="s">
        <v>413</v>
      </c>
      <c r="B180" s="7">
        <v>46123</v>
      </c>
      <c r="C180" s="7">
        <v>46171</v>
      </c>
      <c r="D180" t="s">
        <v>414</v>
      </c>
      <c r="E180" t="s">
        <v>91</v>
      </c>
      <c r="F180" t="s">
        <v>22</v>
      </c>
      <c r="G180" t="s">
        <v>23</v>
      </c>
      <c r="H180" t="s">
        <v>64</v>
      </c>
      <c r="I180" t="s">
        <v>25</v>
      </c>
      <c r="J180" t="s">
        <v>57</v>
      </c>
      <c r="K180" t="s">
        <v>88</v>
      </c>
      <c r="L180" t="s">
        <v>51</v>
      </c>
      <c r="M180" s="46">
        <v>26400</v>
      </c>
      <c r="N180">
        <v>8.9999999999999993E-3</v>
      </c>
      <c r="O180">
        <v>0.35</v>
      </c>
      <c r="P180" t="s">
        <v>38</v>
      </c>
      <c r="R180">
        <v>48</v>
      </c>
      <c r="S180">
        <v>2181.2800000000002</v>
      </c>
      <c r="T180">
        <f>Deals_[[#This Row],[Amount]]*Deals_[[#This Row],[Probability_Pct]]</f>
        <v>9240</v>
      </c>
    </row>
    <row r="181" spans="1:20" x14ac:dyDescent="0.2">
      <c r="A181" t="s">
        <v>415</v>
      </c>
      <c r="B181" s="7">
        <v>46268</v>
      </c>
      <c r="C181" s="7">
        <v>46277</v>
      </c>
      <c r="D181" t="s">
        <v>416</v>
      </c>
      <c r="E181" t="s">
        <v>111</v>
      </c>
      <c r="F181" t="s">
        <v>48</v>
      </c>
      <c r="G181" t="s">
        <v>34</v>
      </c>
      <c r="H181" t="s">
        <v>98</v>
      </c>
      <c r="I181" t="s">
        <v>35</v>
      </c>
      <c r="J181" t="s">
        <v>85</v>
      </c>
      <c r="K181" t="s">
        <v>50</v>
      </c>
      <c r="L181" t="s">
        <v>51</v>
      </c>
      <c r="M181" s="46">
        <v>17300</v>
      </c>
      <c r="N181">
        <v>8.2000000000000003E-2</v>
      </c>
      <c r="O181">
        <v>0.95</v>
      </c>
      <c r="P181" t="s">
        <v>29</v>
      </c>
      <c r="R181">
        <v>9</v>
      </c>
      <c r="S181">
        <v>1323.98</v>
      </c>
      <c r="T181">
        <f>Deals_[[#This Row],[Amount]]*Deals_[[#This Row],[Probability_Pct]]</f>
        <v>16435</v>
      </c>
    </row>
    <row r="182" spans="1:20" x14ac:dyDescent="0.2">
      <c r="A182" t="s">
        <v>417</v>
      </c>
      <c r="B182" s="7">
        <v>46031</v>
      </c>
      <c r="C182" s="7">
        <v>46067</v>
      </c>
      <c r="D182" t="s">
        <v>418</v>
      </c>
      <c r="E182" t="s">
        <v>68</v>
      </c>
      <c r="F182" t="s">
        <v>48</v>
      </c>
      <c r="G182" t="s">
        <v>23</v>
      </c>
      <c r="H182" t="s">
        <v>41</v>
      </c>
      <c r="I182" t="s">
        <v>25</v>
      </c>
      <c r="J182" t="s">
        <v>57</v>
      </c>
      <c r="K182" t="s">
        <v>50</v>
      </c>
      <c r="L182" t="s">
        <v>51</v>
      </c>
      <c r="M182" s="46">
        <v>26300</v>
      </c>
      <c r="N182">
        <v>0</v>
      </c>
      <c r="O182">
        <v>0.95</v>
      </c>
      <c r="P182" t="s">
        <v>29</v>
      </c>
      <c r="R182">
        <v>36</v>
      </c>
      <c r="S182">
        <v>2191.67</v>
      </c>
      <c r="T182">
        <f>Deals_[[#This Row],[Amount]]*Deals_[[#This Row],[Probability_Pct]]</f>
        <v>24985</v>
      </c>
    </row>
    <row r="183" spans="1:20" x14ac:dyDescent="0.2">
      <c r="A183" t="s">
        <v>419</v>
      </c>
      <c r="B183" s="7">
        <v>46192</v>
      </c>
      <c r="C183" s="7">
        <v>46277</v>
      </c>
      <c r="D183" t="s">
        <v>420</v>
      </c>
      <c r="E183" t="s">
        <v>54</v>
      </c>
      <c r="F183" t="s">
        <v>74</v>
      </c>
      <c r="G183" t="s">
        <v>55</v>
      </c>
      <c r="H183" t="s">
        <v>24</v>
      </c>
      <c r="I183" t="s">
        <v>99</v>
      </c>
      <c r="J183" t="s">
        <v>57</v>
      </c>
      <c r="K183" t="s">
        <v>50</v>
      </c>
      <c r="L183" t="s">
        <v>51</v>
      </c>
      <c r="M183" s="46">
        <v>280800</v>
      </c>
      <c r="N183">
        <v>0.12</v>
      </c>
      <c r="O183">
        <v>1</v>
      </c>
      <c r="P183" t="s">
        <v>29</v>
      </c>
      <c r="R183">
        <v>85</v>
      </c>
      <c r="S183">
        <v>20586.55</v>
      </c>
      <c r="T183">
        <f>Deals_[[#This Row],[Amount]]*Deals_[[#This Row],[Probability_Pct]]</f>
        <v>280800</v>
      </c>
    </row>
    <row r="184" spans="1:20" x14ac:dyDescent="0.2">
      <c r="A184" t="s">
        <v>421</v>
      </c>
      <c r="B184" s="7">
        <v>46245</v>
      </c>
      <c r="C184" s="7">
        <v>46319</v>
      </c>
      <c r="D184" t="s">
        <v>422</v>
      </c>
      <c r="E184" t="s">
        <v>91</v>
      </c>
      <c r="F184" t="s">
        <v>48</v>
      </c>
      <c r="G184" t="s">
        <v>63</v>
      </c>
      <c r="H184" t="s">
        <v>98</v>
      </c>
      <c r="I184" t="s">
        <v>35</v>
      </c>
      <c r="J184" t="s">
        <v>36</v>
      </c>
      <c r="K184" t="s">
        <v>37</v>
      </c>
      <c r="L184" t="s">
        <v>51</v>
      </c>
      <c r="M184" s="46">
        <v>23500</v>
      </c>
      <c r="N184">
        <v>0.16200000000000001</v>
      </c>
      <c r="O184">
        <v>0.05</v>
      </c>
      <c r="P184" t="s">
        <v>38</v>
      </c>
      <c r="R184">
        <v>74</v>
      </c>
      <c r="S184">
        <v>1642.06</v>
      </c>
      <c r="T184">
        <f>Deals_[[#This Row],[Amount]]*Deals_[[#This Row],[Probability_Pct]]</f>
        <v>1175</v>
      </c>
    </row>
    <row r="185" spans="1:20" x14ac:dyDescent="0.2">
      <c r="A185" t="s">
        <v>423</v>
      </c>
      <c r="B185" s="7">
        <v>45991</v>
      </c>
      <c r="C185" s="7">
        <v>46026</v>
      </c>
      <c r="D185" t="s">
        <v>327</v>
      </c>
      <c r="E185" t="s">
        <v>68</v>
      </c>
      <c r="F185" t="s">
        <v>48</v>
      </c>
      <c r="G185" t="s">
        <v>63</v>
      </c>
      <c r="H185" t="s">
        <v>137</v>
      </c>
      <c r="I185" t="s">
        <v>35</v>
      </c>
      <c r="J185" t="s">
        <v>36</v>
      </c>
      <c r="K185" t="s">
        <v>88</v>
      </c>
      <c r="L185" t="s">
        <v>51</v>
      </c>
      <c r="M185" s="46">
        <v>19600</v>
      </c>
      <c r="N185">
        <v>5.3999999999999999E-2</v>
      </c>
      <c r="O185">
        <v>0.35</v>
      </c>
      <c r="P185" t="s">
        <v>38</v>
      </c>
      <c r="R185">
        <v>35</v>
      </c>
      <c r="S185">
        <v>1545.39</v>
      </c>
      <c r="T185">
        <f>Deals_[[#This Row],[Amount]]*Deals_[[#This Row],[Probability_Pct]]</f>
        <v>6860</v>
      </c>
    </row>
    <row r="186" spans="1:20" x14ac:dyDescent="0.2">
      <c r="A186" t="s">
        <v>424</v>
      </c>
      <c r="B186" s="7">
        <v>45965</v>
      </c>
      <c r="C186" s="7">
        <v>46102</v>
      </c>
      <c r="D186" t="s">
        <v>425</v>
      </c>
      <c r="E186" t="s">
        <v>111</v>
      </c>
      <c r="F186" t="s">
        <v>48</v>
      </c>
      <c r="G186" t="s">
        <v>34</v>
      </c>
      <c r="H186" t="s">
        <v>137</v>
      </c>
      <c r="I186" t="s">
        <v>42</v>
      </c>
      <c r="J186" t="s">
        <v>26</v>
      </c>
      <c r="K186" t="s">
        <v>88</v>
      </c>
      <c r="L186" t="s">
        <v>51</v>
      </c>
      <c r="M186" s="46">
        <v>6100</v>
      </c>
      <c r="N186">
        <v>8.5999999999999993E-2</v>
      </c>
      <c r="O186">
        <v>0.4</v>
      </c>
      <c r="P186" t="s">
        <v>38</v>
      </c>
      <c r="R186">
        <v>137</v>
      </c>
      <c r="S186">
        <v>464.49</v>
      </c>
      <c r="T186">
        <f>Deals_[[#This Row],[Amount]]*Deals_[[#This Row],[Probability_Pct]]</f>
        <v>2440</v>
      </c>
    </row>
    <row r="187" spans="1:20" x14ac:dyDescent="0.2">
      <c r="A187" t="s">
        <v>426</v>
      </c>
      <c r="B187" s="7">
        <v>46139</v>
      </c>
      <c r="C187" s="7">
        <v>46189</v>
      </c>
      <c r="D187" t="s">
        <v>427</v>
      </c>
      <c r="E187" t="s">
        <v>62</v>
      </c>
      <c r="F187" t="s">
        <v>74</v>
      </c>
      <c r="G187" t="s">
        <v>63</v>
      </c>
      <c r="H187" t="s">
        <v>137</v>
      </c>
      <c r="I187" t="s">
        <v>99</v>
      </c>
      <c r="J187" t="s">
        <v>85</v>
      </c>
      <c r="K187" t="s">
        <v>50</v>
      </c>
      <c r="L187" t="s">
        <v>44</v>
      </c>
      <c r="M187" s="46">
        <v>148800</v>
      </c>
      <c r="N187">
        <v>0.01</v>
      </c>
      <c r="O187">
        <v>1</v>
      </c>
      <c r="P187" t="s">
        <v>29</v>
      </c>
      <c r="R187">
        <v>50</v>
      </c>
      <c r="S187">
        <v>12270.04</v>
      </c>
      <c r="T187">
        <f>Deals_[[#This Row],[Amount]]*Deals_[[#This Row],[Probability_Pct]]</f>
        <v>148800</v>
      </c>
    </row>
    <row r="188" spans="1:20" x14ac:dyDescent="0.2">
      <c r="A188" t="s">
        <v>428</v>
      </c>
      <c r="B188" s="7">
        <v>45979</v>
      </c>
      <c r="C188" s="7">
        <v>46041</v>
      </c>
      <c r="D188" t="s">
        <v>429</v>
      </c>
      <c r="E188" t="s">
        <v>33</v>
      </c>
      <c r="F188" t="s">
        <v>48</v>
      </c>
      <c r="G188" t="s">
        <v>34</v>
      </c>
      <c r="H188" t="s">
        <v>98</v>
      </c>
      <c r="I188" t="s">
        <v>42</v>
      </c>
      <c r="J188" t="s">
        <v>36</v>
      </c>
      <c r="K188" t="s">
        <v>50</v>
      </c>
      <c r="L188" t="s">
        <v>51</v>
      </c>
      <c r="M188" s="46">
        <v>25700</v>
      </c>
      <c r="N188">
        <v>6.6000000000000003E-2</v>
      </c>
      <c r="O188">
        <v>1</v>
      </c>
      <c r="P188" t="s">
        <v>29</v>
      </c>
      <c r="R188">
        <v>62</v>
      </c>
      <c r="S188">
        <v>2001.1</v>
      </c>
      <c r="T188">
        <f>Deals_[[#This Row],[Amount]]*Deals_[[#This Row],[Probability_Pct]]</f>
        <v>25700</v>
      </c>
    </row>
    <row r="189" spans="1:20" x14ac:dyDescent="0.2">
      <c r="A189" t="s">
        <v>430</v>
      </c>
      <c r="B189" s="7">
        <v>46054</v>
      </c>
      <c r="C189" s="7">
        <v>46187</v>
      </c>
      <c r="D189" t="s">
        <v>431</v>
      </c>
      <c r="E189" t="s">
        <v>33</v>
      </c>
      <c r="F189" t="s">
        <v>74</v>
      </c>
      <c r="G189" t="s">
        <v>55</v>
      </c>
      <c r="H189" t="s">
        <v>98</v>
      </c>
      <c r="I189" t="s">
        <v>25</v>
      </c>
      <c r="J189" t="s">
        <v>26</v>
      </c>
      <c r="K189" t="s">
        <v>106</v>
      </c>
      <c r="L189" t="s">
        <v>44</v>
      </c>
      <c r="M189" s="46">
        <v>209400</v>
      </c>
      <c r="N189">
        <v>0.17499999999999999</v>
      </c>
      <c r="O189">
        <v>0.15</v>
      </c>
      <c r="P189" t="s">
        <v>38</v>
      </c>
      <c r="R189">
        <v>133</v>
      </c>
      <c r="S189">
        <v>14396.82</v>
      </c>
      <c r="T189">
        <f>Deals_[[#This Row],[Amount]]*Deals_[[#This Row],[Probability_Pct]]</f>
        <v>31410</v>
      </c>
    </row>
    <row r="190" spans="1:20" x14ac:dyDescent="0.2">
      <c r="A190" t="s">
        <v>432</v>
      </c>
      <c r="B190" s="7">
        <v>46182</v>
      </c>
      <c r="C190" s="7">
        <v>46277</v>
      </c>
      <c r="D190" t="s">
        <v>433</v>
      </c>
      <c r="E190" t="s">
        <v>21</v>
      </c>
      <c r="F190" t="s">
        <v>74</v>
      </c>
      <c r="G190" t="s">
        <v>55</v>
      </c>
      <c r="H190" t="s">
        <v>49</v>
      </c>
      <c r="I190" t="s">
        <v>25</v>
      </c>
      <c r="J190" t="s">
        <v>26</v>
      </c>
      <c r="K190" t="s">
        <v>27</v>
      </c>
      <c r="L190" t="s">
        <v>28</v>
      </c>
      <c r="M190" s="46">
        <v>148900</v>
      </c>
      <c r="N190">
        <v>0.16200000000000001</v>
      </c>
      <c r="O190">
        <v>0</v>
      </c>
      <c r="P190" t="s">
        <v>29</v>
      </c>
      <c r="Q190" t="s">
        <v>209</v>
      </c>
      <c r="R190">
        <v>95</v>
      </c>
      <c r="S190">
        <v>10394.27</v>
      </c>
      <c r="T190">
        <f>Deals_[[#This Row],[Amount]]*Deals_[[#This Row],[Probability_Pct]]</f>
        <v>0</v>
      </c>
    </row>
    <row r="191" spans="1:20" x14ac:dyDescent="0.2">
      <c r="A191" t="s">
        <v>434</v>
      </c>
      <c r="B191" s="7">
        <v>46097</v>
      </c>
      <c r="C191" s="7">
        <v>46170</v>
      </c>
      <c r="D191" t="s">
        <v>435</v>
      </c>
      <c r="E191" t="s">
        <v>82</v>
      </c>
      <c r="F191" t="s">
        <v>48</v>
      </c>
      <c r="G191" t="s">
        <v>34</v>
      </c>
      <c r="H191" t="s">
        <v>83</v>
      </c>
      <c r="I191" t="s">
        <v>99</v>
      </c>
      <c r="J191" t="s">
        <v>57</v>
      </c>
      <c r="K191" t="s">
        <v>37</v>
      </c>
      <c r="L191" t="s">
        <v>51</v>
      </c>
      <c r="M191" s="46">
        <v>27600</v>
      </c>
      <c r="N191">
        <v>8.3000000000000004E-2</v>
      </c>
      <c r="O191">
        <v>0.1</v>
      </c>
      <c r="P191" t="s">
        <v>38</v>
      </c>
      <c r="R191">
        <v>73</v>
      </c>
      <c r="S191">
        <v>2108.71</v>
      </c>
      <c r="T191">
        <f>Deals_[[#This Row],[Amount]]*Deals_[[#This Row],[Probability_Pct]]</f>
        <v>2760</v>
      </c>
    </row>
    <row r="192" spans="1:20" x14ac:dyDescent="0.2">
      <c r="A192" t="s">
        <v>436</v>
      </c>
      <c r="B192" s="7">
        <v>46029</v>
      </c>
      <c r="C192" s="7">
        <v>46128</v>
      </c>
      <c r="D192" t="s">
        <v>425</v>
      </c>
      <c r="E192" t="s">
        <v>62</v>
      </c>
      <c r="F192" t="s">
        <v>48</v>
      </c>
      <c r="G192" t="s">
        <v>55</v>
      </c>
      <c r="H192" t="s">
        <v>98</v>
      </c>
      <c r="I192" t="s">
        <v>99</v>
      </c>
      <c r="J192" t="s">
        <v>36</v>
      </c>
      <c r="K192" t="s">
        <v>37</v>
      </c>
      <c r="L192" t="s">
        <v>28</v>
      </c>
      <c r="M192" s="46">
        <v>29700</v>
      </c>
      <c r="N192">
        <v>0.13100000000000001</v>
      </c>
      <c r="O192">
        <v>0.05</v>
      </c>
      <c r="P192" t="s">
        <v>38</v>
      </c>
      <c r="R192">
        <v>99</v>
      </c>
      <c r="S192">
        <v>2151.42</v>
      </c>
      <c r="T192">
        <f>Deals_[[#This Row],[Amount]]*Deals_[[#This Row],[Probability_Pct]]</f>
        <v>1485</v>
      </c>
    </row>
    <row r="193" spans="1:20" x14ac:dyDescent="0.2">
      <c r="A193" t="s">
        <v>437</v>
      </c>
      <c r="B193" s="7">
        <v>46084</v>
      </c>
      <c r="C193" s="7">
        <v>46119</v>
      </c>
      <c r="D193" t="s">
        <v>438</v>
      </c>
      <c r="E193" t="s">
        <v>111</v>
      </c>
      <c r="F193" t="s">
        <v>74</v>
      </c>
      <c r="G193" t="s">
        <v>92</v>
      </c>
      <c r="H193" t="s">
        <v>77</v>
      </c>
      <c r="I193" t="s">
        <v>65</v>
      </c>
      <c r="J193" t="s">
        <v>85</v>
      </c>
      <c r="K193" t="s">
        <v>88</v>
      </c>
      <c r="L193" t="s">
        <v>28</v>
      </c>
      <c r="M193" s="46">
        <v>184600</v>
      </c>
      <c r="N193">
        <v>4.3999999999999997E-2</v>
      </c>
      <c r="O193">
        <v>0.3</v>
      </c>
      <c r="P193" t="s">
        <v>38</v>
      </c>
      <c r="R193">
        <v>35</v>
      </c>
      <c r="S193">
        <v>14713.42</v>
      </c>
      <c r="T193">
        <f>Deals_[[#This Row],[Amount]]*Deals_[[#This Row],[Probability_Pct]]</f>
        <v>55380</v>
      </c>
    </row>
    <row r="194" spans="1:20" x14ac:dyDescent="0.2">
      <c r="A194" t="s">
        <v>439</v>
      </c>
      <c r="B194" s="7">
        <v>46017</v>
      </c>
      <c r="C194" s="7">
        <v>46089</v>
      </c>
      <c r="D194" t="s">
        <v>440</v>
      </c>
      <c r="E194" t="s">
        <v>111</v>
      </c>
      <c r="F194" t="s">
        <v>48</v>
      </c>
      <c r="G194" t="s">
        <v>34</v>
      </c>
      <c r="H194" t="s">
        <v>24</v>
      </c>
      <c r="I194" t="s">
        <v>84</v>
      </c>
      <c r="J194" t="s">
        <v>26</v>
      </c>
      <c r="K194" t="s">
        <v>37</v>
      </c>
      <c r="L194" t="s">
        <v>28</v>
      </c>
      <c r="M194" s="46">
        <v>17100</v>
      </c>
      <c r="N194">
        <v>0.11600000000000001</v>
      </c>
      <c r="O194">
        <v>0.1</v>
      </c>
      <c r="P194" t="s">
        <v>38</v>
      </c>
      <c r="R194">
        <v>72</v>
      </c>
      <c r="S194">
        <v>1259.3800000000001</v>
      </c>
      <c r="T194">
        <f>Deals_[[#This Row],[Amount]]*Deals_[[#This Row],[Probability_Pct]]</f>
        <v>1710</v>
      </c>
    </row>
    <row r="195" spans="1:20" x14ac:dyDescent="0.2">
      <c r="A195" t="s">
        <v>441</v>
      </c>
      <c r="B195" s="7">
        <v>46017</v>
      </c>
      <c r="C195" s="7">
        <v>46126</v>
      </c>
      <c r="D195" t="s">
        <v>410</v>
      </c>
      <c r="E195" t="s">
        <v>33</v>
      </c>
      <c r="F195" t="s">
        <v>22</v>
      </c>
      <c r="G195" t="s">
        <v>92</v>
      </c>
      <c r="H195" t="s">
        <v>83</v>
      </c>
      <c r="I195" t="s">
        <v>65</v>
      </c>
      <c r="J195" t="s">
        <v>57</v>
      </c>
      <c r="K195" t="s">
        <v>78</v>
      </c>
      <c r="L195" t="s">
        <v>51</v>
      </c>
      <c r="M195" s="46">
        <v>68800</v>
      </c>
      <c r="N195">
        <v>0.16600000000000001</v>
      </c>
      <c r="O195">
        <v>0.55000000000000004</v>
      </c>
      <c r="P195" t="s">
        <v>79</v>
      </c>
      <c r="R195">
        <v>109</v>
      </c>
      <c r="S195">
        <v>4782.8900000000003</v>
      </c>
      <c r="T195">
        <f>Deals_[[#This Row],[Amount]]*Deals_[[#This Row],[Probability_Pct]]</f>
        <v>37840</v>
      </c>
    </row>
    <row r="196" spans="1:20" x14ac:dyDescent="0.2">
      <c r="A196" t="s">
        <v>442</v>
      </c>
      <c r="B196" s="7">
        <v>46179</v>
      </c>
      <c r="C196" s="7">
        <v>46266</v>
      </c>
      <c r="D196" t="s">
        <v>443</v>
      </c>
      <c r="E196" t="s">
        <v>33</v>
      </c>
      <c r="F196" t="s">
        <v>22</v>
      </c>
      <c r="G196" t="s">
        <v>34</v>
      </c>
      <c r="H196" t="s">
        <v>77</v>
      </c>
      <c r="I196" t="s">
        <v>65</v>
      </c>
      <c r="J196" t="s">
        <v>85</v>
      </c>
      <c r="K196" t="s">
        <v>50</v>
      </c>
      <c r="L196" t="s">
        <v>44</v>
      </c>
      <c r="M196" s="46">
        <v>96600</v>
      </c>
      <c r="N196">
        <v>0.09</v>
      </c>
      <c r="O196">
        <v>0.95</v>
      </c>
      <c r="P196" t="s">
        <v>29</v>
      </c>
      <c r="R196">
        <v>87</v>
      </c>
      <c r="S196">
        <v>7328.86</v>
      </c>
      <c r="T196">
        <f>Deals_[[#This Row],[Amount]]*Deals_[[#This Row],[Probability_Pct]]</f>
        <v>91770</v>
      </c>
    </row>
    <row r="197" spans="1:20" x14ac:dyDescent="0.2">
      <c r="A197" t="s">
        <v>444</v>
      </c>
      <c r="B197" s="7">
        <v>46001</v>
      </c>
      <c r="C197" s="7">
        <v>46066</v>
      </c>
      <c r="D197" t="s">
        <v>445</v>
      </c>
      <c r="E197" t="s">
        <v>91</v>
      </c>
      <c r="F197" t="s">
        <v>48</v>
      </c>
      <c r="G197" t="s">
        <v>23</v>
      </c>
      <c r="H197" t="s">
        <v>98</v>
      </c>
      <c r="I197" t="s">
        <v>25</v>
      </c>
      <c r="J197" t="s">
        <v>43</v>
      </c>
      <c r="K197" t="s">
        <v>106</v>
      </c>
      <c r="L197" t="s">
        <v>51</v>
      </c>
      <c r="M197" s="46">
        <v>11100</v>
      </c>
      <c r="N197">
        <v>3.5999999999999997E-2</v>
      </c>
      <c r="O197">
        <v>0.2</v>
      </c>
      <c r="P197" t="s">
        <v>38</v>
      </c>
      <c r="R197">
        <v>65</v>
      </c>
      <c r="S197">
        <v>891.61</v>
      </c>
      <c r="T197">
        <f>Deals_[[#This Row],[Amount]]*Deals_[[#This Row],[Probability_Pct]]</f>
        <v>2220</v>
      </c>
    </row>
    <row r="198" spans="1:20" x14ac:dyDescent="0.2">
      <c r="A198" t="s">
        <v>446</v>
      </c>
      <c r="B198" s="7">
        <v>46068</v>
      </c>
      <c r="C198" s="7">
        <v>46110</v>
      </c>
      <c r="D198" t="s">
        <v>447</v>
      </c>
      <c r="E198" t="s">
        <v>54</v>
      </c>
      <c r="F198" t="s">
        <v>48</v>
      </c>
      <c r="G198" t="s">
        <v>23</v>
      </c>
      <c r="H198" t="s">
        <v>69</v>
      </c>
      <c r="I198" t="s">
        <v>35</v>
      </c>
      <c r="J198" t="s">
        <v>36</v>
      </c>
      <c r="K198" t="s">
        <v>106</v>
      </c>
      <c r="L198" t="s">
        <v>44</v>
      </c>
      <c r="M198" s="46">
        <v>24700</v>
      </c>
      <c r="N198">
        <v>0.159</v>
      </c>
      <c r="O198">
        <v>0.2</v>
      </c>
      <c r="P198" t="s">
        <v>38</v>
      </c>
      <c r="R198">
        <v>42</v>
      </c>
      <c r="S198">
        <v>1730.25</v>
      </c>
      <c r="T198">
        <f>Deals_[[#This Row],[Amount]]*Deals_[[#This Row],[Probability_Pct]]</f>
        <v>4940</v>
      </c>
    </row>
    <row r="199" spans="1:20" x14ac:dyDescent="0.2">
      <c r="A199" t="s">
        <v>448</v>
      </c>
      <c r="B199" s="7">
        <v>46050</v>
      </c>
      <c r="C199" s="7">
        <v>46170</v>
      </c>
      <c r="D199" t="s">
        <v>449</v>
      </c>
      <c r="E199" t="s">
        <v>33</v>
      </c>
      <c r="F199" t="s">
        <v>22</v>
      </c>
      <c r="G199" t="s">
        <v>63</v>
      </c>
      <c r="H199" t="s">
        <v>56</v>
      </c>
      <c r="I199" t="s">
        <v>25</v>
      </c>
      <c r="J199" t="s">
        <v>26</v>
      </c>
      <c r="K199" t="s">
        <v>58</v>
      </c>
      <c r="L199" t="s">
        <v>44</v>
      </c>
      <c r="M199" s="46">
        <v>65800</v>
      </c>
      <c r="N199">
        <v>0.14099999999999999</v>
      </c>
      <c r="O199">
        <v>0.7</v>
      </c>
      <c r="P199" t="s">
        <v>59</v>
      </c>
      <c r="R199">
        <v>120</v>
      </c>
      <c r="S199">
        <v>4709.47</v>
      </c>
      <c r="T199">
        <f>Deals_[[#This Row],[Amount]]*Deals_[[#This Row],[Probability_Pct]]</f>
        <v>46060</v>
      </c>
    </row>
    <row r="200" spans="1:20" x14ac:dyDescent="0.2">
      <c r="A200" t="s">
        <v>450</v>
      </c>
      <c r="B200" s="7">
        <v>45960</v>
      </c>
      <c r="C200" s="7">
        <v>46014</v>
      </c>
      <c r="D200" t="s">
        <v>183</v>
      </c>
      <c r="E200" t="s">
        <v>91</v>
      </c>
      <c r="F200" t="s">
        <v>22</v>
      </c>
      <c r="G200" t="s">
        <v>23</v>
      </c>
      <c r="H200" t="s">
        <v>56</v>
      </c>
      <c r="I200" t="s">
        <v>25</v>
      </c>
      <c r="J200" t="s">
        <v>26</v>
      </c>
      <c r="K200" t="s">
        <v>50</v>
      </c>
      <c r="L200" t="s">
        <v>44</v>
      </c>
      <c r="M200" s="46">
        <v>71200</v>
      </c>
      <c r="N200">
        <v>9.0999999999999998E-2</v>
      </c>
      <c r="O200">
        <v>1</v>
      </c>
      <c r="P200" t="s">
        <v>29</v>
      </c>
      <c r="R200">
        <v>54</v>
      </c>
      <c r="S200">
        <v>5391.15</v>
      </c>
      <c r="T200">
        <f>Deals_[[#This Row],[Amount]]*Deals_[[#This Row],[Probability_Pct]]</f>
        <v>71200</v>
      </c>
    </row>
    <row r="201" spans="1:20" x14ac:dyDescent="0.2">
      <c r="A201" t="s">
        <v>451</v>
      </c>
      <c r="B201" s="7">
        <v>46087</v>
      </c>
      <c r="C201" s="7">
        <v>46165</v>
      </c>
      <c r="D201" t="s">
        <v>452</v>
      </c>
      <c r="E201" t="s">
        <v>33</v>
      </c>
      <c r="F201" t="s">
        <v>22</v>
      </c>
      <c r="G201" t="s">
        <v>55</v>
      </c>
      <c r="H201" t="s">
        <v>64</v>
      </c>
      <c r="I201" t="s">
        <v>84</v>
      </c>
      <c r="J201" t="s">
        <v>85</v>
      </c>
      <c r="K201" t="s">
        <v>37</v>
      </c>
      <c r="L201" t="s">
        <v>28</v>
      </c>
      <c r="M201" s="46">
        <v>46700</v>
      </c>
      <c r="N201">
        <v>0.16700000000000001</v>
      </c>
      <c r="O201">
        <v>0.05</v>
      </c>
      <c r="P201" t="s">
        <v>38</v>
      </c>
      <c r="R201">
        <v>78</v>
      </c>
      <c r="S201">
        <v>3242.4</v>
      </c>
      <c r="T201">
        <f>Deals_[[#This Row],[Amount]]*Deals_[[#This Row],[Probability_Pct]]</f>
        <v>2335</v>
      </c>
    </row>
    <row r="202" spans="1:20" x14ac:dyDescent="0.2">
      <c r="A202" t="s">
        <v>453</v>
      </c>
      <c r="B202" s="7">
        <v>46094</v>
      </c>
      <c r="C202" s="7">
        <v>46115</v>
      </c>
      <c r="D202" t="s">
        <v>454</v>
      </c>
      <c r="E202" t="s">
        <v>21</v>
      </c>
      <c r="F202" t="s">
        <v>22</v>
      </c>
      <c r="G202" t="s">
        <v>92</v>
      </c>
      <c r="H202" t="s">
        <v>49</v>
      </c>
      <c r="I202" t="s">
        <v>35</v>
      </c>
      <c r="J202" t="s">
        <v>57</v>
      </c>
      <c r="K202" t="s">
        <v>27</v>
      </c>
      <c r="L202" t="s">
        <v>51</v>
      </c>
      <c r="M202" s="46">
        <v>91000</v>
      </c>
      <c r="N202">
        <v>6.6000000000000003E-2</v>
      </c>
      <c r="O202">
        <v>0</v>
      </c>
      <c r="P202" t="s">
        <v>29</v>
      </c>
      <c r="Q202" t="s">
        <v>126</v>
      </c>
      <c r="R202">
        <v>21</v>
      </c>
      <c r="S202">
        <v>7079.17</v>
      </c>
      <c r="T202">
        <f>Deals_[[#This Row],[Amount]]*Deals_[[#This Row],[Probability_Pct]]</f>
        <v>0</v>
      </c>
    </row>
    <row r="203" spans="1:20" x14ac:dyDescent="0.2">
      <c r="A203" t="s">
        <v>455</v>
      </c>
      <c r="B203" s="7">
        <v>46040</v>
      </c>
      <c r="C203" s="7">
        <v>46110</v>
      </c>
      <c r="D203" t="s">
        <v>141</v>
      </c>
      <c r="E203" t="s">
        <v>33</v>
      </c>
      <c r="F203" t="s">
        <v>48</v>
      </c>
      <c r="G203" t="s">
        <v>55</v>
      </c>
      <c r="H203" t="s">
        <v>98</v>
      </c>
      <c r="I203" t="s">
        <v>84</v>
      </c>
      <c r="J203" t="s">
        <v>26</v>
      </c>
      <c r="K203" t="s">
        <v>37</v>
      </c>
      <c r="L203" t="s">
        <v>28</v>
      </c>
      <c r="M203" s="46">
        <v>26000</v>
      </c>
      <c r="N203">
        <v>9.7000000000000003E-2</v>
      </c>
      <c r="O203">
        <v>0.1</v>
      </c>
      <c r="P203" t="s">
        <v>38</v>
      </c>
      <c r="R203">
        <v>70</v>
      </c>
      <c r="S203">
        <v>1955.5</v>
      </c>
      <c r="T203">
        <f>Deals_[[#This Row],[Amount]]*Deals_[[#This Row],[Probability_Pct]]</f>
        <v>2600</v>
      </c>
    </row>
    <row r="204" spans="1:20" x14ac:dyDescent="0.2">
      <c r="A204" t="s">
        <v>456</v>
      </c>
      <c r="B204" s="7">
        <v>46021</v>
      </c>
      <c r="C204" s="7">
        <v>46064</v>
      </c>
      <c r="D204" t="s">
        <v>457</v>
      </c>
      <c r="E204" t="s">
        <v>62</v>
      </c>
      <c r="F204" t="s">
        <v>48</v>
      </c>
      <c r="G204" t="s">
        <v>55</v>
      </c>
      <c r="H204" t="s">
        <v>83</v>
      </c>
      <c r="I204" t="s">
        <v>35</v>
      </c>
      <c r="J204" t="s">
        <v>26</v>
      </c>
      <c r="K204" t="s">
        <v>50</v>
      </c>
      <c r="L204" t="s">
        <v>28</v>
      </c>
      <c r="M204" s="46">
        <v>16800</v>
      </c>
      <c r="N204">
        <v>0.13700000000000001</v>
      </c>
      <c r="O204">
        <v>1</v>
      </c>
      <c r="P204" t="s">
        <v>29</v>
      </c>
      <c r="R204">
        <v>43</v>
      </c>
      <c r="S204">
        <v>1207.95</v>
      </c>
      <c r="T204">
        <f>Deals_[[#This Row],[Amount]]*Deals_[[#This Row],[Probability_Pct]]</f>
        <v>16800</v>
      </c>
    </row>
    <row r="205" spans="1:20" x14ac:dyDescent="0.2">
      <c r="A205" t="s">
        <v>458</v>
      </c>
      <c r="B205" s="7">
        <v>46003</v>
      </c>
      <c r="C205" s="7">
        <v>46047</v>
      </c>
      <c r="D205" t="s">
        <v>459</v>
      </c>
      <c r="E205" t="s">
        <v>33</v>
      </c>
      <c r="F205" t="s">
        <v>22</v>
      </c>
      <c r="G205" t="s">
        <v>23</v>
      </c>
      <c r="H205" t="s">
        <v>24</v>
      </c>
      <c r="I205" t="s">
        <v>25</v>
      </c>
      <c r="J205" t="s">
        <v>26</v>
      </c>
      <c r="K205" t="s">
        <v>106</v>
      </c>
      <c r="L205" t="s">
        <v>28</v>
      </c>
      <c r="M205" s="46">
        <v>52500</v>
      </c>
      <c r="N205">
        <v>0.188</v>
      </c>
      <c r="O205">
        <v>0.2</v>
      </c>
      <c r="P205" t="s">
        <v>38</v>
      </c>
      <c r="R205">
        <v>44</v>
      </c>
      <c r="S205">
        <v>3553.08</v>
      </c>
      <c r="T205">
        <f>Deals_[[#This Row],[Amount]]*Deals_[[#This Row],[Probability_Pct]]</f>
        <v>10500</v>
      </c>
    </row>
    <row r="206" spans="1:20" x14ac:dyDescent="0.2">
      <c r="A206" t="s">
        <v>460</v>
      </c>
      <c r="B206" s="7">
        <v>46142</v>
      </c>
      <c r="C206" s="7">
        <v>46229</v>
      </c>
      <c r="D206" t="s">
        <v>461</v>
      </c>
      <c r="E206" t="s">
        <v>111</v>
      </c>
      <c r="F206" t="s">
        <v>22</v>
      </c>
      <c r="G206" t="s">
        <v>92</v>
      </c>
      <c r="H206" t="s">
        <v>56</v>
      </c>
      <c r="I206" t="s">
        <v>42</v>
      </c>
      <c r="J206" t="s">
        <v>43</v>
      </c>
      <c r="K206" t="s">
        <v>58</v>
      </c>
      <c r="L206" t="s">
        <v>51</v>
      </c>
      <c r="M206" s="46">
        <v>97800</v>
      </c>
      <c r="N206">
        <v>0.192</v>
      </c>
      <c r="O206">
        <v>0.7</v>
      </c>
      <c r="P206" t="s">
        <v>59</v>
      </c>
      <c r="R206">
        <v>87</v>
      </c>
      <c r="S206">
        <v>6583.91</v>
      </c>
      <c r="T206">
        <f>Deals_[[#This Row],[Amount]]*Deals_[[#This Row],[Probability_Pct]]</f>
        <v>68460</v>
      </c>
    </row>
    <row r="207" spans="1:20" x14ac:dyDescent="0.2">
      <c r="A207" t="s">
        <v>462</v>
      </c>
      <c r="B207" s="7">
        <v>46267</v>
      </c>
      <c r="C207" s="7">
        <v>46334</v>
      </c>
      <c r="D207" t="s">
        <v>463</v>
      </c>
      <c r="E207" t="s">
        <v>68</v>
      </c>
      <c r="F207" t="s">
        <v>48</v>
      </c>
      <c r="G207" t="s">
        <v>63</v>
      </c>
      <c r="H207" t="s">
        <v>98</v>
      </c>
      <c r="I207" t="s">
        <v>84</v>
      </c>
      <c r="J207" t="s">
        <v>43</v>
      </c>
      <c r="K207" t="s">
        <v>78</v>
      </c>
      <c r="L207" t="s">
        <v>28</v>
      </c>
      <c r="M207" s="46">
        <v>11500</v>
      </c>
      <c r="N207">
        <v>0.14099999999999999</v>
      </c>
      <c r="O207">
        <v>0.55000000000000004</v>
      </c>
      <c r="P207" t="s">
        <v>79</v>
      </c>
      <c r="R207">
        <v>67</v>
      </c>
      <c r="S207">
        <v>823.54</v>
      </c>
      <c r="T207">
        <f>Deals_[[#This Row],[Amount]]*Deals_[[#This Row],[Probability_Pct]]</f>
        <v>6325.0000000000009</v>
      </c>
    </row>
    <row r="208" spans="1:20" x14ac:dyDescent="0.2">
      <c r="A208" t="s">
        <v>464</v>
      </c>
      <c r="B208" s="7">
        <v>46102</v>
      </c>
      <c r="C208" s="7">
        <v>46166</v>
      </c>
      <c r="D208" t="s">
        <v>465</v>
      </c>
      <c r="E208" t="s">
        <v>62</v>
      </c>
      <c r="F208" t="s">
        <v>48</v>
      </c>
      <c r="G208" t="s">
        <v>92</v>
      </c>
      <c r="H208" t="s">
        <v>120</v>
      </c>
      <c r="I208" t="s">
        <v>84</v>
      </c>
      <c r="J208" t="s">
        <v>26</v>
      </c>
      <c r="K208" t="s">
        <v>88</v>
      </c>
      <c r="L208" t="s">
        <v>51</v>
      </c>
      <c r="M208" s="46">
        <v>7900</v>
      </c>
      <c r="N208">
        <v>4.9000000000000002E-2</v>
      </c>
      <c r="O208">
        <v>0.3</v>
      </c>
      <c r="P208" t="s">
        <v>38</v>
      </c>
      <c r="R208">
        <v>64</v>
      </c>
      <c r="S208">
        <v>626.28</v>
      </c>
      <c r="T208">
        <f>Deals_[[#This Row],[Amount]]*Deals_[[#This Row],[Probability_Pct]]</f>
        <v>2370</v>
      </c>
    </row>
    <row r="209" spans="1:20" x14ac:dyDescent="0.2">
      <c r="A209" t="s">
        <v>466</v>
      </c>
      <c r="B209" s="7">
        <v>45956</v>
      </c>
      <c r="C209" s="7">
        <v>46039</v>
      </c>
      <c r="D209" t="s">
        <v>332</v>
      </c>
      <c r="E209" t="s">
        <v>62</v>
      </c>
      <c r="F209" t="s">
        <v>22</v>
      </c>
      <c r="G209" t="s">
        <v>63</v>
      </c>
      <c r="H209" t="s">
        <v>83</v>
      </c>
      <c r="I209" t="s">
        <v>65</v>
      </c>
      <c r="J209" t="s">
        <v>85</v>
      </c>
      <c r="K209" t="s">
        <v>58</v>
      </c>
      <c r="L209" t="s">
        <v>51</v>
      </c>
      <c r="M209" s="46">
        <v>83500</v>
      </c>
      <c r="N209">
        <v>5.8999999999999997E-2</v>
      </c>
      <c r="O209">
        <v>0.75</v>
      </c>
      <c r="P209" t="s">
        <v>59</v>
      </c>
      <c r="R209">
        <v>83</v>
      </c>
      <c r="S209">
        <v>6548.52</v>
      </c>
      <c r="T209">
        <f>Deals_[[#This Row],[Amount]]*Deals_[[#This Row],[Probability_Pct]]</f>
        <v>62625</v>
      </c>
    </row>
    <row r="210" spans="1:20" x14ac:dyDescent="0.2">
      <c r="A210" t="s">
        <v>467</v>
      </c>
      <c r="B210" s="7">
        <v>46042</v>
      </c>
      <c r="C210" s="7">
        <v>46071</v>
      </c>
      <c r="D210" t="s">
        <v>468</v>
      </c>
      <c r="E210" t="s">
        <v>62</v>
      </c>
      <c r="F210" t="s">
        <v>22</v>
      </c>
      <c r="G210" t="s">
        <v>63</v>
      </c>
      <c r="H210" t="s">
        <v>49</v>
      </c>
      <c r="I210" t="s">
        <v>42</v>
      </c>
      <c r="J210" t="s">
        <v>43</v>
      </c>
      <c r="K210" t="s">
        <v>37</v>
      </c>
      <c r="L210" t="s">
        <v>28</v>
      </c>
      <c r="M210" s="46">
        <v>50000</v>
      </c>
      <c r="N210">
        <v>1.0999999999999999E-2</v>
      </c>
      <c r="O210">
        <v>0.15</v>
      </c>
      <c r="P210" t="s">
        <v>38</v>
      </c>
      <c r="R210">
        <v>29</v>
      </c>
      <c r="S210">
        <v>4121.2</v>
      </c>
      <c r="T210">
        <f>Deals_[[#This Row],[Amount]]*Deals_[[#This Row],[Probability_Pct]]</f>
        <v>7500</v>
      </c>
    </row>
    <row r="211" spans="1:20" x14ac:dyDescent="0.2">
      <c r="A211" t="s">
        <v>469</v>
      </c>
      <c r="B211" s="7">
        <v>46241</v>
      </c>
      <c r="C211" s="7">
        <v>46318</v>
      </c>
      <c r="D211" t="s">
        <v>470</v>
      </c>
      <c r="E211" t="s">
        <v>68</v>
      </c>
      <c r="F211" t="s">
        <v>48</v>
      </c>
      <c r="G211" t="s">
        <v>63</v>
      </c>
      <c r="H211" t="s">
        <v>41</v>
      </c>
      <c r="I211" t="s">
        <v>35</v>
      </c>
      <c r="J211" t="s">
        <v>57</v>
      </c>
      <c r="K211" t="s">
        <v>37</v>
      </c>
      <c r="L211" t="s">
        <v>51</v>
      </c>
      <c r="M211" s="46">
        <v>18300</v>
      </c>
      <c r="N211">
        <v>0</v>
      </c>
      <c r="O211">
        <v>0.1</v>
      </c>
      <c r="P211" t="s">
        <v>38</v>
      </c>
      <c r="R211">
        <v>77</v>
      </c>
      <c r="S211">
        <v>1525</v>
      </c>
      <c r="T211">
        <f>Deals_[[#This Row],[Amount]]*Deals_[[#This Row],[Probability_Pct]]</f>
        <v>1830</v>
      </c>
    </row>
    <row r="212" spans="1:20" x14ac:dyDescent="0.2">
      <c r="A212" t="s">
        <v>471</v>
      </c>
      <c r="B212" s="7">
        <v>46062</v>
      </c>
      <c r="C212" s="7">
        <v>46181</v>
      </c>
      <c r="D212" t="s">
        <v>472</v>
      </c>
      <c r="E212" t="s">
        <v>62</v>
      </c>
      <c r="F212" t="s">
        <v>48</v>
      </c>
      <c r="G212" t="s">
        <v>63</v>
      </c>
      <c r="H212" t="s">
        <v>41</v>
      </c>
      <c r="I212" t="s">
        <v>25</v>
      </c>
      <c r="J212" t="s">
        <v>43</v>
      </c>
      <c r="K212" t="s">
        <v>106</v>
      </c>
      <c r="L212" t="s">
        <v>51</v>
      </c>
      <c r="M212" s="46">
        <v>12200</v>
      </c>
      <c r="N212">
        <v>0.13</v>
      </c>
      <c r="O212">
        <v>0.2</v>
      </c>
      <c r="P212" t="s">
        <v>38</v>
      </c>
      <c r="R212">
        <v>119</v>
      </c>
      <c r="S212">
        <v>884.28</v>
      </c>
      <c r="T212">
        <f>Deals_[[#This Row],[Amount]]*Deals_[[#This Row],[Probability_Pct]]</f>
        <v>2440</v>
      </c>
    </row>
    <row r="213" spans="1:20" x14ac:dyDescent="0.2">
      <c r="A213" t="s">
        <v>473</v>
      </c>
      <c r="B213" s="7">
        <v>46173</v>
      </c>
      <c r="C213" s="7">
        <v>46225</v>
      </c>
      <c r="D213" t="s">
        <v>474</v>
      </c>
      <c r="E213" t="s">
        <v>21</v>
      </c>
      <c r="F213" t="s">
        <v>48</v>
      </c>
      <c r="G213" t="s">
        <v>63</v>
      </c>
      <c r="H213" t="s">
        <v>77</v>
      </c>
      <c r="I213" t="s">
        <v>99</v>
      </c>
      <c r="J213" t="s">
        <v>26</v>
      </c>
      <c r="K213" t="s">
        <v>58</v>
      </c>
      <c r="L213" t="s">
        <v>51</v>
      </c>
      <c r="M213" s="46">
        <v>18300</v>
      </c>
      <c r="N213">
        <v>0.14399999999999999</v>
      </c>
      <c r="O213">
        <v>0.75</v>
      </c>
      <c r="P213" t="s">
        <v>59</v>
      </c>
      <c r="R213">
        <v>52</v>
      </c>
      <c r="S213">
        <v>1305.5899999999999</v>
      </c>
      <c r="T213">
        <f>Deals_[[#This Row],[Amount]]*Deals_[[#This Row],[Probability_Pct]]</f>
        <v>13725</v>
      </c>
    </row>
    <row r="214" spans="1:20" x14ac:dyDescent="0.2">
      <c r="A214" t="s">
        <v>475</v>
      </c>
      <c r="B214" s="7">
        <v>46109</v>
      </c>
      <c r="C214" s="7">
        <v>46221</v>
      </c>
      <c r="D214" t="s">
        <v>476</v>
      </c>
      <c r="E214" t="s">
        <v>33</v>
      </c>
      <c r="F214" t="s">
        <v>74</v>
      </c>
      <c r="G214" t="s">
        <v>55</v>
      </c>
      <c r="H214" t="s">
        <v>64</v>
      </c>
      <c r="I214" t="s">
        <v>42</v>
      </c>
      <c r="J214" t="s">
        <v>36</v>
      </c>
      <c r="K214" t="s">
        <v>58</v>
      </c>
      <c r="L214" t="s">
        <v>44</v>
      </c>
      <c r="M214" s="46">
        <v>149000</v>
      </c>
      <c r="N214">
        <v>0.11600000000000001</v>
      </c>
      <c r="O214">
        <v>0.8</v>
      </c>
      <c r="P214" t="s">
        <v>59</v>
      </c>
      <c r="R214">
        <v>112</v>
      </c>
      <c r="S214">
        <v>10970.43</v>
      </c>
      <c r="T214">
        <f>Deals_[[#This Row],[Amount]]*Deals_[[#This Row],[Probability_Pct]]</f>
        <v>119200</v>
      </c>
    </row>
    <row r="215" spans="1:20" x14ac:dyDescent="0.2">
      <c r="A215" t="s">
        <v>477</v>
      </c>
      <c r="B215" s="7">
        <v>46045</v>
      </c>
      <c r="C215" s="7">
        <v>46092</v>
      </c>
      <c r="D215" t="s">
        <v>303</v>
      </c>
      <c r="E215" t="s">
        <v>68</v>
      </c>
      <c r="F215" t="s">
        <v>22</v>
      </c>
      <c r="G215" t="s">
        <v>63</v>
      </c>
      <c r="H215" t="s">
        <v>64</v>
      </c>
      <c r="I215" t="s">
        <v>99</v>
      </c>
      <c r="J215" t="s">
        <v>26</v>
      </c>
      <c r="K215" t="s">
        <v>37</v>
      </c>
      <c r="L215" t="s">
        <v>51</v>
      </c>
      <c r="M215" s="46">
        <v>55400</v>
      </c>
      <c r="N215">
        <v>7.8E-2</v>
      </c>
      <c r="O215">
        <v>0.1</v>
      </c>
      <c r="P215" t="s">
        <v>38</v>
      </c>
      <c r="R215">
        <v>47</v>
      </c>
      <c r="S215">
        <v>4255.9799999999996</v>
      </c>
      <c r="T215">
        <f>Deals_[[#This Row],[Amount]]*Deals_[[#This Row],[Probability_Pct]]</f>
        <v>5540</v>
      </c>
    </row>
    <row r="216" spans="1:20" x14ac:dyDescent="0.2">
      <c r="A216" t="s">
        <v>478</v>
      </c>
      <c r="B216" s="7">
        <v>46115</v>
      </c>
      <c r="C216" s="7">
        <v>46149</v>
      </c>
      <c r="D216" t="s">
        <v>81</v>
      </c>
      <c r="E216" t="s">
        <v>68</v>
      </c>
      <c r="F216" t="s">
        <v>74</v>
      </c>
      <c r="G216" t="s">
        <v>55</v>
      </c>
      <c r="H216" t="s">
        <v>41</v>
      </c>
      <c r="I216" t="s">
        <v>42</v>
      </c>
      <c r="J216" t="s">
        <v>85</v>
      </c>
      <c r="K216" t="s">
        <v>78</v>
      </c>
      <c r="L216" t="s">
        <v>28</v>
      </c>
      <c r="M216" s="46">
        <v>119200</v>
      </c>
      <c r="N216">
        <v>0.151</v>
      </c>
      <c r="O216">
        <v>0.55000000000000004</v>
      </c>
      <c r="P216" t="s">
        <v>79</v>
      </c>
      <c r="R216">
        <v>34</v>
      </c>
      <c r="S216">
        <v>8434.34</v>
      </c>
      <c r="T216">
        <f>Deals_[[#This Row],[Amount]]*Deals_[[#This Row],[Probability_Pct]]</f>
        <v>65560</v>
      </c>
    </row>
    <row r="217" spans="1:20" x14ac:dyDescent="0.2">
      <c r="A217" t="s">
        <v>479</v>
      </c>
      <c r="B217" s="7">
        <v>45973</v>
      </c>
      <c r="C217" s="7">
        <v>46018</v>
      </c>
      <c r="D217" t="s">
        <v>480</v>
      </c>
      <c r="E217" t="s">
        <v>111</v>
      </c>
      <c r="F217" t="s">
        <v>74</v>
      </c>
      <c r="G217" t="s">
        <v>92</v>
      </c>
      <c r="H217" t="s">
        <v>77</v>
      </c>
      <c r="I217" t="s">
        <v>42</v>
      </c>
      <c r="J217" t="s">
        <v>43</v>
      </c>
      <c r="K217" t="s">
        <v>106</v>
      </c>
      <c r="L217" t="s">
        <v>51</v>
      </c>
      <c r="M217" s="46">
        <v>274700</v>
      </c>
      <c r="N217">
        <v>9.0999999999999998E-2</v>
      </c>
      <c r="O217">
        <v>0.25</v>
      </c>
      <c r="P217" t="s">
        <v>38</v>
      </c>
      <c r="R217">
        <v>45</v>
      </c>
      <c r="S217">
        <v>20799.419999999998</v>
      </c>
      <c r="T217">
        <f>Deals_[[#This Row],[Amount]]*Deals_[[#This Row],[Probability_Pct]]</f>
        <v>68675</v>
      </c>
    </row>
    <row r="218" spans="1:20" x14ac:dyDescent="0.2">
      <c r="A218" t="s">
        <v>481</v>
      </c>
      <c r="B218" s="7">
        <v>46242</v>
      </c>
      <c r="C218" s="7">
        <v>46313</v>
      </c>
      <c r="D218" t="s">
        <v>125</v>
      </c>
      <c r="E218" t="s">
        <v>21</v>
      </c>
      <c r="F218" t="s">
        <v>22</v>
      </c>
      <c r="G218" t="s">
        <v>92</v>
      </c>
      <c r="H218" t="s">
        <v>56</v>
      </c>
      <c r="I218" t="s">
        <v>42</v>
      </c>
      <c r="J218" t="s">
        <v>26</v>
      </c>
      <c r="K218" t="s">
        <v>88</v>
      </c>
      <c r="L218" t="s">
        <v>28</v>
      </c>
      <c r="M218" s="46">
        <v>51900</v>
      </c>
      <c r="N218">
        <v>0.11799999999999999</v>
      </c>
      <c r="O218">
        <v>0.35</v>
      </c>
      <c r="P218" t="s">
        <v>38</v>
      </c>
      <c r="R218">
        <v>71</v>
      </c>
      <c r="S218">
        <v>3812.66</v>
      </c>
      <c r="T218">
        <f>Deals_[[#This Row],[Amount]]*Deals_[[#This Row],[Probability_Pct]]</f>
        <v>18165</v>
      </c>
    </row>
    <row r="219" spans="1:20" x14ac:dyDescent="0.2">
      <c r="A219" t="s">
        <v>482</v>
      </c>
      <c r="B219" s="7">
        <v>46029</v>
      </c>
      <c r="C219" s="7">
        <v>46175</v>
      </c>
      <c r="D219" t="s">
        <v>483</v>
      </c>
      <c r="E219" t="s">
        <v>111</v>
      </c>
      <c r="F219" t="s">
        <v>48</v>
      </c>
      <c r="G219" t="s">
        <v>23</v>
      </c>
      <c r="H219" t="s">
        <v>64</v>
      </c>
      <c r="I219" t="s">
        <v>99</v>
      </c>
      <c r="J219" t="s">
        <v>43</v>
      </c>
      <c r="K219" t="s">
        <v>106</v>
      </c>
      <c r="L219" t="s">
        <v>44</v>
      </c>
      <c r="M219" s="46">
        <v>22200</v>
      </c>
      <c r="N219">
        <v>0.20699999999999999</v>
      </c>
      <c r="O219">
        <v>0.2</v>
      </c>
      <c r="P219" t="s">
        <v>38</v>
      </c>
      <c r="R219">
        <v>146</v>
      </c>
      <c r="S219">
        <v>1467.13</v>
      </c>
      <c r="T219">
        <f>Deals_[[#This Row],[Amount]]*Deals_[[#This Row],[Probability_Pct]]</f>
        <v>4440</v>
      </c>
    </row>
    <row r="220" spans="1:20" x14ac:dyDescent="0.2">
      <c r="A220" t="s">
        <v>484</v>
      </c>
      <c r="B220" s="7">
        <v>46195</v>
      </c>
      <c r="C220" s="7">
        <v>46220</v>
      </c>
      <c r="D220" t="s">
        <v>285</v>
      </c>
      <c r="E220" t="s">
        <v>68</v>
      </c>
      <c r="F220" t="s">
        <v>22</v>
      </c>
      <c r="G220" t="s">
        <v>34</v>
      </c>
      <c r="H220" t="s">
        <v>41</v>
      </c>
      <c r="I220" t="s">
        <v>42</v>
      </c>
      <c r="J220" t="s">
        <v>43</v>
      </c>
      <c r="K220" t="s">
        <v>88</v>
      </c>
      <c r="L220" t="s">
        <v>28</v>
      </c>
      <c r="M220" s="46">
        <v>42600</v>
      </c>
      <c r="N220">
        <v>0.13500000000000001</v>
      </c>
      <c r="O220">
        <v>0.4</v>
      </c>
      <c r="P220" t="s">
        <v>38</v>
      </c>
      <c r="R220">
        <v>25</v>
      </c>
      <c r="S220">
        <v>3072.03</v>
      </c>
      <c r="T220">
        <f>Deals_[[#This Row],[Amount]]*Deals_[[#This Row],[Probability_Pct]]</f>
        <v>17040</v>
      </c>
    </row>
    <row r="221" spans="1:20" x14ac:dyDescent="0.2">
      <c r="A221" t="s">
        <v>485</v>
      </c>
      <c r="B221" s="7">
        <v>46021</v>
      </c>
      <c r="C221" s="7">
        <v>46092</v>
      </c>
      <c r="D221" t="s">
        <v>348</v>
      </c>
      <c r="E221" t="s">
        <v>82</v>
      </c>
      <c r="F221" t="s">
        <v>48</v>
      </c>
      <c r="G221" t="s">
        <v>23</v>
      </c>
      <c r="H221" t="s">
        <v>49</v>
      </c>
      <c r="I221" t="s">
        <v>84</v>
      </c>
      <c r="J221" t="s">
        <v>43</v>
      </c>
      <c r="K221" t="s">
        <v>58</v>
      </c>
      <c r="L221" t="s">
        <v>44</v>
      </c>
      <c r="M221" s="46">
        <v>29900</v>
      </c>
      <c r="N221">
        <v>0.14099999999999999</v>
      </c>
      <c r="O221">
        <v>0.75</v>
      </c>
      <c r="P221" t="s">
        <v>59</v>
      </c>
      <c r="R221">
        <v>71</v>
      </c>
      <c r="S221">
        <v>2140.15</v>
      </c>
      <c r="T221">
        <f>Deals_[[#This Row],[Amount]]*Deals_[[#This Row],[Probability_Pct]]</f>
        <v>22425</v>
      </c>
    </row>
    <row r="222" spans="1:20" x14ac:dyDescent="0.2">
      <c r="A222" t="s">
        <v>486</v>
      </c>
      <c r="B222" s="7">
        <v>46179</v>
      </c>
      <c r="C222" s="7">
        <v>46313</v>
      </c>
      <c r="D222" t="s">
        <v>487</v>
      </c>
      <c r="E222" t="s">
        <v>68</v>
      </c>
      <c r="F222" t="s">
        <v>48</v>
      </c>
      <c r="G222" t="s">
        <v>34</v>
      </c>
      <c r="H222" t="s">
        <v>64</v>
      </c>
      <c r="I222" t="s">
        <v>65</v>
      </c>
      <c r="J222" t="s">
        <v>85</v>
      </c>
      <c r="K222" t="s">
        <v>78</v>
      </c>
      <c r="L222" t="s">
        <v>51</v>
      </c>
      <c r="M222" s="46">
        <v>22200</v>
      </c>
      <c r="N222">
        <v>0.23</v>
      </c>
      <c r="O222">
        <v>0.55000000000000004</v>
      </c>
      <c r="P222" t="s">
        <v>79</v>
      </c>
      <c r="R222">
        <v>134</v>
      </c>
      <c r="S222">
        <v>1424.31</v>
      </c>
      <c r="T222">
        <f>Deals_[[#This Row],[Amount]]*Deals_[[#This Row],[Probability_Pct]]</f>
        <v>12210.000000000002</v>
      </c>
    </row>
    <row r="223" spans="1:20" x14ac:dyDescent="0.2">
      <c r="A223" t="s">
        <v>488</v>
      </c>
      <c r="B223" s="7">
        <v>45992</v>
      </c>
      <c r="C223" s="7">
        <v>46124</v>
      </c>
      <c r="D223" t="s">
        <v>447</v>
      </c>
      <c r="E223" t="s">
        <v>91</v>
      </c>
      <c r="F223" t="s">
        <v>48</v>
      </c>
      <c r="G223" t="s">
        <v>34</v>
      </c>
      <c r="H223" t="s">
        <v>137</v>
      </c>
      <c r="I223" t="s">
        <v>42</v>
      </c>
      <c r="J223" t="s">
        <v>57</v>
      </c>
      <c r="K223" t="s">
        <v>37</v>
      </c>
      <c r="L223" t="s">
        <v>28</v>
      </c>
      <c r="M223" s="46">
        <v>27000</v>
      </c>
      <c r="N223">
        <v>5.0999999999999997E-2</v>
      </c>
      <c r="O223">
        <v>0.1</v>
      </c>
      <c r="P223" t="s">
        <v>38</v>
      </c>
      <c r="R223">
        <v>132</v>
      </c>
      <c r="S223">
        <v>2135.4899999999998</v>
      </c>
      <c r="T223">
        <f>Deals_[[#This Row],[Amount]]*Deals_[[#This Row],[Probability_Pct]]</f>
        <v>2700</v>
      </c>
    </row>
    <row r="224" spans="1:20" x14ac:dyDescent="0.2">
      <c r="A224" t="s">
        <v>489</v>
      </c>
      <c r="B224" s="7">
        <v>45954</v>
      </c>
      <c r="C224" s="7">
        <v>45982</v>
      </c>
      <c r="D224" t="s">
        <v>490</v>
      </c>
      <c r="E224" t="s">
        <v>82</v>
      </c>
      <c r="F224" t="s">
        <v>22</v>
      </c>
      <c r="G224" t="s">
        <v>23</v>
      </c>
      <c r="H224" t="s">
        <v>83</v>
      </c>
      <c r="I224" t="s">
        <v>99</v>
      </c>
      <c r="J224" t="s">
        <v>57</v>
      </c>
      <c r="K224" t="s">
        <v>50</v>
      </c>
      <c r="L224" t="s">
        <v>44</v>
      </c>
      <c r="M224" s="46">
        <v>71600</v>
      </c>
      <c r="N224">
        <v>0.19</v>
      </c>
      <c r="O224">
        <v>1</v>
      </c>
      <c r="P224" t="s">
        <v>29</v>
      </c>
      <c r="R224">
        <v>28</v>
      </c>
      <c r="S224">
        <v>4832.96</v>
      </c>
      <c r="T224">
        <f>Deals_[[#This Row],[Amount]]*Deals_[[#This Row],[Probability_Pct]]</f>
        <v>71600</v>
      </c>
    </row>
    <row r="225" spans="1:20" x14ac:dyDescent="0.2">
      <c r="A225" t="s">
        <v>491</v>
      </c>
      <c r="B225" s="7">
        <v>46019</v>
      </c>
      <c r="C225" s="7">
        <v>46119</v>
      </c>
      <c r="D225" t="s">
        <v>492</v>
      </c>
      <c r="E225" t="s">
        <v>54</v>
      </c>
      <c r="F225" t="s">
        <v>48</v>
      </c>
      <c r="G225" t="s">
        <v>55</v>
      </c>
      <c r="H225" t="s">
        <v>95</v>
      </c>
      <c r="I225" t="s">
        <v>42</v>
      </c>
      <c r="J225" t="s">
        <v>85</v>
      </c>
      <c r="K225" t="s">
        <v>50</v>
      </c>
      <c r="L225" t="s">
        <v>44</v>
      </c>
      <c r="M225" s="46">
        <v>12600</v>
      </c>
      <c r="N225">
        <v>0.14099999999999999</v>
      </c>
      <c r="O225">
        <v>1</v>
      </c>
      <c r="P225" t="s">
        <v>29</v>
      </c>
      <c r="R225">
        <v>100</v>
      </c>
      <c r="S225">
        <v>902.31</v>
      </c>
      <c r="T225">
        <f>Deals_[[#This Row],[Amount]]*Deals_[[#This Row],[Probability_Pct]]</f>
        <v>12600</v>
      </c>
    </row>
    <row r="226" spans="1:20" x14ac:dyDescent="0.2">
      <c r="A226" t="s">
        <v>493</v>
      </c>
      <c r="B226" s="7">
        <v>46072</v>
      </c>
      <c r="C226" s="7">
        <v>46211</v>
      </c>
      <c r="D226" t="s">
        <v>494</v>
      </c>
      <c r="E226" t="s">
        <v>33</v>
      </c>
      <c r="F226" t="s">
        <v>48</v>
      </c>
      <c r="G226" t="s">
        <v>55</v>
      </c>
      <c r="H226" t="s">
        <v>77</v>
      </c>
      <c r="I226" t="s">
        <v>42</v>
      </c>
      <c r="J226" t="s">
        <v>36</v>
      </c>
      <c r="K226" t="s">
        <v>78</v>
      </c>
      <c r="L226" t="s">
        <v>44</v>
      </c>
      <c r="M226" s="46">
        <v>25700</v>
      </c>
      <c r="N226">
        <v>0.12</v>
      </c>
      <c r="O226">
        <v>0.55000000000000004</v>
      </c>
      <c r="P226" t="s">
        <v>79</v>
      </c>
      <c r="R226">
        <v>139</v>
      </c>
      <c r="S226">
        <v>1884.98</v>
      </c>
      <c r="T226">
        <f>Deals_[[#This Row],[Amount]]*Deals_[[#This Row],[Probability_Pct]]</f>
        <v>14135.000000000002</v>
      </c>
    </row>
    <row r="227" spans="1:20" x14ac:dyDescent="0.2">
      <c r="A227" t="s">
        <v>495</v>
      </c>
      <c r="B227" s="7">
        <v>46012</v>
      </c>
      <c r="C227" s="7">
        <v>46126</v>
      </c>
      <c r="D227" t="s">
        <v>496</v>
      </c>
      <c r="E227" t="s">
        <v>68</v>
      </c>
      <c r="F227" t="s">
        <v>48</v>
      </c>
      <c r="G227" t="s">
        <v>92</v>
      </c>
      <c r="H227" t="s">
        <v>120</v>
      </c>
      <c r="I227" t="s">
        <v>42</v>
      </c>
      <c r="J227" t="s">
        <v>57</v>
      </c>
      <c r="K227" t="s">
        <v>27</v>
      </c>
      <c r="L227" t="s">
        <v>28</v>
      </c>
      <c r="M227" s="46">
        <v>6400</v>
      </c>
      <c r="N227">
        <v>7.6999999999999999E-2</v>
      </c>
      <c r="O227">
        <v>0</v>
      </c>
      <c r="P227" t="s">
        <v>29</v>
      </c>
      <c r="Q227" t="s">
        <v>209</v>
      </c>
      <c r="R227">
        <v>114</v>
      </c>
      <c r="S227">
        <v>492.15</v>
      </c>
      <c r="T227">
        <f>Deals_[[#This Row],[Amount]]*Deals_[[#This Row],[Probability_Pct]]</f>
        <v>0</v>
      </c>
    </row>
    <row r="228" spans="1:20" x14ac:dyDescent="0.2">
      <c r="A228" t="s">
        <v>497</v>
      </c>
      <c r="B228" s="7">
        <v>46153</v>
      </c>
      <c r="C228" s="7">
        <v>46277</v>
      </c>
      <c r="D228" t="s">
        <v>498</v>
      </c>
      <c r="E228" t="s">
        <v>82</v>
      </c>
      <c r="F228" t="s">
        <v>22</v>
      </c>
      <c r="G228" t="s">
        <v>34</v>
      </c>
      <c r="H228" t="s">
        <v>56</v>
      </c>
      <c r="I228" t="s">
        <v>65</v>
      </c>
      <c r="J228" t="s">
        <v>36</v>
      </c>
      <c r="K228" t="s">
        <v>78</v>
      </c>
      <c r="L228" t="s">
        <v>28</v>
      </c>
      <c r="M228" s="46">
        <v>34500</v>
      </c>
      <c r="N228">
        <v>0.107</v>
      </c>
      <c r="O228">
        <v>0.5</v>
      </c>
      <c r="P228" t="s">
        <v>79</v>
      </c>
      <c r="R228">
        <v>124</v>
      </c>
      <c r="S228">
        <v>2567.23</v>
      </c>
      <c r="T228">
        <f>Deals_[[#This Row],[Amount]]*Deals_[[#This Row],[Probability_Pct]]</f>
        <v>17250</v>
      </c>
    </row>
    <row r="229" spans="1:20" x14ac:dyDescent="0.2">
      <c r="A229" t="s">
        <v>499</v>
      </c>
      <c r="B229" s="7">
        <v>45990</v>
      </c>
      <c r="C229" s="7">
        <v>46109</v>
      </c>
      <c r="D229" t="s">
        <v>500</v>
      </c>
      <c r="E229" t="s">
        <v>33</v>
      </c>
      <c r="F229" t="s">
        <v>22</v>
      </c>
      <c r="G229" t="s">
        <v>23</v>
      </c>
      <c r="H229" t="s">
        <v>98</v>
      </c>
      <c r="I229" t="s">
        <v>25</v>
      </c>
      <c r="J229" t="s">
        <v>36</v>
      </c>
      <c r="K229" t="s">
        <v>78</v>
      </c>
      <c r="L229" t="s">
        <v>44</v>
      </c>
      <c r="M229" s="46">
        <v>90100</v>
      </c>
      <c r="N229">
        <v>0.182</v>
      </c>
      <c r="O229">
        <v>0.55000000000000004</v>
      </c>
      <c r="P229" t="s">
        <v>79</v>
      </c>
      <c r="R229">
        <v>119</v>
      </c>
      <c r="S229">
        <v>6144.88</v>
      </c>
      <c r="T229">
        <f>Deals_[[#This Row],[Amount]]*Deals_[[#This Row],[Probability_Pct]]</f>
        <v>49555.000000000007</v>
      </c>
    </row>
    <row r="230" spans="1:20" x14ac:dyDescent="0.2">
      <c r="A230" t="s">
        <v>501</v>
      </c>
      <c r="B230" s="7">
        <v>46080</v>
      </c>
      <c r="C230" s="7">
        <v>46110</v>
      </c>
      <c r="D230" t="s">
        <v>502</v>
      </c>
      <c r="E230" t="s">
        <v>54</v>
      </c>
      <c r="F230" t="s">
        <v>48</v>
      </c>
      <c r="G230" t="s">
        <v>23</v>
      </c>
      <c r="H230" t="s">
        <v>98</v>
      </c>
      <c r="I230" t="s">
        <v>25</v>
      </c>
      <c r="J230" t="s">
        <v>43</v>
      </c>
      <c r="K230" t="s">
        <v>50</v>
      </c>
      <c r="L230" t="s">
        <v>44</v>
      </c>
      <c r="M230" s="46">
        <v>12500</v>
      </c>
      <c r="N230">
        <v>0.20499999999999999</v>
      </c>
      <c r="O230">
        <v>1</v>
      </c>
      <c r="P230" t="s">
        <v>29</v>
      </c>
      <c r="R230">
        <v>30</v>
      </c>
      <c r="S230">
        <v>827.78</v>
      </c>
      <c r="T230">
        <f>Deals_[[#This Row],[Amount]]*Deals_[[#This Row],[Probability_Pct]]</f>
        <v>12500</v>
      </c>
    </row>
    <row r="231" spans="1:20" x14ac:dyDescent="0.2">
      <c r="A231" t="s">
        <v>503</v>
      </c>
      <c r="B231" s="7">
        <v>46149</v>
      </c>
      <c r="C231" s="7">
        <v>46286</v>
      </c>
      <c r="D231" t="s">
        <v>259</v>
      </c>
      <c r="E231" t="s">
        <v>54</v>
      </c>
      <c r="F231" t="s">
        <v>48</v>
      </c>
      <c r="G231" t="s">
        <v>63</v>
      </c>
      <c r="H231" t="s">
        <v>98</v>
      </c>
      <c r="I231" t="s">
        <v>42</v>
      </c>
      <c r="J231" t="s">
        <v>85</v>
      </c>
      <c r="K231" t="s">
        <v>78</v>
      </c>
      <c r="L231" t="s">
        <v>44</v>
      </c>
      <c r="M231" s="46">
        <v>8900</v>
      </c>
      <c r="N231">
        <v>3.2000000000000001E-2</v>
      </c>
      <c r="O231">
        <v>0.5</v>
      </c>
      <c r="P231" t="s">
        <v>79</v>
      </c>
      <c r="R231">
        <v>137</v>
      </c>
      <c r="S231">
        <v>718.05</v>
      </c>
      <c r="T231">
        <f>Deals_[[#This Row],[Amount]]*Deals_[[#This Row],[Probability_Pct]]</f>
        <v>4450</v>
      </c>
    </row>
    <row r="232" spans="1:20" x14ac:dyDescent="0.2">
      <c r="A232" t="s">
        <v>504</v>
      </c>
      <c r="B232" s="7">
        <v>46231</v>
      </c>
      <c r="C232" s="7">
        <v>46298</v>
      </c>
      <c r="D232" t="s">
        <v>505</v>
      </c>
      <c r="E232" t="s">
        <v>111</v>
      </c>
      <c r="F232" t="s">
        <v>22</v>
      </c>
      <c r="G232" t="s">
        <v>55</v>
      </c>
      <c r="H232" t="s">
        <v>137</v>
      </c>
      <c r="I232" t="s">
        <v>65</v>
      </c>
      <c r="J232" t="s">
        <v>43</v>
      </c>
      <c r="K232" t="s">
        <v>78</v>
      </c>
      <c r="L232" t="s">
        <v>44</v>
      </c>
      <c r="M232" s="46">
        <v>47800</v>
      </c>
      <c r="N232">
        <v>0.04</v>
      </c>
      <c r="O232">
        <v>0.55000000000000004</v>
      </c>
      <c r="P232" t="s">
        <v>79</v>
      </c>
      <c r="R232">
        <v>67</v>
      </c>
      <c r="S232">
        <v>3822.05</v>
      </c>
      <c r="T232">
        <f>Deals_[[#This Row],[Amount]]*Deals_[[#This Row],[Probability_Pct]]</f>
        <v>26290.000000000004</v>
      </c>
    </row>
    <row r="233" spans="1:20" x14ac:dyDescent="0.2">
      <c r="A233" t="s">
        <v>506</v>
      </c>
      <c r="B233" s="7">
        <v>46047</v>
      </c>
      <c r="C233" s="7">
        <v>46170</v>
      </c>
      <c r="D233" t="s">
        <v>507</v>
      </c>
      <c r="E233" t="s">
        <v>111</v>
      </c>
      <c r="F233" t="s">
        <v>74</v>
      </c>
      <c r="G233" t="s">
        <v>63</v>
      </c>
      <c r="H233" t="s">
        <v>41</v>
      </c>
      <c r="I233" t="s">
        <v>65</v>
      </c>
      <c r="J233" t="s">
        <v>43</v>
      </c>
      <c r="K233" t="s">
        <v>106</v>
      </c>
      <c r="L233" t="s">
        <v>28</v>
      </c>
      <c r="M233" s="46">
        <v>96900</v>
      </c>
      <c r="N233">
        <v>0.20799999999999999</v>
      </c>
      <c r="O233">
        <v>0.2</v>
      </c>
      <c r="P233" t="s">
        <v>38</v>
      </c>
      <c r="R233">
        <v>123</v>
      </c>
      <c r="S233">
        <v>6393.44</v>
      </c>
      <c r="T233">
        <f>Deals_[[#This Row],[Amount]]*Deals_[[#This Row],[Probability_Pct]]</f>
        <v>19380</v>
      </c>
    </row>
    <row r="234" spans="1:20" x14ac:dyDescent="0.2">
      <c r="A234" t="s">
        <v>508</v>
      </c>
      <c r="B234" s="7">
        <v>46171</v>
      </c>
      <c r="C234" s="7">
        <v>46277</v>
      </c>
      <c r="D234" t="s">
        <v>509</v>
      </c>
      <c r="E234" t="s">
        <v>54</v>
      </c>
      <c r="F234" t="s">
        <v>48</v>
      </c>
      <c r="G234" t="s">
        <v>63</v>
      </c>
      <c r="H234" t="s">
        <v>83</v>
      </c>
      <c r="I234" t="s">
        <v>42</v>
      </c>
      <c r="J234" t="s">
        <v>85</v>
      </c>
      <c r="K234" t="s">
        <v>27</v>
      </c>
      <c r="L234" t="s">
        <v>44</v>
      </c>
      <c r="M234" s="46">
        <v>24600</v>
      </c>
      <c r="N234">
        <v>0.151</v>
      </c>
      <c r="O234">
        <v>0</v>
      </c>
      <c r="P234" t="s">
        <v>29</v>
      </c>
      <c r="Q234" t="s">
        <v>45</v>
      </c>
      <c r="R234">
        <v>106</v>
      </c>
      <c r="S234">
        <v>1739.82</v>
      </c>
      <c r="T234">
        <f>Deals_[[#This Row],[Amount]]*Deals_[[#This Row],[Probability_Pct]]</f>
        <v>0</v>
      </c>
    </row>
    <row r="235" spans="1:20" x14ac:dyDescent="0.2">
      <c r="A235" t="s">
        <v>510</v>
      </c>
      <c r="B235" s="7">
        <v>46133</v>
      </c>
      <c r="C235" s="7">
        <v>46264</v>
      </c>
      <c r="D235" t="s">
        <v>511</v>
      </c>
      <c r="E235" t="s">
        <v>33</v>
      </c>
      <c r="F235" t="s">
        <v>48</v>
      </c>
      <c r="G235" t="s">
        <v>92</v>
      </c>
      <c r="H235" t="s">
        <v>56</v>
      </c>
      <c r="I235" t="s">
        <v>25</v>
      </c>
      <c r="J235" t="s">
        <v>43</v>
      </c>
      <c r="K235" t="s">
        <v>27</v>
      </c>
      <c r="L235" t="s">
        <v>44</v>
      </c>
      <c r="M235" s="46">
        <v>14600</v>
      </c>
      <c r="N235">
        <v>0.129</v>
      </c>
      <c r="O235">
        <v>0.05</v>
      </c>
      <c r="P235" t="s">
        <v>29</v>
      </c>
      <c r="Q235" t="s">
        <v>152</v>
      </c>
      <c r="R235">
        <v>131</v>
      </c>
      <c r="S235">
        <v>1059.1300000000001</v>
      </c>
      <c r="T235">
        <f>Deals_[[#This Row],[Amount]]*Deals_[[#This Row],[Probability_Pct]]</f>
        <v>730</v>
      </c>
    </row>
    <row r="236" spans="1:20" x14ac:dyDescent="0.2">
      <c r="A236" t="s">
        <v>512</v>
      </c>
      <c r="B236" s="7">
        <v>45982</v>
      </c>
      <c r="C236" s="7">
        <v>46073</v>
      </c>
      <c r="D236" t="s">
        <v>513</v>
      </c>
      <c r="E236" t="s">
        <v>91</v>
      </c>
      <c r="F236" t="s">
        <v>74</v>
      </c>
      <c r="G236" t="s">
        <v>34</v>
      </c>
      <c r="H236" t="s">
        <v>77</v>
      </c>
      <c r="I236" t="s">
        <v>84</v>
      </c>
      <c r="J236" t="s">
        <v>57</v>
      </c>
      <c r="K236" t="s">
        <v>37</v>
      </c>
      <c r="L236" t="s">
        <v>28</v>
      </c>
      <c r="M236" s="46">
        <v>110000</v>
      </c>
      <c r="N236">
        <v>8.2000000000000003E-2</v>
      </c>
      <c r="O236">
        <v>0.15</v>
      </c>
      <c r="P236" t="s">
        <v>38</v>
      </c>
      <c r="R236">
        <v>91</v>
      </c>
      <c r="S236">
        <v>8416.0300000000007</v>
      </c>
      <c r="T236">
        <f>Deals_[[#This Row],[Amount]]*Deals_[[#This Row],[Probability_Pct]]</f>
        <v>16500</v>
      </c>
    </row>
    <row r="237" spans="1:20" x14ac:dyDescent="0.2">
      <c r="A237" t="s">
        <v>514</v>
      </c>
      <c r="B237" s="7">
        <v>45946</v>
      </c>
      <c r="C237" s="7">
        <v>46057</v>
      </c>
      <c r="D237" t="s">
        <v>515</v>
      </c>
      <c r="E237" t="s">
        <v>111</v>
      </c>
      <c r="F237" t="s">
        <v>48</v>
      </c>
      <c r="G237" t="s">
        <v>92</v>
      </c>
      <c r="H237" t="s">
        <v>64</v>
      </c>
      <c r="I237" t="s">
        <v>25</v>
      </c>
      <c r="J237" t="s">
        <v>26</v>
      </c>
      <c r="K237" t="s">
        <v>27</v>
      </c>
      <c r="L237" t="s">
        <v>51</v>
      </c>
      <c r="M237" s="46">
        <v>11000</v>
      </c>
      <c r="N237">
        <v>0.13100000000000001</v>
      </c>
      <c r="O237">
        <v>0</v>
      </c>
      <c r="P237" t="s">
        <v>29</v>
      </c>
      <c r="Q237" t="s">
        <v>188</v>
      </c>
      <c r="R237">
        <v>111</v>
      </c>
      <c r="S237">
        <v>796.57</v>
      </c>
      <c r="T237">
        <f>Deals_[[#This Row],[Amount]]*Deals_[[#This Row],[Probability_Pct]]</f>
        <v>0</v>
      </c>
    </row>
    <row r="238" spans="1:20" x14ac:dyDescent="0.2">
      <c r="A238" t="s">
        <v>516</v>
      </c>
      <c r="B238" s="7">
        <v>46197</v>
      </c>
      <c r="C238" s="7">
        <v>46274</v>
      </c>
      <c r="D238" t="s">
        <v>517</v>
      </c>
      <c r="E238" t="s">
        <v>82</v>
      </c>
      <c r="F238" t="s">
        <v>22</v>
      </c>
      <c r="G238" t="s">
        <v>63</v>
      </c>
      <c r="H238" t="s">
        <v>69</v>
      </c>
      <c r="I238" t="s">
        <v>42</v>
      </c>
      <c r="J238" t="s">
        <v>26</v>
      </c>
      <c r="K238" t="s">
        <v>27</v>
      </c>
      <c r="L238" t="s">
        <v>28</v>
      </c>
      <c r="M238" s="46">
        <v>53000</v>
      </c>
      <c r="N238">
        <v>7.6999999999999999E-2</v>
      </c>
      <c r="O238">
        <v>0</v>
      </c>
      <c r="P238" t="s">
        <v>29</v>
      </c>
      <c r="Q238" t="s">
        <v>209</v>
      </c>
      <c r="R238">
        <v>77</v>
      </c>
      <c r="S238">
        <v>4077.4</v>
      </c>
      <c r="T238">
        <f>Deals_[[#This Row],[Amount]]*Deals_[[#This Row],[Probability_Pct]]</f>
        <v>0</v>
      </c>
    </row>
    <row r="239" spans="1:20" x14ac:dyDescent="0.2">
      <c r="A239" t="s">
        <v>518</v>
      </c>
      <c r="B239" s="7">
        <v>46155</v>
      </c>
      <c r="C239" s="7">
        <v>46277</v>
      </c>
      <c r="D239" t="s">
        <v>384</v>
      </c>
      <c r="E239" t="s">
        <v>68</v>
      </c>
      <c r="F239" t="s">
        <v>48</v>
      </c>
      <c r="G239" t="s">
        <v>63</v>
      </c>
      <c r="H239" t="s">
        <v>24</v>
      </c>
      <c r="I239" t="s">
        <v>99</v>
      </c>
      <c r="J239" t="s">
        <v>57</v>
      </c>
      <c r="K239" t="s">
        <v>50</v>
      </c>
      <c r="L239" t="s">
        <v>44</v>
      </c>
      <c r="M239" s="46">
        <v>18600</v>
      </c>
      <c r="N239">
        <v>0.192</v>
      </c>
      <c r="O239">
        <v>1</v>
      </c>
      <c r="P239" t="s">
        <v>29</v>
      </c>
      <c r="R239">
        <v>122</v>
      </c>
      <c r="S239">
        <v>1251.9000000000001</v>
      </c>
      <c r="T239">
        <f>Deals_[[#This Row],[Amount]]*Deals_[[#This Row],[Probability_Pct]]</f>
        <v>18600</v>
      </c>
    </row>
    <row r="240" spans="1:20" x14ac:dyDescent="0.2">
      <c r="A240" t="s">
        <v>519</v>
      </c>
      <c r="B240" s="7">
        <v>45946</v>
      </c>
      <c r="C240" s="7">
        <v>46052</v>
      </c>
      <c r="D240" t="s">
        <v>520</v>
      </c>
      <c r="E240" t="s">
        <v>33</v>
      </c>
      <c r="F240" t="s">
        <v>48</v>
      </c>
      <c r="G240" t="s">
        <v>23</v>
      </c>
      <c r="H240" t="s">
        <v>137</v>
      </c>
      <c r="I240" t="s">
        <v>35</v>
      </c>
      <c r="J240" t="s">
        <v>57</v>
      </c>
      <c r="K240" t="s">
        <v>50</v>
      </c>
      <c r="L240" t="s">
        <v>44</v>
      </c>
      <c r="M240" s="46">
        <v>7100</v>
      </c>
      <c r="N240">
        <v>6.0999999999999999E-2</v>
      </c>
      <c r="O240">
        <v>0.95</v>
      </c>
      <c r="P240" t="s">
        <v>29</v>
      </c>
      <c r="R240">
        <v>106</v>
      </c>
      <c r="S240">
        <v>555.42999999999995</v>
      </c>
      <c r="T240">
        <f>Deals_[[#This Row],[Amount]]*Deals_[[#This Row],[Probability_Pct]]</f>
        <v>6745</v>
      </c>
    </row>
    <row r="241" spans="1:20" x14ac:dyDescent="0.2">
      <c r="A241" t="s">
        <v>521</v>
      </c>
      <c r="B241" s="7">
        <v>46128</v>
      </c>
      <c r="C241" s="7">
        <v>46267</v>
      </c>
      <c r="D241" t="s">
        <v>360</v>
      </c>
      <c r="E241" t="s">
        <v>62</v>
      </c>
      <c r="F241" t="s">
        <v>22</v>
      </c>
      <c r="G241" t="s">
        <v>92</v>
      </c>
      <c r="H241" t="s">
        <v>49</v>
      </c>
      <c r="I241" t="s">
        <v>84</v>
      </c>
      <c r="J241" t="s">
        <v>26</v>
      </c>
      <c r="K241" t="s">
        <v>27</v>
      </c>
      <c r="L241" t="s">
        <v>28</v>
      </c>
      <c r="M241" s="46">
        <v>58400</v>
      </c>
      <c r="N241">
        <v>0</v>
      </c>
      <c r="O241">
        <v>0</v>
      </c>
      <c r="P241" t="s">
        <v>29</v>
      </c>
      <c r="Q241" t="s">
        <v>126</v>
      </c>
      <c r="R241">
        <v>139</v>
      </c>
      <c r="S241">
        <v>4866.67</v>
      </c>
      <c r="T241">
        <f>Deals_[[#This Row],[Amount]]*Deals_[[#This Row],[Probability_Pct]]</f>
        <v>0</v>
      </c>
    </row>
    <row r="242" spans="1:20" x14ac:dyDescent="0.2">
      <c r="A242" t="s">
        <v>522</v>
      </c>
      <c r="B242" s="7">
        <v>45950</v>
      </c>
      <c r="C242" s="7">
        <v>46080</v>
      </c>
      <c r="D242" t="s">
        <v>523</v>
      </c>
      <c r="E242" t="s">
        <v>111</v>
      </c>
      <c r="F242" t="s">
        <v>22</v>
      </c>
      <c r="G242" t="s">
        <v>92</v>
      </c>
      <c r="H242" t="s">
        <v>120</v>
      </c>
      <c r="I242" t="s">
        <v>65</v>
      </c>
      <c r="J242" t="s">
        <v>43</v>
      </c>
      <c r="K242" t="s">
        <v>50</v>
      </c>
      <c r="L242" t="s">
        <v>44</v>
      </c>
      <c r="M242" s="46">
        <v>64800</v>
      </c>
      <c r="N242">
        <v>5.8999999999999997E-2</v>
      </c>
      <c r="O242">
        <v>0.95</v>
      </c>
      <c r="P242" t="s">
        <v>29</v>
      </c>
      <c r="R242">
        <v>130</v>
      </c>
      <c r="S242">
        <v>5080.33</v>
      </c>
      <c r="T242">
        <f>Deals_[[#This Row],[Amount]]*Deals_[[#This Row],[Probability_Pct]]</f>
        <v>61560</v>
      </c>
    </row>
    <row r="243" spans="1:20" x14ac:dyDescent="0.2">
      <c r="A243" t="s">
        <v>524</v>
      </c>
      <c r="B243" s="7">
        <v>46066</v>
      </c>
      <c r="C243" s="7">
        <v>46139</v>
      </c>
      <c r="D243" t="s">
        <v>122</v>
      </c>
      <c r="E243" t="s">
        <v>21</v>
      </c>
      <c r="F243" t="s">
        <v>22</v>
      </c>
      <c r="G243" t="s">
        <v>23</v>
      </c>
      <c r="H243" t="s">
        <v>98</v>
      </c>
      <c r="I243" t="s">
        <v>25</v>
      </c>
      <c r="J243" t="s">
        <v>57</v>
      </c>
      <c r="K243" t="s">
        <v>88</v>
      </c>
      <c r="L243" t="s">
        <v>28</v>
      </c>
      <c r="M243" s="46">
        <v>51500</v>
      </c>
      <c r="N243">
        <v>0.16500000000000001</v>
      </c>
      <c r="O243">
        <v>0.35</v>
      </c>
      <c r="P243" t="s">
        <v>38</v>
      </c>
      <c r="R243">
        <v>73</v>
      </c>
      <c r="S243">
        <v>3583.47</v>
      </c>
      <c r="T243">
        <f>Deals_[[#This Row],[Amount]]*Deals_[[#This Row],[Probability_Pct]]</f>
        <v>18025</v>
      </c>
    </row>
    <row r="244" spans="1:20" x14ac:dyDescent="0.2">
      <c r="A244" t="s">
        <v>525</v>
      </c>
      <c r="B244" s="7">
        <v>45959</v>
      </c>
      <c r="C244" s="7">
        <v>46073</v>
      </c>
      <c r="D244" t="s">
        <v>526</v>
      </c>
      <c r="E244" t="s">
        <v>21</v>
      </c>
      <c r="F244" t="s">
        <v>22</v>
      </c>
      <c r="G244" t="s">
        <v>34</v>
      </c>
      <c r="H244" t="s">
        <v>49</v>
      </c>
      <c r="I244" t="s">
        <v>99</v>
      </c>
      <c r="J244" t="s">
        <v>57</v>
      </c>
      <c r="K244" t="s">
        <v>27</v>
      </c>
      <c r="L244" t="s">
        <v>28</v>
      </c>
      <c r="M244" s="46">
        <v>78600</v>
      </c>
      <c r="N244">
        <v>0.13</v>
      </c>
      <c r="O244">
        <v>0</v>
      </c>
      <c r="P244" t="s">
        <v>29</v>
      </c>
      <c r="Q244" t="s">
        <v>30</v>
      </c>
      <c r="R244">
        <v>114</v>
      </c>
      <c r="S244">
        <v>5698.56</v>
      </c>
      <c r="T244">
        <f>Deals_[[#This Row],[Amount]]*Deals_[[#This Row],[Probability_Pct]]</f>
        <v>0</v>
      </c>
    </row>
    <row r="245" spans="1:20" x14ac:dyDescent="0.2">
      <c r="A245" t="s">
        <v>527</v>
      </c>
      <c r="B245" s="7">
        <v>45956</v>
      </c>
      <c r="C245" s="7">
        <v>45991</v>
      </c>
      <c r="D245" t="s">
        <v>528</v>
      </c>
      <c r="E245" t="s">
        <v>91</v>
      </c>
      <c r="F245" t="s">
        <v>48</v>
      </c>
      <c r="G245" t="s">
        <v>55</v>
      </c>
      <c r="H245" t="s">
        <v>77</v>
      </c>
      <c r="I245" t="s">
        <v>42</v>
      </c>
      <c r="J245" t="s">
        <v>85</v>
      </c>
      <c r="K245" t="s">
        <v>106</v>
      </c>
      <c r="L245" t="s">
        <v>51</v>
      </c>
      <c r="M245" s="46">
        <v>18000</v>
      </c>
      <c r="N245">
        <v>0.13900000000000001</v>
      </c>
      <c r="O245">
        <v>0.2</v>
      </c>
      <c r="P245" t="s">
        <v>38</v>
      </c>
      <c r="R245">
        <v>35</v>
      </c>
      <c r="S245">
        <v>1291.3800000000001</v>
      </c>
      <c r="T245">
        <f>Deals_[[#This Row],[Amount]]*Deals_[[#This Row],[Probability_Pct]]</f>
        <v>3600</v>
      </c>
    </row>
    <row r="246" spans="1:20" x14ac:dyDescent="0.2">
      <c r="A246" t="s">
        <v>529</v>
      </c>
      <c r="B246" s="7">
        <v>45972</v>
      </c>
      <c r="C246" s="7">
        <v>46013</v>
      </c>
      <c r="D246" t="s">
        <v>502</v>
      </c>
      <c r="E246" t="s">
        <v>21</v>
      </c>
      <c r="F246" t="s">
        <v>48</v>
      </c>
      <c r="G246" t="s">
        <v>55</v>
      </c>
      <c r="H246" t="s">
        <v>83</v>
      </c>
      <c r="I246" t="s">
        <v>25</v>
      </c>
      <c r="J246" t="s">
        <v>36</v>
      </c>
      <c r="K246" t="s">
        <v>50</v>
      </c>
      <c r="L246" t="s">
        <v>28</v>
      </c>
      <c r="M246" s="46">
        <v>11400</v>
      </c>
      <c r="N246">
        <v>0</v>
      </c>
      <c r="O246">
        <v>1</v>
      </c>
      <c r="P246" t="s">
        <v>29</v>
      </c>
      <c r="R246">
        <v>41</v>
      </c>
      <c r="S246">
        <v>950</v>
      </c>
      <c r="T246">
        <f>Deals_[[#This Row],[Amount]]*Deals_[[#This Row],[Probability_Pct]]</f>
        <v>11400</v>
      </c>
    </row>
    <row r="247" spans="1:20" x14ac:dyDescent="0.2">
      <c r="A247" t="s">
        <v>530</v>
      </c>
      <c r="B247" s="7">
        <v>45933</v>
      </c>
      <c r="C247" s="7">
        <v>46014</v>
      </c>
      <c r="D247" t="s">
        <v>531</v>
      </c>
      <c r="E247" t="s">
        <v>54</v>
      </c>
      <c r="F247" t="s">
        <v>22</v>
      </c>
      <c r="G247" t="s">
        <v>23</v>
      </c>
      <c r="H247" t="s">
        <v>69</v>
      </c>
      <c r="I247" t="s">
        <v>99</v>
      </c>
      <c r="J247" t="s">
        <v>57</v>
      </c>
      <c r="K247" t="s">
        <v>27</v>
      </c>
      <c r="L247" t="s">
        <v>44</v>
      </c>
      <c r="M247" s="46">
        <v>39100</v>
      </c>
      <c r="N247">
        <v>0.16300000000000001</v>
      </c>
      <c r="O247">
        <v>0</v>
      </c>
      <c r="P247" t="s">
        <v>29</v>
      </c>
      <c r="Q247" t="s">
        <v>152</v>
      </c>
      <c r="R247">
        <v>81</v>
      </c>
      <c r="S247">
        <v>2728.36</v>
      </c>
      <c r="T247">
        <f>Deals_[[#This Row],[Amount]]*Deals_[[#This Row],[Probability_Pct]]</f>
        <v>0</v>
      </c>
    </row>
    <row r="248" spans="1:20" x14ac:dyDescent="0.2">
      <c r="A248" t="s">
        <v>532</v>
      </c>
      <c r="B248" s="7">
        <v>46066</v>
      </c>
      <c r="C248" s="7">
        <v>46195</v>
      </c>
      <c r="D248" t="s">
        <v>533</v>
      </c>
      <c r="E248" t="s">
        <v>111</v>
      </c>
      <c r="F248" t="s">
        <v>48</v>
      </c>
      <c r="G248" t="s">
        <v>23</v>
      </c>
      <c r="H248" t="s">
        <v>98</v>
      </c>
      <c r="I248" t="s">
        <v>25</v>
      </c>
      <c r="J248" t="s">
        <v>26</v>
      </c>
      <c r="K248" t="s">
        <v>106</v>
      </c>
      <c r="L248" t="s">
        <v>51</v>
      </c>
      <c r="M248" s="46">
        <v>21000</v>
      </c>
      <c r="N248">
        <v>0.161</v>
      </c>
      <c r="O248">
        <v>0.2</v>
      </c>
      <c r="P248" t="s">
        <v>38</v>
      </c>
      <c r="R248">
        <v>129</v>
      </c>
      <c r="S248">
        <v>1468.09</v>
      </c>
      <c r="T248">
        <f>Deals_[[#This Row],[Amount]]*Deals_[[#This Row],[Probability_Pct]]</f>
        <v>4200</v>
      </c>
    </row>
    <row r="249" spans="1:20" x14ac:dyDescent="0.2">
      <c r="A249" t="s">
        <v>534</v>
      </c>
      <c r="B249" s="7">
        <v>46214</v>
      </c>
      <c r="C249" s="7">
        <v>46277</v>
      </c>
      <c r="D249" t="s">
        <v>535</v>
      </c>
      <c r="E249" t="s">
        <v>91</v>
      </c>
      <c r="F249" t="s">
        <v>48</v>
      </c>
      <c r="G249" t="s">
        <v>23</v>
      </c>
      <c r="H249" t="s">
        <v>64</v>
      </c>
      <c r="I249" t="s">
        <v>25</v>
      </c>
      <c r="J249" t="s">
        <v>26</v>
      </c>
      <c r="K249" t="s">
        <v>27</v>
      </c>
      <c r="L249" t="s">
        <v>44</v>
      </c>
      <c r="M249" s="46">
        <v>6300</v>
      </c>
      <c r="N249">
        <v>9.8000000000000004E-2</v>
      </c>
      <c r="O249">
        <v>0</v>
      </c>
      <c r="P249" t="s">
        <v>29</v>
      </c>
      <c r="Q249" t="s">
        <v>222</v>
      </c>
      <c r="R249">
        <v>63</v>
      </c>
      <c r="S249">
        <v>473.3</v>
      </c>
      <c r="T249">
        <f>Deals_[[#This Row],[Amount]]*Deals_[[#This Row],[Probability_Pct]]</f>
        <v>0</v>
      </c>
    </row>
    <row r="250" spans="1:20" x14ac:dyDescent="0.2">
      <c r="A250" t="s">
        <v>536</v>
      </c>
      <c r="B250" s="7">
        <v>46017</v>
      </c>
      <c r="C250" s="7">
        <v>46121</v>
      </c>
      <c r="D250" t="s">
        <v>537</v>
      </c>
      <c r="E250" t="s">
        <v>33</v>
      </c>
      <c r="F250" t="s">
        <v>48</v>
      </c>
      <c r="G250" t="s">
        <v>63</v>
      </c>
      <c r="H250" t="s">
        <v>83</v>
      </c>
      <c r="I250" t="s">
        <v>65</v>
      </c>
      <c r="J250" t="s">
        <v>85</v>
      </c>
      <c r="K250" t="s">
        <v>78</v>
      </c>
      <c r="L250" t="s">
        <v>44</v>
      </c>
      <c r="M250" s="46">
        <v>13300</v>
      </c>
      <c r="N250">
        <v>6.0999999999999999E-2</v>
      </c>
      <c r="O250">
        <v>0.6</v>
      </c>
      <c r="P250" t="s">
        <v>79</v>
      </c>
      <c r="R250">
        <v>104</v>
      </c>
      <c r="S250">
        <v>1041.06</v>
      </c>
      <c r="T250">
        <f>Deals_[[#This Row],[Amount]]*Deals_[[#This Row],[Probability_Pct]]</f>
        <v>7980</v>
      </c>
    </row>
    <row r="251" spans="1:20" x14ac:dyDescent="0.2">
      <c r="A251" t="s">
        <v>538</v>
      </c>
      <c r="B251" s="7">
        <v>46042</v>
      </c>
      <c r="C251" s="7">
        <v>46111</v>
      </c>
      <c r="D251" t="s">
        <v>539</v>
      </c>
      <c r="E251" t="s">
        <v>33</v>
      </c>
      <c r="F251" t="s">
        <v>22</v>
      </c>
      <c r="G251" t="s">
        <v>55</v>
      </c>
      <c r="H251" t="s">
        <v>77</v>
      </c>
      <c r="I251" t="s">
        <v>65</v>
      </c>
      <c r="J251" t="s">
        <v>36</v>
      </c>
      <c r="K251" t="s">
        <v>106</v>
      </c>
      <c r="L251" t="s">
        <v>28</v>
      </c>
      <c r="M251" s="46">
        <v>62600</v>
      </c>
      <c r="N251">
        <v>0.20699999999999999</v>
      </c>
      <c r="O251">
        <v>0.2</v>
      </c>
      <c r="P251" t="s">
        <v>38</v>
      </c>
      <c r="R251">
        <v>69</v>
      </c>
      <c r="S251">
        <v>4134.99</v>
      </c>
      <c r="T251">
        <f>Deals_[[#This Row],[Amount]]*Deals_[[#This Row],[Probability_Pct]]</f>
        <v>12520</v>
      </c>
    </row>
    <row r="252" spans="1:20" x14ac:dyDescent="0.2">
      <c r="A252" t="s">
        <v>540</v>
      </c>
      <c r="B252" s="7">
        <v>45968</v>
      </c>
      <c r="C252" s="7">
        <v>46054</v>
      </c>
      <c r="D252" t="s">
        <v>298</v>
      </c>
      <c r="E252" t="s">
        <v>91</v>
      </c>
      <c r="F252" t="s">
        <v>74</v>
      </c>
      <c r="G252" t="s">
        <v>63</v>
      </c>
      <c r="H252" t="s">
        <v>77</v>
      </c>
      <c r="I252" t="s">
        <v>35</v>
      </c>
      <c r="J252" t="s">
        <v>26</v>
      </c>
      <c r="K252" t="s">
        <v>88</v>
      </c>
      <c r="L252" t="s">
        <v>51</v>
      </c>
      <c r="M252" s="46">
        <v>316000</v>
      </c>
      <c r="N252">
        <v>0.17499999999999999</v>
      </c>
      <c r="O252">
        <v>0.35</v>
      </c>
      <c r="P252" t="s">
        <v>38</v>
      </c>
      <c r="R252">
        <v>86</v>
      </c>
      <c r="S252">
        <v>21731.74</v>
      </c>
      <c r="T252">
        <f>Deals_[[#This Row],[Amount]]*Deals_[[#This Row],[Probability_Pct]]</f>
        <v>110600</v>
      </c>
    </row>
    <row r="253" spans="1:20" x14ac:dyDescent="0.2">
      <c r="A253" t="s">
        <v>541</v>
      </c>
      <c r="B253" s="7">
        <v>46016</v>
      </c>
      <c r="C253" s="7">
        <v>46050</v>
      </c>
      <c r="D253" t="s">
        <v>542</v>
      </c>
      <c r="E253" t="s">
        <v>33</v>
      </c>
      <c r="F253" t="s">
        <v>22</v>
      </c>
      <c r="G253" t="s">
        <v>55</v>
      </c>
      <c r="H253" t="s">
        <v>56</v>
      </c>
      <c r="I253" t="s">
        <v>65</v>
      </c>
      <c r="J253" t="s">
        <v>57</v>
      </c>
      <c r="K253" t="s">
        <v>37</v>
      </c>
      <c r="L253" t="s">
        <v>51</v>
      </c>
      <c r="M253" s="46">
        <v>50900</v>
      </c>
      <c r="N253">
        <v>0.14499999999999999</v>
      </c>
      <c r="O253">
        <v>0.1</v>
      </c>
      <c r="P253" t="s">
        <v>38</v>
      </c>
      <c r="R253">
        <v>34</v>
      </c>
      <c r="S253">
        <v>3627.64</v>
      </c>
      <c r="T253">
        <f>Deals_[[#This Row],[Amount]]*Deals_[[#This Row],[Probability_Pct]]</f>
        <v>5090</v>
      </c>
    </row>
    <row r="254" spans="1:20" x14ac:dyDescent="0.2">
      <c r="A254" t="s">
        <v>543</v>
      </c>
      <c r="B254" s="7">
        <v>45995</v>
      </c>
      <c r="C254" s="7">
        <v>46101</v>
      </c>
      <c r="D254" t="s">
        <v>544</v>
      </c>
      <c r="E254" t="s">
        <v>82</v>
      </c>
      <c r="F254" t="s">
        <v>48</v>
      </c>
      <c r="G254" t="s">
        <v>92</v>
      </c>
      <c r="H254" t="s">
        <v>83</v>
      </c>
      <c r="I254" t="s">
        <v>35</v>
      </c>
      <c r="J254" t="s">
        <v>43</v>
      </c>
      <c r="K254" t="s">
        <v>37</v>
      </c>
      <c r="L254" t="s">
        <v>28</v>
      </c>
      <c r="M254" s="46">
        <v>16200</v>
      </c>
      <c r="N254">
        <v>0.11</v>
      </c>
      <c r="O254">
        <v>0.15</v>
      </c>
      <c r="P254" t="s">
        <v>38</v>
      </c>
      <c r="R254">
        <v>106</v>
      </c>
      <c r="S254">
        <v>1201.83</v>
      </c>
      <c r="T254">
        <f>Deals_[[#This Row],[Amount]]*Deals_[[#This Row],[Probability_Pct]]</f>
        <v>2430</v>
      </c>
    </row>
    <row r="255" spans="1:20" x14ac:dyDescent="0.2">
      <c r="A255" t="s">
        <v>545</v>
      </c>
      <c r="B255" s="7">
        <v>46257</v>
      </c>
      <c r="C255" s="7">
        <v>46277</v>
      </c>
      <c r="D255" t="s">
        <v>546</v>
      </c>
      <c r="E255" t="s">
        <v>82</v>
      </c>
      <c r="F255" t="s">
        <v>48</v>
      </c>
      <c r="G255" t="s">
        <v>55</v>
      </c>
      <c r="H255" t="s">
        <v>24</v>
      </c>
      <c r="I255" t="s">
        <v>25</v>
      </c>
      <c r="J255" t="s">
        <v>36</v>
      </c>
      <c r="K255" t="s">
        <v>50</v>
      </c>
      <c r="L255" t="s">
        <v>28</v>
      </c>
      <c r="M255" s="46">
        <v>25000</v>
      </c>
      <c r="N255">
        <v>0</v>
      </c>
      <c r="O255">
        <v>1</v>
      </c>
      <c r="P255" t="s">
        <v>29</v>
      </c>
      <c r="R255">
        <v>20</v>
      </c>
      <c r="S255">
        <v>2083.33</v>
      </c>
      <c r="T255">
        <f>Deals_[[#This Row],[Amount]]*Deals_[[#This Row],[Probability_Pct]]</f>
        <v>25000</v>
      </c>
    </row>
    <row r="256" spans="1:20" x14ac:dyDescent="0.2">
      <c r="A256" t="s">
        <v>547</v>
      </c>
      <c r="B256" s="7">
        <v>45995</v>
      </c>
      <c r="C256" s="7">
        <v>46113</v>
      </c>
      <c r="D256" t="s">
        <v>234</v>
      </c>
      <c r="E256" t="s">
        <v>91</v>
      </c>
      <c r="F256" t="s">
        <v>74</v>
      </c>
      <c r="G256" t="s">
        <v>92</v>
      </c>
      <c r="H256" t="s">
        <v>95</v>
      </c>
      <c r="I256" t="s">
        <v>25</v>
      </c>
      <c r="J256" t="s">
        <v>26</v>
      </c>
      <c r="K256" t="s">
        <v>106</v>
      </c>
      <c r="L256" t="s">
        <v>28</v>
      </c>
      <c r="M256" s="46">
        <v>172900</v>
      </c>
      <c r="N256">
        <v>4.5999999999999999E-2</v>
      </c>
      <c r="O256">
        <v>0.2</v>
      </c>
      <c r="P256" t="s">
        <v>38</v>
      </c>
      <c r="R256">
        <v>118</v>
      </c>
      <c r="S256">
        <v>13740.82</v>
      </c>
      <c r="T256">
        <f>Deals_[[#This Row],[Amount]]*Deals_[[#This Row],[Probability_Pct]]</f>
        <v>34580</v>
      </c>
    </row>
    <row r="257" spans="1:20" x14ac:dyDescent="0.2">
      <c r="A257" t="s">
        <v>548</v>
      </c>
      <c r="B257" s="7">
        <v>46265</v>
      </c>
      <c r="C257" s="7">
        <v>46286</v>
      </c>
      <c r="D257" t="s">
        <v>549</v>
      </c>
      <c r="E257" t="s">
        <v>21</v>
      </c>
      <c r="F257" t="s">
        <v>22</v>
      </c>
      <c r="G257" t="s">
        <v>63</v>
      </c>
      <c r="H257" t="s">
        <v>64</v>
      </c>
      <c r="I257" t="s">
        <v>42</v>
      </c>
      <c r="J257" t="s">
        <v>43</v>
      </c>
      <c r="K257" t="s">
        <v>78</v>
      </c>
      <c r="L257" t="s">
        <v>28</v>
      </c>
      <c r="M257" s="46">
        <v>49600</v>
      </c>
      <c r="N257">
        <v>0.17199999999999999</v>
      </c>
      <c r="O257">
        <v>0.6</v>
      </c>
      <c r="P257" t="s">
        <v>79</v>
      </c>
      <c r="R257">
        <v>21</v>
      </c>
      <c r="S257">
        <v>3424.27</v>
      </c>
      <c r="T257">
        <f>Deals_[[#This Row],[Amount]]*Deals_[[#This Row],[Probability_Pct]]</f>
        <v>29760</v>
      </c>
    </row>
    <row r="258" spans="1:20" x14ac:dyDescent="0.2">
      <c r="A258" t="s">
        <v>550</v>
      </c>
      <c r="B258" s="7">
        <v>46134</v>
      </c>
      <c r="C258" s="7">
        <v>46268</v>
      </c>
      <c r="D258" t="s">
        <v>551</v>
      </c>
      <c r="E258" t="s">
        <v>82</v>
      </c>
      <c r="F258" t="s">
        <v>74</v>
      </c>
      <c r="G258" t="s">
        <v>55</v>
      </c>
      <c r="H258" t="s">
        <v>69</v>
      </c>
      <c r="I258" t="s">
        <v>99</v>
      </c>
      <c r="J258" t="s">
        <v>85</v>
      </c>
      <c r="K258" t="s">
        <v>50</v>
      </c>
      <c r="L258" t="s">
        <v>28</v>
      </c>
      <c r="M258" s="46">
        <v>144300</v>
      </c>
      <c r="N258">
        <v>0.1</v>
      </c>
      <c r="O258">
        <v>1</v>
      </c>
      <c r="P258" t="s">
        <v>29</v>
      </c>
      <c r="R258">
        <v>134</v>
      </c>
      <c r="S258">
        <v>10818.9</v>
      </c>
      <c r="T258">
        <f>Deals_[[#This Row],[Amount]]*Deals_[[#This Row],[Probability_Pct]]</f>
        <v>144300</v>
      </c>
    </row>
    <row r="259" spans="1:20" x14ac:dyDescent="0.2">
      <c r="A259" t="s">
        <v>552</v>
      </c>
      <c r="B259" s="7">
        <v>46103</v>
      </c>
      <c r="C259" s="7">
        <v>46146</v>
      </c>
      <c r="D259" t="s">
        <v>553</v>
      </c>
      <c r="E259" t="s">
        <v>62</v>
      </c>
      <c r="F259" t="s">
        <v>74</v>
      </c>
      <c r="G259" t="s">
        <v>63</v>
      </c>
      <c r="H259" t="s">
        <v>24</v>
      </c>
      <c r="I259" t="s">
        <v>35</v>
      </c>
      <c r="J259" t="s">
        <v>26</v>
      </c>
      <c r="K259" t="s">
        <v>27</v>
      </c>
      <c r="L259" t="s">
        <v>28</v>
      </c>
      <c r="M259" s="46">
        <v>179600</v>
      </c>
      <c r="N259">
        <v>0.188</v>
      </c>
      <c r="O259">
        <v>0</v>
      </c>
      <c r="P259" t="s">
        <v>29</v>
      </c>
      <c r="Q259" t="s">
        <v>45</v>
      </c>
      <c r="R259">
        <v>43</v>
      </c>
      <c r="S259">
        <v>12157.18</v>
      </c>
      <c r="T259">
        <f>Deals_[[#This Row],[Amount]]*Deals_[[#This Row],[Probability_Pct]]</f>
        <v>0</v>
      </c>
    </row>
    <row r="260" spans="1:20" x14ac:dyDescent="0.2">
      <c r="A260" t="s">
        <v>554</v>
      </c>
      <c r="B260" s="7">
        <v>46005</v>
      </c>
      <c r="C260" s="7">
        <v>46173</v>
      </c>
      <c r="D260" t="s">
        <v>452</v>
      </c>
      <c r="E260" t="s">
        <v>91</v>
      </c>
      <c r="F260" t="s">
        <v>22</v>
      </c>
      <c r="G260" t="s">
        <v>23</v>
      </c>
      <c r="H260" t="s">
        <v>137</v>
      </c>
      <c r="I260" t="s">
        <v>35</v>
      </c>
      <c r="J260" t="s">
        <v>26</v>
      </c>
      <c r="K260" t="s">
        <v>27</v>
      </c>
      <c r="L260" t="s">
        <v>28</v>
      </c>
      <c r="M260" s="46">
        <v>67300</v>
      </c>
      <c r="N260">
        <v>0.14299999999999999</v>
      </c>
      <c r="O260">
        <v>0</v>
      </c>
      <c r="P260" t="s">
        <v>29</v>
      </c>
      <c r="Q260" t="s">
        <v>209</v>
      </c>
      <c r="R260">
        <v>168</v>
      </c>
      <c r="S260">
        <v>4809.08</v>
      </c>
      <c r="T260">
        <f>Deals_[[#This Row],[Amount]]*Deals_[[#This Row],[Probability_Pct]]</f>
        <v>0</v>
      </c>
    </row>
    <row r="261" spans="1:20" x14ac:dyDescent="0.2">
      <c r="A261" t="s">
        <v>555</v>
      </c>
      <c r="B261" s="7">
        <v>46239</v>
      </c>
      <c r="C261" s="7">
        <v>46300</v>
      </c>
      <c r="D261" t="s">
        <v>157</v>
      </c>
      <c r="E261" t="s">
        <v>33</v>
      </c>
      <c r="F261" t="s">
        <v>48</v>
      </c>
      <c r="G261" t="s">
        <v>63</v>
      </c>
      <c r="H261" t="s">
        <v>41</v>
      </c>
      <c r="I261" t="s">
        <v>65</v>
      </c>
      <c r="J261" t="s">
        <v>43</v>
      </c>
      <c r="K261" t="s">
        <v>106</v>
      </c>
      <c r="L261" t="s">
        <v>51</v>
      </c>
      <c r="M261" s="46">
        <v>11600</v>
      </c>
      <c r="N261">
        <v>7.9000000000000001E-2</v>
      </c>
      <c r="O261">
        <v>0.2</v>
      </c>
      <c r="P261" t="s">
        <v>38</v>
      </c>
      <c r="R261">
        <v>61</v>
      </c>
      <c r="S261">
        <v>890.36</v>
      </c>
      <c r="T261">
        <f>Deals_[[#This Row],[Amount]]*Deals_[[#This Row],[Probability_Pct]]</f>
        <v>2320</v>
      </c>
    </row>
    <row r="262" spans="1:20" x14ac:dyDescent="0.2">
      <c r="A262" t="s">
        <v>556</v>
      </c>
      <c r="B262" s="7">
        <v>46047</v>
      </c>
      <c r="C262" s="7">
        <v>46116</v>
      </c>
      <c r="D262" t="s">
        <v>557</v>
      </c>
      <c r="E262" t="s">
        <v>54</v>
      </c>
      <c r="F262" t="s">
        <v>48</v>
      </c>
      <c r="G262" t="s">
        <v>55</v>
      </c>
      <c r="H262" t="s">
        <v>56</v>
      </c>
      <c r="I262" t="s">
        <v>65</v>
      </c>
      <c r="J262" t="s">
        <v>85</v>
      </c>
      <c r="K262" t="s">
        <v>58</v>
      </c>
      <c r="L262" t="s">
        <v>51</v>
      </c>
      <c r="M262" s="46">
        <v>23600</v>
      </c>
      <c r="N262">
        <v>0.16300000000000001</v>
      </c>
      <c r="O262">
        <v>0.75</v>
      </c>
      <c r="P262" t="s">
        <v>59</v>
      </c>
      <c r="R262">
        <v>69</v>
      </c>
      <c r="S262">
        <v>1645.65</v>
      </c>
      <c r="T262">
        <f>Deals_[[#This Row],[Amount]]*Deals_[[#This Row],[Probability_Pct]]</f>
        <v>17700</v>
      </c>
    </row>
    <row r="263" spans="1:20" x14ac:dyDescent="0.2">
      <c r="A263" t="s">
        <v>558</v>
      </c>
      <c r="B263" s="7">
        <v>46029</v>
      </c>
      <c r="C263" s="7">
        <v>46123</v>
      </c>
      <c r="D263" t="s">
        <v>559</v>
      </c>
      <c r="E263" t="s">
        <v>21</v>
      </c>
      <c r="F263" t="s">
        <v>48</v>
      </c>
      <c r="G263" t="s">
        <v>63</v>
      </c>
      <c r="H263" t="s">
        <v>95</v>
      </c>
      <c r="I263" t="s">
        <v>25</v>
      </c>
      <c r="J263" t="s">
        <v>85</v>
      </c>
      <c r="K263" t="s">
        <v>58</v>
      </c>
      <c r="L263" t="s">
        <v>51</v>
      </c>
      <c r="M263" s="46">
        <v>16600</v>
      </c>
      <c r="N263">
        <v>5.3999999999999999E-2</v>
      </c>
      <c r="O263">
        <v>0.75</v>
      </c>
      <c r="P263" t="s">
        <v>59</v>
      </c>
      <c r="R263">
        <v>94</v>
      </c>
      <c r="S263">
        <v>1308.31</v>
      </c>
      <c r="T263">
        <f>Deals_[[#This Row],[Amount]]*Deals_[[#This Row],[Probability_Pct]]</f>
        <v>12450</v>
      </c>
    </row>
    <row r="264" spans="1:20" x14ac:dyDescent="0.2">
      <c r="A264" t="s">
        <v>560</v>
      </c>
      <c r="B264" s="7">
        <v>46230</v>
      </c>
      <c r="C264" s="7">
        <v>46257</v>
      </c>
      <c r="D264" t="s">
        <v>194</v>
      </c>
      <c r="E264" t="s">
        <v>62</v>
      </c>
      <c r="F264" t="s">
        <v>48</v>
      </c>
      <c r="G264" t="s">
        <v>34</v>
      </c>
      <c r="H264" t="s">
        <v>83</v>
      </c>
      <c r="I264" t="s">
        <v>35</v>
      </c>
      <c r="J264" t="s">
        <v>43</v>
      </c>
      <c r="K264" t="s">
        <v>27</v>
      </c>
      <c r="L264" t="s">
        <v>28</v>
      </c>
      <c r="M264" s="46">
        <v>20700</v>
      </c>
      <c r="N264">
        <v>0.126</v>
      </c>
      <c r="O264">
        <v>0</v>
      </c>
      <c r="P264" t="s">
        <v>29</v>
      </c>
      <c r="Q264" t="s">
        <v>152</v>
      </c>
      <c r="R264">
        <v>27</v>
      </c>
      <c r="S264">
        <v>1507.58</v>
      </c>
      <c r="T264">
        <f>Deals_[[#This Row],[Amount]]*Deals_[[#This Row],[Probability_Pct]]</f>
        <v>0</v>
      </c>
    </row>
    <row r="265" spans="1:20" x14ac:dyDescent="0.2">
      <c r="A265" t="s">
        <v>561</v>
      </c>
      <c r="B265" s="7">
        <v>45933</v>
      </c>
      <c r="C265" s="7">
        <v>45972</v>
      </c>
      <c r="D265" t="s">
        <v>562</v>
      </c>
      <c r="E265" t="s">
        <v>62</v>
      </c>
      <c r="F265" t="s">
        <v>48</v>
      </c>
      <c r="G265" t="s">
        <v>92</v>
      </c>
      <c r="H265" t="s">
        <v>120</v>
      </c>
      <c r="I265" t="s">
        <v>65</v>
      </c>
      <c r="J265" t="s">
        <v>43</v>
      </c>
      <c r="K265" t="s">
        <v>58</v>
      </c>
      <c r="L265" t="s">
        <v>51</v>
      </c>
      <c r="M265" s="46">
        <v>25300</v>
      </c>
      <c r="N265">
        <v>0.16200000000000001</v>
      </c>
      <c r="O265">
        <v>0.75</v>
      </c>
      <c r="P265" t="s">
        <v>59</v>
      </c>
      <c r="R265">
        <v>39</v>
      </c>
      <c r="S265">
        <v>1766.07</v>
      </c>
      <c r="T265">
        <f>Deals_[[#This Row],[Amount]]*Deals_[[#This Row],[Probability_Pct]]</f>
        <v>18975</v>
      </c>
    </row>
    <row r="266" spans="1:20" x14ac:dyDescent="0.2">
      <c r="A266" t="s">
        <v>563</v>
      </c>
      <c r="B266" s="7">
        <v>45997</v>
      </c>
      <c r="C266" s="7">
        <v>46099</v>
      </c>
      <c r="D266" t="s">
        <v>564</v>
      </c>
      <c r="E266" t="s">
        <v>68</v>
      </c>
      <c r="F266" t="s">
        <v>48</v>
      </c>
      <c r="G266" t="s">
        <v>63</v>
      </c>
      <c r="H266" t="s">
        <v>24</v>
      </c>
      <c r="I266" t="s">
        <v>65</v>
      </c>
      <c r="J266" t="s">
        <v>43</v>
      </c>
      <c r="K266" t="s">
        <v>88</v>
      </c>
      <c r="L266" t="s">
        <v>51</v>
      </c>
      <c r="M266" s="46">
        <v>28000</v>
      </c>
      <c r="N266">
        <v>0.248</v>
      </c>
      <c r="O266">
        <v>0.35</v>
      </c>
      <c r="P266" t="s">
        <v>38</v>
      </c>
      <c r="R266">
        <v>102</v>
      </c>
      <c r="S266">
        <v>1754.39</v>
      </c>
      <c r="T266">
        <f>Deals_[[#This Row],[Amount]]*Deals_[[#This Row],[Probability_Pct]]</f>
        <v>9800</v>
      </c>
    </row>
    <row r="267" spans="1:20" x14ac:dyDescent="0.2">
      <c r="A267" t="s">
        <v>565</v>
      </c>
      <c r="B267" s="7">
        <v>46126</v>
      </c>
      <c r="C267" s="7">
        <v>46215</v>
      </c>
      <c r="D267" t="s">
        <v>566</v>
      </c>
      <c r="E267" t="s">
        <v>91</v>
      </c>
      <c r="F267" t="s">
        <v>48</v>
      </c>
      <c r="G267" t="s">
        <v>92</v>
      </c>
      <c r="H267" t="s">
        <v>49</v>
      </c>
      <c r="I267" t="s">
        <v>35</v>
      </c>
      <c r="J267" t="s">
        <v>57</v>
      </c>
      <c r="K267" t="s">
        <v>106</v>
      </c>
      <c r="L267" t="s">
        <v>51</v>
      </c>
      <c r="M267" s="46">
        <v>14200</v>
      </c>
      <c r="N267">
        <v>2.9000000000000001E-2</v>
      </c>
      <c r="O267">
        <v>0.25</v>
      </c>
      <c r="P267" t="s">
        <v>38</v>
      </c>
      <c r="R267">
        <v>89</v>
      </c>
      <c r="S267">
        <v>1149.03</v>
      </c>
      <c r="T267">
        <f>Deals_[[#This Row],[Amount]]*Deals_[[#This Row],[Probability_Pct]]</f>
        <v>3550</v>
      </c>
    </row>
    <row r="268" spans="1:20" x14ac:dyDescent="0.2">
      <c r="A268" t="s">
        <v>567</v>
      </c>
      <c r="B268" s="7">
        <v>45955</v>
      </c>
      <c r="C268" s="7">
        <v>46027</v>
      </c>
      <c r="D268" t="s">
        <v>380</v>
      </c>
      <c r="E268" t="s">
        <v>82</v>
      </c>
      <c r="F268" t="s">
        <v>48</v>
      </c>
      <c r="G268" t="s">
        <v>34</v>
      </c>
      <c r="H268" t="s">
        <v>56</v>
      </c>
      <c r="I268" t="s">
        <v>99</v>
      </c>
      <c r="J268" t="s">
        <v>26</v>
      </c>
      <c r="K268" t="s">
        <v>58</v>
      </c>
      <c r="L268" t="s">
        <v>44</v>
      </c>
      <c r="M268" s="46">
        <v>12500</v>
      </c>
      <c r="N268">
        <v>0.24</v>
      </c>
      <c r="O268">
        <v>0.7</v>
      </c>
      <c r="P268" t="s">
        <v>59</v>
      </c>
      <c r="R268">
        <v>72</v>
      </c>
      <c r="S268">
        <v>791.95</v>
      </c>
      <c r="T268">
        <f>Deals_[[#This Row],[Amount]]*Deals_[[#This Row],[Probability_Pct]]</f>
        <v>8750</v>
      </c>
    </row>
    <row r="269" spans="1:20" x14ac:dyDescent="0.2">
      <c r="A269" t="s">
        <v>568</v>
      </c>
      <c r="B269" s="7">
        <v>46112</v>
      </c>
      <c r="C269" s="7">
        <v>46250</v>
      </c>
      <c r="D269" t="s">
        <v>569</v>
      </c>
      <c r="E269" t="s">
        <v>111</v>
      </c>
      <c r="F269" t="s">
        <v>22</v>
      </c>
      <c r="G269" t="s">
        <v>23</v>
      </c>
      <c r="H269" t="s">
        <v>98</v>
      </c>
      <c r="I269" t="s">
        <v>65</v>
      </c>
      <c r="J269" t="s">
        <v>43</v>
      </c>
      <c r="K269" t="s">
        <v>37</v>
      </c>
      <c r="L269" t="s">
        <v>28</v>
      </c>
      <c r="M269" s="46">
        <v>55700</v>
      </c>
      <c r="N269">
        <v>0.126</v>
      </c>
      <c r="O269">
        <v>0.1</v>
      </c>
      <c r="P269" t="s">
        <v>38</v>
      </c>
      <c r="R269">
        <v>138</v>
      </c>
      <c r="S269">
        <v>4055.51</v>
      </c>
      <c r="T269">
        <f>Deals_[[#This Row],[Amount]]*Deals_[[#This Row],[Probability_Pct]]</f>
        <v>5570</v>
      </c>
    </row>
    <row r="270" spans="1:20" x14ac:dyDescent="0.2">
      <c r="A270" t="s">
        <v>570</v>
      </c>
      <c r="B270" s="7">
        <v>46273</v>
      </c>
      <c r="C270" s="7">
        <v>46317</v>
      </c>
      <c r="D270" t="s">
        <v>571</v>
      </c>
      <c r="E270" t="s">
        <v>91</v>
      </c>
      <c r="F270" t="s">
        <v>48</v>
      </c>
      <c r="G270" t="s">
        <v>55</v>
      </c>
      <c r="H270" t="s">
        <v>83</v>
      </c>
      <c r="I270" t="s">
        <v>35</v>
      </c>
      <c r="J270" t="s">
        <v>57</v>
      </c>
      <c r="K270" t="s">
        <v>106</v>
      </c>
      <c r="L270" t="s">
        <v>51</v>
      </c>
      <c r="M270" s="46">
        <v>26700</v>
      </c>
      <c r="N270">
        <v>0.19</v>
      </c>
      <c r="O270">
        <v>0.2</v>
      </c>
      <c r="P270" t="s">
        <v>38</v>
      </c>
      <c r="R270">
        <v>44</v>
      </c>
      <c r="S270">
        <v>1802.13</v>
      </c>
      <c r="T270">
        <f>Deals_[[#This Row],[Amount]]*Deals_[[#This Row],[Probability_Pct]]</f>
        <v>5340</v>
      </c>
    </row>
    <row r="271" spans="1:20" x14ac:dyDescent="0.2">
      <c r="A271" t="s">
        <v>572</v>
      </c>
      <c r="B271" s="7">
        <v>45951</v>
      </c>
      <c r="C271" s="7">
        <v>46008</v>
      </c>
      <c r="D271" t="s">
        <v>573</v>
      </c>
      <c r="E271" t="s">
        <v>68</v>
      </c>
      <c r="F271" t="s">
        <v>22</v>
      </c>
      <c r="G271" t="s">
        <v>23</v>
      </c>
      <c r="H271" t="s">
        <v>24</v>
      </c>
      <c r="I271" t="s">
        <v>35</v>
      </c>
      <c r="J271" t="s">
        <v>26</v>
      </c>
      <c r="K271" t="s">
        <v>106</v>
      </c>
      <c r="L271" t="s">
        <v>51</v>
      </c>
      <c r="M271" s="46">
        <v>83300</v>
      </c>
      <c r="N271">
        <v>4.9000000000000002E-2</v>
      </c>
      <c r="O271">
        <v>0.15</v>
      </c>
      <c r="P271" t="s">
        <v>38</v>
      </c>
      <c r="R271">
        <v>57</v>
      </c>
      <c r="S271">
        <v>6600.29</v>
      </c>
      <c r="T271">
        <f>Deals_[[#This Row],[Amount]]*Deals_[[#This Row],[Probability_Pct]]</f>
        <v>12495</v>
      </c>
    </row>
    <row r="272" spans="1:20" x14ac:dyDescent="0.2">
      <c r="A272" t="s">
        <v>574</v>
      </c>
      <c r="B272" s="7">
        <v>46021</v>
      </c>
      <c r="C272" s="7">
        <v>46157</v>
      </c>
      <c r="D272" t="s">
        <v>575</v>
      </c>
      <c r="E272" t="s">
        <v>111</v>
      </c>
      <c r="F272" t="s">
        <v>48</v>
      </c>
      <c r="G272" t="s">
        <v>92</v>
      </c>
      <c r="H272" t="s">
        <v>120</v>
      </c>
      <c r="I272" t="s">
        <v>42</v>
      </c>
      <c r="J272" t="s">
        <v>36</v>
      </c>
      <c r="K272" t="s">
        <v>37</v>
      </c>
      <c r="L272" t="s">
        <v>44</v>
      </c>
      <c r="M272" s="46">
        <v>11100</v>
      </c>
      <c r="N272">
        <v>8.1000000000000003E-2</v>
      </c>
      <c r="O272">
        <v>0.1</v>
      </c>
      <c r="P272" t="s">
        <v>38</v>
      </c>
      <c r="R272">
        <v>136</v>
      </c>
      <c r="S272">
        <v>849.83</v>
      </c>
      <c r="T272">
        <f>Deals_[[#This Row],[Amount]]*Deals_[[#This Row],[Probability_Pct]]</f>
        <v>1110</v>
      </c>
    </row>
    <row r="273" spans="1:20" x14ac:dyDescent="0.2">
      <c r="A273" t="s">
        <v>576</v>
      </c>
      <c r="B273" s="7">
        <v>46099</v>
      </c>
      <c r="C273" s="7">
        <v>46132</v>
      </c>
      <c r="D273" t="s">
        <v>115</v>
      </c>
      <c r="E273" t="s">
        <v>54</v>
      </c>
      <c r="F273" t="s">
        <v>48</v>
      </c>
      <c r="G273" t="s">
        <v>34</v>
      </c>
      <c r="H273" t="s">
        <v>49</v>
      </c>
      <c r="I273" t="s">
        <v>35</v>
      </c>
      <c r="J273" t="s">
        <v>43</v>
      </c>
      <c r="K273" t="s">
        <v>58</v>
      </c>
      <c r="L273" t="s">
        <v>28</v>
      </c>
      <c r="M273" s="46">
        <v>24700</v>
      </c>
      <c r="N273">
        <v>0.26500000000000001</v>
      </c>
      <c r="O273">
        <v>0.75</v>
      </c>
      <c r="P273" t="s">
        <v>59</v>
      </c>
      <c r="R273">
        <v>33</v>
      </c>
      <c r="S273">
        <v>1513.66</v>
      </c>
      <c r="T273">
        <f>Deals_[[#This Row],[Amount]]*Deals_[[#This Row],[Probability_Pct]]</f>
        <v>18525</v>
      </c>
    </row>
    <row r="274" spans="1:20" x14ac:dyDescent="0.2">
      <c r="A274" t="s">
        <v>577</v>
      </c>
      <c r="B274" s="7">
        <v>46276</v>
      </c>
      <c r="C274" s="7">
        <v>46284</v>
      </c>
      <c r="D274" t="s">
        <v>578</v>
      </c>
      <c r="E274" t="s">
        <v>21</v>
      </c>
      <c r="F274" t="s">
        <v>74</v>
      </c>
      <c r="G274" t="s">
        <v>92</v>
      </c>
      <c r="H274" t="s">
        <v>77</v>
      </c>
      <c r="I274" t="s">
        <v>65</v>
      </c>
      <c r="J274" t="s">
        <v>26</v>
      </c>
      <c r="K274" t="s">
        <v>37</v>
      </c>
      <c r="L274" t="s">
        <v>28</v>
      </c>
      <c r="M274" s="46">
        <v>153300</v>
      </c>
      <c r="N274">
        <v>3.4000000000000002E-2</v>
      </c>
      <c r="O274">
        <v>0.1</v>
      </c>
      <c r="P274" t="s">
        <v>38</v>
      </c>
      <c r="R274">
        <v>8</v>
      </c>
      <c r="S274">
        <v>12344.37</v>
      </c>
      <c r="T274">
        <f>Deals_[[#This Row],[Amount]]*Deals_[[#This Row],[Probability_Pct]]</f>
        <v>15330</v>
      </c>
    </row>
    <row r="275" spans="1:20" x14ac:dyDescent="0.2">
      <c r="A275" t="s">
        <v>579</v>
      </c>
      <c r="B275" s="7">
        <v>46170</v>
      </c>
      <c r="C275" s="7">
        <v>46277</v>
      </c>
      <c r="D275" t="s">
        <v>507</v>
      </c>
      <c r="E275" t="s">
        <v>91</v>
      </c>
      <c r="F275" t="s">
        <v>48</v>
      </c>
      <c r="G275" t="s">
        <v>34</v>
      </c>
      <c r="H275" t="s">
        <v>83</v>
      </c>
      <c r="I275" t="s">
        <v>99</v>
      </c>
      <c r="J275" t="s">
        <v>85</v>
      </c>
      <c r="K275" t="s">
        <v>27</v>
      </c>
      <c r="L275" t="s">
        <v>51</v>
      </c>
      <c r="M275" s="46">
        <v>22500</v>
      </c>
      <c r="N275">
        <v>0.158</v>
      </c>
      <c r="O275">
        <v>0.05</v>
      </c>
      <c r="P275" t="s">
        <v>29</v>
      </c>
      <c r="Q275" t="s">
        <v>209</v>
      </c>
      <c r="R275">
        <v>107</v>
      </c>
      <c r="S275">
        <v>1579.23</v>
      </c>
      <c r="T275">
        <f>Deals_[[#This Row],[Amount]]*Deals_[[#This Row],[Probability_Pct]]</f>
        <v>1125</v>
      </c>
    </row>
    <row r="276" spans="1:20" x14ac:dyDescent="0.2">
      <c r="A276" t="s">
        <v>580</v>
      </c>
      <c r="B276" s="7">
        <v>46140</v>
      </c>
      <c r="C276" s="7">
        <v>46263</v>
      </c>
      <c r="D276" t="s">
        <v>581</v>
      </c>
      <c r="E276" t="s">
        <v>33</v>
      </c>
      <c r="F276" t="s">
        <v>22</v>
      </c>
      <c r="G276" t="s">
        <v>23</v>
      </c>
      <c r="H276" t="s">
        <v>64</v>
      </c>
      <c r="I276" t="s">
        <v>84</v>
      </c>
      <c r="J276" t="s">
        <v>36</v>
      </c>
      <c r="K276" t="s">
        <v>78</v>
      </c>
      <c r="L276" t="s">
        <v>44</v>
      </c>
      <c r="M276" s="46">
        <v>34600</v>
      </c>
      <c r="N276">
        <v>0</v>
      </c>
      <c r="O276">
        <v>0.55000000000000004</v>
      </c>
      <c r="P276" t="s">
        <v>79</v>
      </c>
      <c r="R276">
        <v>123</v>
      </c>
      <c r="S276">
        <v>2883.33</v>
      </c>
      <c r="T276">
        <f>Deals_[[#This Row],[Amount]]*Deals_[[#This Row],[Probability_Pct]]</f>
        <v>19030</v>
      </c>
    </row>
    <row r="277" spans="1:20" x14ac:dyDescent="0.2">
      <c r="A277" t="s">
        <v>582</v>
      </c>
      <c r="B277" s="7">
        <v>46048</v>
      </c>
      <c r="C277" s="7">
        <v>46112</v>
      </c>
      <c r="D277" t="s">
        <v>583</v>
      </c>
      <c r="E277" t="s">
        <v>33</v>
      </c>
      <c r="F277" t="s">
        <v>22</v>
      </c>
      <c r="G277" t="s">
        <v>55</v>
      </c>
      <c r="H277" t="s">
        <v>95</v>
      </c>
      <c r="I277" t="s">
        <v>42</v>
      </c>
      <c r="J277" t="s">
        <v>85</v>
      </c>
      <c r="K277" t="s">
        <v>106</v>
      </c>
      <c r="L277" t="s">
        <v>51</v>
      </c>
      <c r="M277" s="46">
        <v>40000</v>
      </c>
      <c r="N277">
        <v>0.129</v>
      </c>
      <c r="O277">
        <v>0.15</v>
      </c>
      <c r="P277" t="s">
        <v>38</v>
      </c>
      <c r="R277">
        <v>64</v>
      </c>
      <c r="S277">
        <v>2903.87</v>
      </c>
      <c r="T277">
        <f>Deals_[[#This Row],[Amount]]*Deals_[[#This Row],[Probability_Pct]]</f>
        <v>6000</v>
      </c>
    </row>
    <row r="278" spans="1:20" x14ac:dyDescent="0.2">
      <c r="A278" t="s">
        <v>584</v>
      </c>
      <c r="B278" s="7">
        <v>46214</v>
      </c>
      <c r="C278" s="7">
        <v>46250</v>
      </c>
      <c r="D278" t="s">
        <v>585</v>
      </c>
      <c r="E278" t="s">
        <v>82</v>
      </c>
      <c r="F278" t="s">
        <v>48</v>
      </c>
      <c r="G278" t="s">
        <v>63</v>
      </c>
      <c r="H278" t="s">
        <v>24</v>
      </c>
      <c r="I278" t="s">
        <v>99</v>
      </c>
      <c r="J278" t="s">
        <v>36</v>
      </c>
      <c r="K278" t="s">
        <v>58</v>
      </c>
      <c r="L278" t="s">
        <v>44</v>
      </c>
      <c r="M278" s="46">
        <v>27600</v>
      </c>
      <c r="N278">
        <v>0.16200000000000001</v>
      </c>
      <c r="O278">
        <v>0.75</v>
      </c>
      <c r="P278" t="s">
        <v>59</v>
      </c>
      <c r="R278">
        <v>36</v>
      </c>
      <c r="S278">
        <v>1928.41</v>
      </c>
      <c r="T278">
        <f>Deals_[[#This Row],[Amount]]*Deals_[[#This Row],[Probability_Pct]]</f>
        <v>20700</v>
      </c>
    </row>
    <row r="279" spans="1:20" x14ac:dyDescent="0.2">
      <c r="A279" t="s">
        <v>586</v>
      </c>
      <c r="B279" s="7">
        <v>46021</v>
      </c>
      <c r="C279" s="7">
        <v>46037</v>
      </c>
      <c r="D279" t="s">
        <v>372</v>
      </c>
      <c r="E279" t="s">
        <v>111</v>
      </c>
      <c r="F279" t="s">
        <v>22</v>
      </c>
      <c r="G279" t="s">
        <v>63</v>
      </c>
      <c r="H279" t="s">
        <v>64</v>
      </c>
      <c r="I279" t="s">
        <v>99</v>
      </c>
      <c r="J279" t="s">
        <v>26</v>
      </c>
      <c r="K279" t="s">
        <v>50</v>
      </c>
      <c r="L279" t="s">
        <v>44</v>
      </c>
      <c r="M279" s="46">
        <v>95900</v>
      </c>
      <c r="N279">
        <v>0.113</v>
      </c>
      <c r="O279">
        <v>1</v>
      </c>
      <c r="P279" t="s">
        <v>29</v>
      </c>
      <c r="R279">
        <v>16</v>
      </c>
      <c r="S279">
        <v>7088.08</v>
      </c>
      <c r="T279">
        <f>Deals_[[#This Row],[Amount]]*Deals_[[#This Row],[Probability_Pct]]</f>
        <v>95900</v>
      </c>
    </row>
    <row r="280" spans="1:20" x14ac:dyDescent="0.2">
      <c r="A280" t="s">
        <v>587</v>
      </c>
      <c r="B280" s="7">
        <v>46231</v>
      </c>
      <c r="C280" s="7">
        <v>46306</v>
      </c>
      <c r="D280" t="s">
        <v>588</v>
      </c>
      <c r="E280" t="s">
        <v>21</v>
      </c>
      <c r="F280" t="s">
        <v>74</v>
      </c>
      <c r="G280" t="s">
        <v>92</v>
      </c>
      <c r="H280" t="s">
        <v>69</v>
      </c>
      <c r="I280" t="s">
        <v>84</v>
      </c>
      <c r="J280" t="s">
        <v>43</v>
      </c>
      <c r="K280" t="s">
        <v>78</v>
      </c>
      <c r="L280" t="s">
        <v>28</v>
      </c>
      <c r="M280" s="46">
        <v>233400</v>
      </c>
      <c r="N280">
        <v>7.0000000000000007E-2</v>
      </c>
      <c r="O280">
        <v>0.55000000000000004</v>
      </c>
      <c r="P280" t="s">
        <v>79</v>
      </c>
      <c r="R280">
        <v>75</v>
      </c>
      <c r="S280">
        <v>18097.89</v>
      </c>
      <c r="T280">
        <f>Deals_[[#This Row],[Amount]]*Deals_[[#This Row],[Probability_Pct]]</f>
        <v>128370.00000000001</v>
      </c>
    </row>
    <row r="281" spans="1:20" x14ac:dyDescent="0.2">
      <c r="A281" t="s">
        <v>589</v>
      </c>
      <c r="B281" s="7">
        <v>46224</v>
      </c>
      <c r="C281" s="7">
        <v>46270</v>
      </c>
      <c r="D281" t="s">
        <v>213</v>
      </c>
      <c r="E281" t="s">
        <v>68</v>
      </c>
      <c r="F281" t="s">
        <v>48</v>
      </c>
      <c r="G281" t="s">
        <v>23</v>
      </c>
      <c r="H281" t="s">
        <v>98</v>
      </c>
      <c r="I281" t="s">
        <v>84</v>
      </c>
      <c r="J281" t="s">
        <v>26</v>
      </c>
      <c r="K281" t="s">
        <v>37</v>
      </c>
      <c r="L281" t="s">
        <v>51</v>
      </c>
      <c r="M281" s="46">
        <v>22700</v>
      </c>
      <c r="N281">
        <v>6.5000000000000002E-2</v>
      </c>
      <c r="O281">
        <v>0.05</v>
      </c>
      <c r="P281" t="s">
        <v>38</v>
      </c>
      <c r="R281">
        <v>46</v>
      </c>
      <c r="S281">
        <v>1769.06</v>
      </c>
      <c r="T281">
        <f>Deals_[[#This Row],[Amount]]*Deals_[[#This Row],[Probability_Pct]]</f>
        <v>1135</v>
      </c>
    </row>
    <row r="282" spans="1:20" x14ac:dyDescent="0.2">
      <c r="A282" t="s">
        <v>590</v>
      </c>
      <c r="B282" s="7">
        <v>46009</v>
      </c>
      <c r="C282" s="7">
        <v>46146</v>
      </c>
      <c r="D282" t="s">
        <v>73</v>
      </c>
      <c r="E282" t="s">
        <v>91</v>
      </c>
      <c r="F282" t="s">
        <v>48</v>
      </c>
      <c r="G282" t="s">
        <v>23</v>
      </c>
      <c r="H282" t="s">
        <v>95</v>
      </c>
      <c r="I282" t="s">
        <v>42</v>
      </c>
      <c r="J282" t="s">
        <v>85</v>
      </c>
      <c r="K282" t="s">
        <v>37</v>
      </c>
      <c r="L282" t="s">
        <v>28</v>
      </c>
      <c r="M282" s="46">
        <v>27900</v>
      </c>
      <c r="N282">
        <v>6.3E-2</v>
      </c>
      <c r="O282">
        <v>0.05</v>
      </c>
      <c r="P282" t="s">
        <v>38</v>
      </c>
      <c r="R282">
        <v>137</v>
      </c>
      <c r="S282">
        <v>2179.5</v>
      </c>
      <c r="T282">
        <f>Deals_[[#This Row],[Amount]]*Deals_[[#This Row],[Probability_Pct]]</f>
        <v>1395</v>
      </c>
    </row>
    <row r="283" spans="1:20" x14ac:dyDescent="0.2">
      <c r="A283" t="s">
        <v>591</v>
      </c>
      <c r="B283" s="7">
        <v>45996</v>
      </c>
      <c r="C283" s="7">
        <v>46080</v>
      </c>
      <c r="D283" t="s">
        <v>592</v>
      </c>
      <c r="E283" t="s">
        <v>62</v>
      </c>
      <c r="F283" t="s">
        <v>74</v>
      </c>
      <c r="G283" t="s">
        <v>34</v>
      </c>
      <c r="H283" t="s">
        <v>77</v>
      </c>
      <c r="I283" t="s">
        <v>99</v>
      </c>
      <c r="J283" t="s">
        <v>26</v>
      </c>
      <c r="K283" t="s">
        <v>106</v>
      </c>
      <c r="L283" t="s">
        <v>51</v>
      </c>
      <c r="M283" s="46">
        <v>128300</v>
      </c>
      <c r="N283">
        <v>0.05</v>
      </c>
      <c r="O283">
        <v>0.2</v>
      </c>
      <c r="P283" t="s">
        <v>38</v>
      </c>
      <c r="R283">
        <v>84</v>
      </c>
      <c r="S283">
        <v>10153.74</v>
      </c>
      <c r="T283">
        <f>Deals_[[#This Row],[Amount]]*Deals_[[#This Row],[Probability_Pct]]</f>
        <v>25660</v>
      </c>
    </row>
    <row r="284" spans="1:20" x14ac:dyDescent="0.2">
      <c r="A284" t="s">
        <v>593</v>
      </c>
      <c r="B284" s="7">
        <v>46108</v>
      </c>
      <c r="C284" s="7">
        <v>46238</v>
      </c>
      <c r="D284" t="s">
        <v>594</v>
      </c>
      <c r="E284" t="s">
        <v>62</v>
      </c>
      <c r="F284" t="s">
        <v>48</v>
      </c>
      <c r="G284" t="s">
        <v>23</v>
      </c>
      <c r="H284" t="s">
        <v>120</v>
      </c>
      <c r="I284" t="s">
        <v>65</v>
      </c>
      <c r="J284" t="s">
        <v>85</v>
      </c>
      <c r="K284" t="s">
        <v>78</v>
      </c>
      <c r="L284" t="s">
        <v>28</v>
      </c>
      <c r="M284" s="46">
        <v>24300</v>
      </c>
      <c r="N284">
        <v>7.3999999999999996E-2</v>
      </c>
      <c r="O284">
        <v>0.55000000000000004</v>
      </c>
      <c r="P284" t="s">
        <v>79</v>
      </c>
      <c r="R284">
        <v>130</v>
      </c>
      <c r="S284">
        <v>1875.23</v>
      </c>
      <c r="T284">
        <f>Deals_[[#This Row],[Amount]]*Deals_[[#This Row],[Probability_Pct]]</f>
        <v>13365.000000000002</v>
      </c>
    </row>
    <row r="285" spans="1:20" x14ac:dyDescent="0.2">
      <c r="A285" t="s">
        <v>595</v>
      </c>
      <c r="B285" s="7">
        <v>46209</v>
      </c>
      <c r="C285" s="7">
        <v>46247</v>
      </c>
      <c r="D285" t="s">
        <v>596</v>
      </c>
      <c r="E285" t="s">
        <v>111</v>
      </c>
      <c r="F285" t="s">
        <v>48</v>
      </c>
      <c r="G285" t="s">
        <v>23</v>
      </c>
      <c r="H285" t="s">
        <v>83</v>
      </c>
      <c r="I285" t="s">
        <v>99</v>
      </c>
      <c r="J285" t="s">
        <v>43</v>
      </c>
      <c r="K285" t="s">
        <v>78</v>
      </c>
      <c r="L285" t="s">
        <v>51</v>
      </c>
      <c r="M285" s="46">
        <v>20300</v>
      </c>
      <c r="N285">
        <v>3.3000000000000002E-2</v>
      </c>
      <c r="O285">
        <v>0.55000000000000004</v>
      </c>
      <c r="P285" t="s">
        <v>79</v>
      </c>
      <c r="R285">
        <v>38</v>
      </c>
      <c r="S285">
        <v>1636.43</v>
      </c>
      <c r="T285">
        <f>Deals_[[#This Row],[Amount]]*Deals_[[#This Row],[Probability_Pct]]</f>
        <v>11165</v>
      </c>
    </row>
    <row r="286" spans="1:20" x14ac:dyDescent="0.2">
      <c r="A286" t="s">
        <v>597</v>
      </c>
      <c r="B286" s="7">
        <v>46187</v>
      </c>
      <c r="C286" s="7">
        <v>46248</v>
      </c>
      <c r="D286" t="s">
        <v>598</v>
      </c>
      <c r="E286" t="s">
        <v>91</v>
      </c>
      <c r="F286" t="s">
        <v>48</v>
      </c>
      <c r="G286" t="s">
        <v>63</v>
      </c>
      <c r="H286" t="s">
        <v>49</v>
      </c>
      <c r="I286" t="s">
        <v>42</v>
      </c>
      <c r="J286" t="s">
        <v>43</v>
      </c>
      <c r="K286" t="s">
        <v>27</v>
      </c>
      <c r="L286" t="s">
        <v>44</v>
      </c>
      <c r="M286" s="46">
        <v>13200</v>
      </c>
      <c r="N286">
        <v>0.20599999999999999</v>
      </c>
      <c r="O286">
        <v>0</v>
      </c>
      <c r="P286" t="s">
        <v>29</v>
      </c>
      <c r="Q286" t="s">
        <v>209</v>
      </c>
      <c r="R286">
        <v>61</v>
      </c>
      <c r="S286">
        <v>872.9</v>
      </c>
      <c r="T286">
        <f>Deals_[[#This Row],[Amount]]*Deals_[[#This Row],[Probability_Pct]]</f>
        <v>0</v>
      </c>
    </row>
    <row r="287" spans="1:20" x14ac:dyDescent="0.2">
      <c r="A287" t="s">
        <v>599</v>
      </c>
      <c r="B287" s="7">
        <v>46008</v>
      </c>
      <c r="C287" s="7">
        <v>46038</v>
      </c>
      <c r="D287" t="s">
        <v>600</v>
      </c>
      <c r="E287" t="s">
        <v>82</v>
      </c>
      <c r="F287" t="s">
        <v>74</v>
      </c>
      <c r="G287" t="s">
        <v>92</v>
      </c>
      <c r="H287" t="s">
        <v>77</v>
      </c>
      <c r="I287" t="s">
        <v>42</v>
      </c>
      <c r="J287" t="s">
        <v>57</v>
      </c>
      <c r="K287" t="s">
        <v>58</v>
      </c>
      <c r="L287" t="s">
        <v>51</v>
      </c>
      <c r="M287" s="46">
        <v>321300</v>
      </c>
      <c r="N287">
        <v>0.151</v>
      </c>
      <c r="O287">
        <v>0.75</v>
      </c>
      <c r="P287" t="s">
        <v>59</v>
      </c>
      <c r="R287">
        <v>30</v>
      </c>
      <c r="S287">
        <v>22740.05</v>
      </c>
      <c r="T287">
        <f>Deals_[[#This Row],[Amount]]*Deals_[[#This Row],[Probability_Pct]]</f>
        <v>240975</v>
      </c>
    </row>
    <row r="288" spans="1:20" x14ac:dyDescent="0.2">
      <c r="A288" t="s">
        <v>601</v>
      </c>
      <c r="B288" s="7">
        <v>46271</v>
      </c>
      <c r="C288" s="7">
        <v>46315</v>
      </c>
      <c r="D288" t="s">
        <v>175</v>
      </c>
      <c r="E288" t="s">
        <v>68</v>
      </c>
      <c r="F288" t="s">
        <v>48</v>
      </c>
      <c r="G288" t="s">
        <v>23</v>
      </c>
      <c r="H288" t="s">
        <v>120</v>
      </c>
      <c r="I288" t="s">
        <v>84</v>
      </c>
      <c r="J288" t="s">
        <v>85</v>
      </c>
      <c r="K288" t="s">
        <v>37</v>
      </c>
      <c r="L288" t="s">
        <v>28</v>
      </c>
      <c r="M288" s="46">
        <v>10200</v>
      </c>
      <c r="N288">
        <v>4.5999999999999999E-2</v>
      </c>
      <c r="O288">
        <v>0.1</v>
      </c>
      <c r="P288" t="s">
        <v>38</v>
      </c>
      <c r="R288">
        <v>44</v>
      </c>
      <c r="S288">
        <v>810.63</v>
      </c>
      <c r="T288">
        <f>Deals_[[#This Row],[Amount]]*Deals_[[#This Row],[Probability_Pct]]</f>
        <v>1020</v>
      </c>
    </row>
    <row r="289" spans="1:20" x14ac:dyDescent="0.2">
      <c r="A289" t="s">
        <v>602</v>
      </c>
      <c r="B289" s="7">
        <v>46014</v>
      </c>
      <c r="C289" s="7">
        <v>46127</v>
      </c>
      <c r="D289" t="s">
        <v>204</v>
      </c>
      <c r="E289" t="s">
        <v>111</v>
      </c>
      <c r="F289" t="s">
        <v>48</v>
      </c>
      <c r="G289" t="s">
        <v>55</v>
      </c>
      <c r="H289" t="s">
        <v>49</v>
      </c>
      <c r="I289" t="s">
        <v>35</v>
      </c>
      <c r="J289" t="s">
        <v>26</v>
      </c>
      <c r="K289" t="s">
        <v>50</v>
      </c>
      <c r="L289" t="s">
        <v>51</v>
      </c>
      <c r="M289" s="46">
        <v>19700</v>
      </c>
      <c r="N289">
        <v>0.14899999999999999</v>
      </c>
      <c r="O289">
        <v>1</v>
      </c>
      <c r="P289" t="s">
        <v>29</v>
      </c>
      <c r="R289">
        <v>113</v>
      </c>
      <c r="S289">
        <v>1397.63</v>
      </c>
      <c r="T289">
        <f>Deals_[[#This Row],[Amount]]*Deals_[[#This Row],[Probability_Pct]]</f>
        <v>19700</v>
      </c>
    </row>
    <row r="290" spans="1:20" x14ac:dyDescent="0.2">
      <c r="A290" t="s">
        <v>603</v>
      </c>
      <c r="B290" s="7">
        <v>46024</v>
      </c>
      <c r="C290" s="7">
        <v>46099</v>
      </c>
      <c r="D290" t="s">
        <v>604</v>
      </c>
      <c r="E290" t="s">
        <v>21</v>
      </c>
      <c r="F290" t="s">
        <v>48</v>
      </c>
      <c r="G290" t="s">
        <v>63</v>
      </c>
      <c r="H290" t="s">
        <v>120</v>
      </c>
      <c r="I290" t="s">
        <v>84</v>
      </c>
      <c r="J290" t="s">
        <v>26</v>
      </c>
      <c r="K290" t="s">
        <v>78</v>
      </c>
      <c r="L290" t="s">
        <v>28</v>
      </c>
      <c r="M290" s="46">
        <v>11000</v>
      </c>
      <c r="N290">
        <v>0.112</v>
      </c>
      <c r="O290">
        <v>0.55000000000000004</v>
      </c>
      <c r="P290" t="s">
        <v>79</v>
      </c>
      <c r="R290">
        <v>75</v>
      </c>
      <c r="S290">
        <v>814.28</v>
      </c>
      <c r="T290">
        <f>Deals_[[#This Row],[Amount]]*Deals_[[#This Row],[Probability_Pct]]</f>
        <v>6050.0000000000009</v>
      </c>
    </row>
    <row r="291" spans="1:20" x14ac:dyDescent="0.2">
      <c r="A291" t="s">
        <v>605</v>
      </c>
      <c r="B291" s="7">
        <v>46270</v>
      </c>
      <c r="C291" s="7">
        <v>46320</v>
      </c>
      <c r="D291" t="s">
        <v>606</v>
      </c>
      <c r="E291" t="s">
        <v>82</v>
      </c>
      <c r="F291" t="s">
        <v>74</v>
      </c>
      <c r="G291" t="s">
        <v>23</v>
      </c>
      <c r="H291" t="s">
        <v>41</v>
      </c>
      <c r="I291" t="s">
        <v>84</v>
      </c>
      <c r="J291" t="s">
        <v>43</v>
      </c>
      <c r="K291" t="s">
        <v>78</v>
      </c>
      <c r="L291" t="s">
        <v>44</v>
      </c>
      <c r="M291" s="46">
        <v>314100</v>
      </c>
      <c r="N291">
        <v>0.10299999999999999</v>
      </c>
      <c r="O291">
        <v>0.5</v>
      </c>
      <c r="P291" t="s">
        <v>79</v>
      </c>
      <c r="R291">
        <v>50</v>
      </c>
      <c r="S291">
        <v>23479.25</v>
      </c>
      <c r="T291">
        <f>Deals_[[#This Row],[Amount]]*Deals_[[#This Row],[Probability_Pct]]</f>
        <v>157050</v>
      </c>
    </row>
    <row r="292" spans="1:20" x14ac:dyDescent="0.2">
      <c r="A292" t="s">
        <v>607</v>
      </c>
      <c r="B292" s="7">
        <v>46155</v>
      </c>
      <c r="C292" s="7">
        <v>46252</v>
      </c>
      <c r="D292" t="s">
        <v>608</v>
      </c>
      <c r="E292" t="s">
        <v>82</v>
      </c>
      <c r="F292" t="s">
        <v>74</v>
      </c>
      <c r="G292" t="s">
        <v>63</v>
      </c>
      <c r="H292" t="s">
        <v>69</v>
      </c>
      <c r="I292" t="s">
        <v>99</v>
      </c>
      <c r="J292" t="s">
        <v>85</v>
      </c>
      <c r="K292" t="s">
        <v>37</v>
      </c>
      <c r="L292" t="s">
        <v>51</v>
      </c>
      <c r="M292" s="46">
        <v>237000</v>
      </c>
      <c r="N292">
        <v>0.17499999999999999</v>
      </c>
      <c r="O292">
        <v>0.15</v>
      </c>
      <c r="P292" t="s">
        <v>38</v>
      </c>
      <c r="R292">
        <v>97</v>
      </c>
      <c r="S292">
        <v>16294.12</v>
      </c>
      <c r="T292">
        <f>Deals_[[#This Row],[Amount]]*Deals_[[#This Row],[Probability_Pct]]</f>
        <v>35550</v>
      </c>
    </row>
    <row r="293" spans="1:20" x14ac:dyDescent="0.2">
      <c r="A293" t="s">
        <v>609</v>
      </c>
      <c r="B293" s="7">
        <v>45996</v>
      </c>
      <c r="C293" s="7">
        <v>46084</v>
      </c>
      <c r="D293" t="s">
        <v>610</v>
      </c>
      <c r="E293" t="s">
        <v>111</v>
      </c>
      <c r="F293" t="s">
        <v>48</v>
      </c>
      <c r="G293" t="s">
        <v>92</v>
      </c>
      <c r="H293" t="s">
        <v>41</v>
      </c>
      <c r="I293" t="s">
        <v>99</v>
      </c>
      <c r="J293" t="s">
        <v>57</v>
      </c>
      <c r="K293" t="s">
        <v>50</v>
      </c>
      <c r="L293" t="s">
        <v>28</v>
      </c>
      <c r="M293" s="46">
        <v>23500</v>
      </c>
      <c r="N293">
        <v>0.05</v>
      </c>
      <c r="O293">
        <v>1</v>
      </c>
      <c r="P293" t="s">
        <v>29</v>
      </c>
      <c r="R293">
        <v>88</v>
      </c>
      <c r="S293">
        <v>1861.09</v>
      </c>
      <c r="T293">
        <f>Deals_[[#This Row],[Amount]]*Deals_[[#This Row],[Probability_Pct]]</f>
        <v>23500</v>
      </c>
    </row>
    <row r="294" spans="1:20" x14ac:dyDescent="0.2">
      <c r="A294" t="s">
        <v>611</v>
      </c>
      <c r="B294" s="7">
        <v>46201</v>
      </c>
      <c r="C294" s="7">
        <v>46235</v>
      </c>
      <c r="D294" t="s">
        <v>612</v>
      </c>
      <c r="E294" t="s">
        <v>68</v>
      </c>
      <c r="F294" t="s">
        <v>48</v>
      </c>
      <c r="G294" t="s">
        <v>63</v>
      </c>
      <c r="H294" t="s">
        <v>41</v>
      </c>
      <c r="I294" t="s">
        <v>35</v>
      </c>
      <c r="J294" t="s">
        <v>26</v>
      </c>
      <c r="K294" t="s">
        <v>88</v>
      </c>
      <c r="L294" t="s">
        <v>28</v>
      </c>
      <c r="M294" s="46">
        <v>11400</v>
      </c>
      <c r="N294">
        <v>1.2999999999999999E-2</v>
      </c>
      <c r="O294">
        <v>0.35</v>
      </c>
      <c r="P294" t="s">
        <v>38</v>
      </c>
      <c r="R294">
        <v>34</v>
      </c>
      <c r="S294">
        <v>937.75</v>
      </c>
      <c r="T294">
        <f>Deals_[[#This Row],[Amount]]*Deals_[[#This Row],[Probability_Pct]]</f>
        <v>3989.9999999999995</v>
      </c>
    </row>
    <row r="295" spans="1:20" x14ac:dyDescent="0.2">
      <c r="A295" t="s">
        <v>613</v>
      </c>
      <c r="B295" s="7">
        <v>46058</v>
      </c>
      <c r="C295" s="7">
        <v>46092</v>
      </c>
      <c r="D295" t="s">
        <v>614</v>
      </c>
      <c r="E295" t="s">
        <v>82</v>
      </c>
      <c r="F295" t="s">
        <v>22</v>
      </c>
      <c r="G295" t="s">
        <v>92</v>
      </c>
      <c r="H295" t="s">
        <v>98</v>
      </c>
      <c r="I295" t="s">
        <v>35</v>
      </c>
      <c r="J295" t="s">
        <v>57</v>
      </c>
      <c r="K295" t="s">
        <v>50</v>
      </c>
      <c r="L295" t="s">
        <v>44</v>
      </c>
      <c r="M295" s="46">
        <v>46800</v>
      </c>
      <c r="N295">
        <v>5.8999999999999997E-2</v>
      </c>
      <c r="O295">
        <v>1</v>
      </c>
      <c r="P295" t="s">
        <v>29</v>
      </c>
      <c r="R295">
        <v>34</v>
      </c>
      <c r="S295">
        <v>3669.49</v>
      </c>
      <c r="T295">
        <f>Deals_[[#This Row],[Amount]]*Deals_[[#This Row],[Probability_Pct]]</f>
        <v>46800</v>
      </c>
    </row>
    <row r="296" spans="1:20" x14ac:dyDescent="0.2">
      <c r="A296" t="s">
        <v>615</v>
      </c>
      <c r="B296" s="7">
        <v>46114</v>
      </c>
      <c r="C296" s="7">
        <v>46255</v>
      </c>
      <c r="D296" t="s">
        <v>616</v>
      </c>
      <c r="E296" t="s">
        <v>111</v>
      </c>
      <c r="F296" t="s">
        <v>48</v>
      </c>
      <c r="G296" t="s">
        <v>92</v>
      </c>
      <c r="H296" t="s">
        <v>83</v>
      </c>
      <c r="I296" t="s">
        <v>84</v>
      </c>
      <c r="J296" t="s">
        <v>36</v>
      </c>
      <c r="K296" t="s">
        <v>106</v>
      </c>
      <c r="L296" t="s">
        <v>28</v>
      </c>
      <c r="M296" s="46">
        <v>28200</v>
      </c>
      <c r="N296">
        <v>0.216</v>
      </c>
      <c r="O296">
        <v>0.2</v>
      </c>
      <c r="P296" t="s">
        <v>38</v>
      </c>
      <c r="R296">
        <v>141</v>
      </c>
      <c r="S296">
        <v>1842.67</v>
      </c>
      <c r="T296">
        <f>Deals_[[#This Row],[Amount]]*Deals_[[#This Row],[Probability_Pct]]</f>
        <v>5640</v>
      </c>
    </row>
    <row r="297" spans="1:20" x14ac:dyDescent="0.2">
      <c r="A297" t="s">
        <v>617</v>
      </c>
      <c r="B297" s="7">
        <v>46043</v>
      </c>
      <c r="C297" s="7">
        <v>46208</v>
      </c>
      <c r="D297" t="s">
        <v>289</v>
      </c>
      <c r="E297" t="s">
        <v>62</v>
      </c>
      <c r="F297" t="s">
        <v>74</v>
      </c>
      <c r="G297" t="s">
        <v>92</v>
      </c>
      <c r="H297" t="s">
        <v>77</v>
      </c>
      <c r="I297" t="s">
        <v>65</v>
      </c>
      <c r="J297" t="s">
        <v>36</v>
      </c>
      <c r="K297" t="s">
        <v>50</v>
      </c>
      <c r="L297" t="s">
        <v>28</v>
      </c>
      <c r="M297" s="46">
        <v>292400</v>
      </c>
      <c r="N297">
        <v>0</v>
      </c>
      <c r="O297">
        <v>1</v>
      </c>
      <c r="P297" t="s">
        <v>29</v>
      </c>
      <c r="R297">
        <v>165</v>
      </c>
      <c r="S297">
        <v>24366.67</v>
      </c>
      <c r="T297">
        <f>Deals_[[#This Row],[Amount]]*Deals_[[#This Row],[Probability_Pct]]</f>
        <v>292400</v>
      </c>
    </row>
    <row r="298" spans="1:20" x14ac:dyDescent="0.2">
      <c r="A298" t="s">
        <v>618</v>
      </c>
      <c r="B298" s="7">
        <v>45997</v>
      </c>
      <c r="C298" s="7">
        <v>46118</v>
      </c>
      <c r="D298" t="s">
        <v>252</v>
      </c>
      <c r="E298" t="s">
        <v>111</v>
      </c>
      <c r="F298" t="s">
        <v>48</v>
      </c>
      <c r="G298" t="s">
        <v>55</v>
      </c>
      <c r="H298" t="s">
        <v>83</v>
      </c>
      <c r="I298" t="s">
        <v>35</v>
      </c>
      <c r="J298" t="s">
        <v>36</v>
      </c>
      <c r="K298" t="s">
        <v>37</v>
      </c>
      <c r="L298" t="s">
        <v>44</v>
      </c>
      <c r="M298" s="46">
        <v>16300</v>
      </c>
      <c r="N298">
        <v>0.17199999999999999</v>
      </c>
      <c r="O298">
        <v>0.1</v>
      </c>
      <c r="P298" t="s">
        <v>38</v>
      </c>
      <c r="R298">
        <v>121</v>
      </c>
      <c r="S298">
        <v>1125.24</v>
      </c>
      <c r="T298">
        <f>Deals_[[#This Row],[Amount]]*Deals_[[#This Row],[Probability_Pct]]</f>
        <v>1630</v>
      </c>
    </row>
    <row r="299" spans="1:20" x14ac:dyDescent="0.2">
      <c r="A299" t="s">
        <v>619</v>
      </c>
      <c r="B299" s="7">
        <v>46044</v>
      </c>
      <c r="C299" s="7">
        <v>46099</v>
      </c>
      <c r="D299" t="s">
        <v>287</v>
      </c>
      <c r="E299" t="s">
        <v>21</v>
      </c>
      <c r="F299" t="s">
        <v>22</v>
      </c>
      <c r="G299" t="s">
        <v>55</v>
      </c>
      <c r="H299" t="s">
        <v>95</v>
      </c>
      <c r="I299" t="s">
        <v>25</v>
      </c>
      <c r="J299" t="s">
        <v>43</v>
      </c>
      <c r="K299" t="s">
        <v>78</v>
      </c>
      <c r="L299" t="s">
        <v>28</v>
      </c>
      <c r="M299" s="46">
        <v>55700</v>
      </c>
      <c r="N299">
        <v>8.6999999999999994E-2</v>
      </c>
      <c r="O299">
        <v>0.6</v>
      </c>
      <c r="P299" t="s">
        <v>79</v>
      </c>
      <c r="R299">
        <v>55</v>
      </c>
      <c r="S299">
        <v>4239.8999999999996</v>
      </c>
      <c r="T299">
        <f>Deals_[[#This Row],[Amount]]*Deals_[[#This Row],[Probability_Pct]]</f>
        <v>33420</v>
      </c>
    </row>
    <row r="300" spans="1:20" x14ac:dyDescent="0.2">
      <c r="A300" t="s">
        <v>620</v>
      </c>
      <c r="B300" s="7">
        <v>46180</v>
      </c>
      <c r="C300" s="7">
        <v>46207</v>
      </c>
      <c r="D300" t="s">
        <v>621</v>
      </c>
      <c r="E300" t="s">
        <v>21</v>
      </c>
      <c r="F300" t="s">
        <v>48</v>
      </c>
      <c r="G300" t="s">
        <v>92</v>
      </c>
      <c r="H300" t="s">
        <v>64</v>
      </c>
      <c r="I300" t="s">
        <v>84</v>
      </c>
      <c r="J300" t="s">
        <v>57</v>
      </c>
      <c r="K300" t="s">
        <v>78</v>
      </c>
      <c r="L300" t="s">
        <v>44</v>
      </c>
      <c r="M300" s="46">
        <v>14300</v>
      </c>
      <c r="N300">
        <v>8.6999999999999994E-2</v>
      </c>
      <c r="O300">
        <v>0.6</v>
      </c>
      <c r="P300" t="s">
        <v>79</v>
      </c>
      <c r="R300">
        <v>27</v>
      </c>
      <c r="S300">
        <v>1087.46</v>
      </c>
      <c r="T300">
        <f>Deals_[[#This Row],[Amount]]*Deals_[[#This Row],[Probability_Pct]]</f>
        <v>8580</v>
      </c>
    </row>
    <row r="301" spans="1:20" x14ac:dyDescent="0.2">
      <c r="A301" t="s">
        <v>622</v>
      </c>
      <c r="B301" s="7">
        <v>46100</v>
      </c>
      <c r="C301" s="7">
        <v>46138</v>
      </c>
      <c r="D301" t="s">
        <v>623</v>
      </c>
      <c r="E301" t="s">
        <v>91</v>
      </c>
      <c r="F301" t="s">
        <v>22</v>
      </c>
      <c r="G301" t="s">
        <v>55</v>
      </c>
      <c r="H301" t="s">
        <v>24</v>
      </c>
      <c r="I301" t="s">
        <v>65</v>
      </c>
      <c r="J301" t="s">
        <v>26</v>
      </c>
      <c r="K301" t="s">
        <v>37</v>
      </c>
      <c r="L301" t="s">
        <v>44</v>
      </c>
      <c r="M301" s="46">
        <v>64100</v>
      </c>
      <c r="N301">
        <v>0.10199999999999999</v>
      </c>
      <c r="O301">
        <v>0.1</v>
      </c>
      <c r="P301" t="s">
        <v>38</v>
      </c>
      <c r="R301">
        <v>38</v>
      </c>
      <c r="S301">
        <v>4798.3599999999997</v>
      </c>
      <c r="T301">
        <f>Deals_[[#This Row],[Amount]]*Deals_[[#This Row],[Probability_Pct]]</f>
        <v>6410</v>
      </c>
    </row>
    <row r="302" spans="1:20" x14ac:dyDescent="0.2">
      <c r="A302" t="s">
        <v>624</v>
      </c>
      <c r="B302" s="7">
        <v>45931</v>
      </c>
      <c r="C302" s="7">
        <v>45969</v>
      </c>
      <c r="D302" t="s">
        <v>625</v>
      </c>
      <c r="E302" t="s">
        <v>111</v>
      </c>
      <c r="F302" t="s">
        <v>48</v>
      </c>
      <c r="G302" t="s">
        <v>23</v>
      </c>
      <c r="H302" t="s">
        <v>83</v>
      </c>
      <c r="I302" t="s">
        <v>65</v>
      </c>
      <c r="J302" t="s">
        <v>26</v>
      </c>
      <c r="K302" t="s">
        <v>78</v>
      </c>
      <c r="L302" t="s">
        <v>44</v>
      </c>
      <c r="M302" s="46">
        <v>25700</v>
      </c>
      <c r="N302">
        <v>0.24399999999999999</v>
      </c>
      <c r="O302">
        <v>0.6</v>
      </c>
      <c r="P302" t="s">
        <v>79</v>
      </c>
      <c r="R302">
        <v>38</v>
      </c>
      <c r="S302">
        <v>1619.69</v>
      </c>
      <c r="T302">
        <f>Deals_[[#This Row],[Amount]]*Deals_[[#This Row],[Probability_Pct]]</f>
        <v>15420</v>
      </c>
    </row>
    <row r="303" spans="1:20" x14ac:dyDescent="0.2">
      <c r="A303" t="s">
        <v>626</v>
      </c>
      <c r="B303" s="7">
        <v>45962</v>
      </c>
      <c r="C303" s="7">
        <v>46005</v>
      </c>
      <c r="D303" t="s">
        <v>627</v>
      </c>
      <c r="E303" t="s">
        <v>68</v>
      </c>
      <c r="F303" t="s">
        <v>74</v>
      </c>
      <c r="G303" t="s">
        <v>34</v>
      </c>
      <c r="H303" t="s">
        <v>120</v>
      </c>
      <c r="I303" t="s">
        <v>84</v>
      </c>
      <c r="J303" t="s">
        <v>36</v>
      </c>
      <c r="K303" t="s">
        <v>37</v>
      </c>
      <c r="L303" t="s">
        <v>28</v>
      </c>
      <c r="M303" s="46">
        <v>167900</v>
      </c>
      <c r="N303">
        <v>0.151</v>
      </c>
      <c r="O303">
        <v>0.1</v>
      </c>
      <c r="P303" t="s">
        <v>38</v>
      </c>
      <c r="R303">
        <v>43</v>
      </c>
      <c r="S303">
        <v>11885.1</v>
      </c>
      <c r="T303">
        <f>Deals_[[#This Row],[Amount]]*Deals_[[#This Row],[Probability_Pct]]</f>
        <v>16790</v>
      </c>
    </row>
    <row r="304" spans="1:20" x14ac:dyDescent="0.2">
      <c r="A304" t="s">
        <v>628</v>
      </c>
      <c r="B304" s="7">
        <v>46005</v>
      </c>
      <c r="C304" s="7">
        <v>46135</v>
      </c>
      <c r="D304" t="s">
        <v>629</v>
      </c>
      <c r="E304" t="s">
        <v>54</v>
      </c>
      <c r="F304" t="s">
        <v>74</v>
      </c>
      <c r="G304" t="s">
        <v>23</v>
      </c>
      <c r="H304" t="s">
        <v>24</v>
      </c>
      <c r="I304" t="s">
        <v>25</v>
      </c>
      <c r="J304" t="s">
        <v>43</v>
      </c>
      <c r="K304" t="s">
        <v>78</v>
      </c>
      <c r="L304" t="s">
        <v>28</v>
      </c>
      <c r="M304" s="46">
        <v>326600</v>
      </c>
      <c r="N304">
        <v>0.21</v>
      </c>
      <c r="O304">
        <v>0.55000000000000004</v>
      </c>
      <c r="P304" t="s">
        <v>79</v>
      </c>
      <c r="R304">
        <v>130</v>
      </c>
      <c r="S304">
        <v>21489.67</v>
      </c>
      <c r="T304">
        <f>Deals_[[#This Row],[Amount]]*Deals_[[#This Row],[Probability_Pct]]</f>
        <v>179630</v>
      </c>
    </row>
    <row r="305" spans="1:20" x14ac:dyDescent="0.2">
      <c r="A305" t="s">
        <v>630</v>
      </c>
      <c r="B305" s="7">
        <v>46224</v>
      </c>
      <c r="C305" s="7">
        <v>46290</v>
      </c>
      <c r="D305" t="s">
        <v>631</v>
      </c>
      <c r="E305" t="s">
        <v>33</v>
      </c>
      <c r="F305" t="s">
        <v>22</v>
      </c>
      <c r="G305" t="s">
        <v>34</v>
      </c>
      <c r="H305" t="s">
        <v>64</v>
      </c>
      <c r="I305" t="s">
        <v>42</v>
      </c>
      <c r="J305" t="s">
        <v>36</v>
      </c>
      <c r="K305" t="s">
        <v>37</v>
      </c>
      <c r="L305" t="s">
        <v>44</v>
      </c>
      <c r="M305" s="46">
        <v>61000</v>
      </c>
      <c r="N305">
        <v>0.128</v>
      </c>
      <c r="O305">
        <v>0.15</v>
      </c>
      <c r="P305" t="s">
        <v>38</v>
      </c>
      <c r="R305">
        <v>66</v>
      </c>
      <c r="S305">
        <v>4433.88</v>
      </c>
      <c r="T305">
        <f>Deals_[[#This Row],[Amount]]*Deals_[[#This Row],[Probability_Pct]]</f>
        <v>9150</v>
      </c>
    </row>
    <row r="306" spans="1:20" x14ac:dyDescent="0.2">
      <c r="A306" t="s">
        <v>632</v>
      </c>
      <c r="B306" s="7">
        <v>46235</v>
      </c>
      <c r="C306" s="7">
        <v>46273</v>
      </c>
      <c r="D306" t="s">
        <v>633</v>
      </c>
      <c r="E306" t="s">
        <v>33</v>
      </c>
      <c r="F306" t="s">
        <v>48</v>
      </c>
      <c r="G306" t="s">
        <v>23</v>
      </c>
      <c r="H306" t="s">
        <v>49</v>
      </c>
      <c r="I306" t="s">
        <v>25</v>
      </c>
      <c r="J306" t="s">
        <v>26</v>
      </c>
      <c r="K306" t="s">
        <v>58</v>
      </c>
      <c r="L306" t="s">
        <v>28</v>
      </c>
      <c r="M306" s="46">
        <v>25600</v>
      </c>
      <c r="N306">
        <v>0.161</v>
      </c>
      <c r="O306">
        <v>0.75</v>
      </c>
      <c r="P306" t="s">
        <v>59</v>
      </c>
      <c r="R306">
        <v>38</v>
      </c>
      <c r="S306">
        <v>1789.22</v>
      </c>
      <c r="T306">
        <f>Deals_[[#This Row],[Amount]]*Deals_[[#This Row],[Probability_Pct]]</f>
        <v>19200</v>
      </c>
    </row>
    <row r="307" spans="1:20" x14ac:dyDescent="0.2">
      <c r="A307" t="s">
        <v>634</v>
      </c>
      <c r="B307" s="7">
        <v>46240</v>
      </c>
      <c r="C307" s="7">
        <v>46277</v>
      </c>
      <c r="D307" t="s">
        <v>635</v>
      </c>
      <c r="E307" t="s">
        <v>21</v>
      </c>
      <c r="F307" t="s">
        <v>22</v>
      </c>
      <c r="G307" t="s">
        <v>63</v>
      </c>
      <c r="H307" t="s">
        <v>56</v>
      </c>
      <c r="I307" t="s">
        <v>65</v>
      </c>
      <c r="J307" t="s">
        <v>26</v>
      </c>
      <c r="K307" t="s">
        <v>50</v>
      </c>
      <c r="L307" t="s">
        <v>28</v>
      </c>
      <c r="M307" s="46">
        <v>94000</v>
      </c>
      <c r="N307">
        <v>0.22600000000000001</v>
      </c>
      <c r="O307">
        <v>1</v>
      </c>
      <c r="P307" t="s">
        <v>29</v>
      </c>
      <c r="R307">
        <v>37</v>
      </c>
      <c r="S307">
        <v>6060.22</v>
      </c>
      <c r="T307">
        <f>Deals_[[#This Row],[Amount]]*Deals_[[#This Row],[Probability_Pct]]</f>
        <v>94000</v>
      </c>
    </row>
    <row r="308" spans="1:20" x14ac:dyDescent="0.2">
      <c r="A308" t="s">
        <v>636</v>
      </c>
      <c r="B308" s="7">
        <v>46113</v>
      </c>
      <c r="C308" s="7">
        <v>46178</v>
      </c>
      <c r="D308" t="s">
        <v>637</v>
      </c>
      <c r="E308" t="s">
        <v>62</v>
      </c>
      <c r="F308" t="s">
        <v>48</v>
      </c>
      <c r="G308" t="s">
        <v>23</v>
      </c>
      <c r="H308" t="s">
        <v>98</v>
      </c>
      <c r="I308" t="s">
        <v>99</v>
      </c>
      <c r="J308" t="s">
        <v>36</v>
      </c>
      <c r="K308" t="s">
        <v>50</v>
      </c>
      <c r="L308" t="s">
        <v>44</v>
      </c>
      <c r="M308" s="46">
        <v>29300</v>
      </c>
      <c r="N308">
        <v>0.152</v>
      </c>
      <c r="O308">
        <v>1</v>
      </c>
      <c r="P308" t="s">
        <v>29</v>
      </c>
      <c r="R308">
        <v>65</v>
      </c>
      <c r="S308">
        <v>2070.7800000000002</v>
      </c>
      <c r="T308">
        <f>Deals_[[#This Row],[Amount]]*Deals_[[#This Row],[Probability_Pct]]</f>
        <v>29300</v>
      </c>
    </row>
    <row r="309" spans="1:20" x14ac:dyDescent="0.2">
      <c r="A309" t="s">
        <v>638</v>
      </c>
      <c r="B309" s="7">
        <v>46141</v>
      </c>
      <c r="C309" s="7">
        <v>46260</v>
      </c>
      <c r="D309" t="s">
        <v>295</v>
      </c>
      <c r="E309" t="s">
        <v>111</v>
      </c>
      <c r="F309" t="s">
        <v>22</v>
      </c>
      <c r="G309" t="s">
        <v>92</v>
      </c>
      <c r="H309" t="s">
        <v>137</v>
      </c>
      <c r="I309" t="s">
        <v>35</v>
      </c>
      <c r="J309" t="s">
        <v>43</v>
      </c>
      <c r="K309" t="s">
        <v>106</v>
      </c>
      <c r="L309" t="s">
        <v>51</v>
      </c>
      <c r="M309" s="46">
        <v>57300</v>
      </c>
      <c r="N309">
        <v>1.9E-2</v>
      </c>
      <c r="O309">
        <v>0.2</v>
      </c>
      <c r="P309" t="s">
        <v>38</v>
      </c>
      <c r="R309">
        <v>119</v>
      </c>
      <c r="S309">
        <v>4685.43</v>
      </c>
      <c r="T309">
        <f>Deals_[[#This Row],[Amount]]*Deals_[[#This Row],[Probability_Pct]]</f>
        <v>11460</v>
      </c>
    </row>
    <row r="310" spans="1:20" x14ac:dyDescent="0.2">
      <c r="A310" t="s">
        <v>639</v>
      </c>
      <c r="B310" s="7">
        <v>46169</v>
      </c>
      <c r="C310" s="7">
        <v>46277</v>
      </c>
      <c r="D310" t="s">
        <v>640</v>
      </c>
      <c r="E310" t="s">
        <v>54</v>
      </c>
      <c r="F310" t="s">
        <v>22</v>
      </c>
      <c r="G310" t="s">
        <v>23</v>
      </c>
      <c r="H310" t="s">
        <v>56</v>
      </c>
      <c r="I310" t="s">
        <v>25</v>
      </c>
      <c r="J310" t="s">
        <v>43</v>
      </c>
      <c r="K310" t="s">
        <v>27</v>
      </c>
      <c r="L310" t="s">
        <v>44</v>
      </c>
      <c r="M310" s="46">
        <v>78200</v>
      </c>
      <c r="N310">
        <v>0.14799999999999999</v>
      </c>
      <c r="O310">
        <v>0.05</v>
      </c>
      <c r="P310" t="s">
        <v>29</v>
      </c>
      <c r="Q310" t="s">
        <v>209</v>
      </c>
      <c r="R310">
        <v>108</v>
      </c>
      <c r="S310">
        <v>5553.38</v>
      </c>
      <c r="T310">
        <f>Deals_[[#This Row],[Amount]]*Deals_[[#This Row],[Probability_Pct]]</f>
        <v>3910</v>
      </c>
    </row>
    <row r="311" spans="1:20" x14ac:dyDescent="0.2">
      <c r="A311" t="s">
        <v>641</v>
      </c>
      <c r="B311" s="7">
        <v>45996</v>
      </c>
      <c r="C311" s="7">
        <v>46117</v>
      </c>
      <c r="D311" t="s">
        <v>642</v>
      </c>
      <c r="E311" t="s">
        <v>111</v>
      </c>
      <c r="F311" t="s">
        <v>22</v>
      </c>
      <c r="G311" t="s">
        <v>63</v>
      </c>
      <c r="H311" t="s">
        <v>120</v>
      </c>
      <c r="I311" t="s">
        <v>42</v>
      </c>
      <c r="J311" t="s">
        <v>36</v>
      </c>
      <c r="K311" t="s">
        <v>58</v>
      </c>
      <c r="L311" t="s">
        <v>44</v>
      </c>
      <c r="M311" s="46">
        <v>42100</v>
      </c>
      <c r="N311">
        <v>5.7000000000000002E-2</v>
      </c>
      <c r="O311">
        <v>0.7</v>
      </c>
      <c r="P311" t="s">
        <v>59</v>
      </c>
      <c r="R311">
        <v>121</v>
      </c>
      <c r="S311">
        <v>3307.06</v>
      </c>
      <c r="T311">
        <f>Deals_[[#This Row],[Amount]]*Deals_[[#This Row],[Probability_Pct]]</f>
        <v>29469.999999999996</v>
      </c>
    </row>
    <row r="312" spans="1:20" x14ac:dyDescent="0.2">
      <c r="A312" t="s">
        <v>643</v>
      </c>
      <c r="B312" s="7">
        <v>46222</v>
      </c>
      <c r="C312" s="7">
        <v>46277</v>
      </c>
      <c r="D312" t="s">
        <v>644</v>
      </c>
      <c r="E312" t="s">
        <v>82</v>
      </c>
      <c r="F312" t="s">
        <v>22</v>
      </c>
      <c r="G312" t="s">
        <v>63</v>
      </c>
      <c r="H312" t="s">
        <v>83</v>
      </c>
      <c r="I312" t="s">
        <v>99</v>
      </c>
      <c r="J312" t="s">
        <v>36</v>
      </c>
      <c r="K312" t="s">
        <v>50</v>
      </c>
      <c r="L312" t="s">
        <v>28</v>
      </c>
      <c r="M312" s="46">
        <v>99700</v>
      </c>
      <c r="N312">
        <v>9.8000000000000004E-2</v>
      </c>
      <c r="O312">
        <v>1</v>
      </c>
      <c r="P312" t="s">
        <v>29</v>
      </c>
      <c r="R312">
        <v>55</v>
      </c>
      <c r="S312">
        <v>7498.03</v>
      </c>
      <c r="T312">
        <f>Deals_[[#This Row],[Amount]]*Deals_[[#This Row],[Probability_Pct]]</f>
        <v>99700</v>
      </c>
    </row>
    <row r="313" spans="1:20" x14ac:dyDescent="0.2">
      <c r="A313" t="s">
        <v>645</v>
      </c>
      <c r="B313" s="7">
        <v>46066</v>
      </c>
      <c r="C313" s="7">
        <v>46194</v>
      </c>
      <c r="D313" t="s">
        <v>646</v>
      </c>
      <c r="E313" t="s">
        <v>82</v>
      </c>
      <c r="F313" t="s">
        <v>74</v>
      </c>
      <c r="G313" t="s">
        <v>63</v>
      </c>
      <c r="H313" t="s">
        <v>120</v>
      </c>
      <c r="I313" t="s">
        <v>35</v>
      </c>
      <c r="J313" t="s">
        <v>26</v>
      </c>
      <c r="K313" t="s">
        <v>58</v>
      </c>
      <c r="L313" t="s">
        <v>28</v>
      </c>
      <c r="M313" s="46">
        <v>185900</v>
      </c>
      <c r="N313">
        <v>0.122</v>
      </c>
      <c r="O313">
        <v>0.75</v>
      </c>
      <c r="P313" t="s">
        <v>59</v>
      </c>
      <c r="R313">
        <v>128</v>
      </c>
      <c r="S313">
        <v>13594.8</v>
      </c>
      <c r="T313">
        <f>Deals_[[#This Row],[Amount]]*Deals_[[#This Row],[Probability_Pct]]</f>
        <v>139425</v>
      </c>
    </row>
    <row r="314" spans="1:20" x14ac:dyDescent="0.2">
      <c r="A314" t="s">
        <v>647</v>
      </c>
      <c r="B314" s="7">
        <v>46037</v>
      </c>
      <c r="C314" s="7">
        <v>46137</v>
      </c>
      <c r="D314" t="s">
        <v>648</v>
      </c>
      <c r="E314" t="s">
        <v>91</v>
      </c>
      <c r="F314" t="s">
        <v>48</v>
      </c>
      <c r="G314" t="s">
        <v>34</v>
      </c>
      <c r="H314" t="s">
        <v>64</v>
      </c>
      <c r="I314" t="s">
        <v>84</v>
      </c>
      <c r="J314" t="s">
        <v>26</v>
      </c>
      <c r="K314" t="s">
        <v>106</v>
      </c>
      <c r="L314" t="s">
        <v>44</v>
      </c>
      <c r="M314" s="46">
        <v>27400</v>
      </c>
      <c r="N314">
        <v>7.3999999999999996E-2</v>
      </c>
      <c r="O314">
        <v>0.25</v>
      </c>
      <c r="P314" t="s">
        <v>38</v>
      </c>
      <c r="R314">
        <v>100</v>
      </c>
      <c r="S314">
        <v>2113.35</v>
      </c>
      <c r="T314">
        <f>Deals_[[#This Row],[Amount]]*Deals_[[#This Row],[Probability_Pct]]</f>
        <v>6850</v>
      </c>
    </row>
    <row r="315" spans="1:20" x14ac:dyDescent="0.2">
      <c r="A315" t="s">
        <v>649</v>
      </c>
      <c r="B315" s="7">
        <v>46048</v>
      </c>
      <c r="C315" s="7">
        <v>46085</v>
      </c>
      <c r="D315" t="s">
        <v>650</v>
      </c>
      <c r="E315" t="s">
        <v>33</v>
      </c>
      <c r="F315" t="s">
        <v>48</v>
      </c>
      <c r="G315" t="s">
        <v>23</v>
      </c>
      <c r="H315" t="s">
        <v>24</v>
      </c>
      <c r="I315" t="s">
        <v>65</v>
      </c>
      <c r="J315" t="s">
        <v>26</v>
      </c>
      <c r="K315" t="s">
        <v>106</v>
      </c>
      <c r="L315" t="s">
        <v>28</v>
      </c>
      <c r="M315" s="46">
        <v>20500</v>
      </c>
      <c r="N315">
        <v>0.158</v>
      </c>
      <c r="O315">
        <v>0.2</v>
      </c>
      <c r="P315" t="s">
        <v>38</v>
      </c>
      <c r="R315">
        <v>37</v>
      </c>
      <c r="S315">
        <v>1437.95</v>
      </c>
      <c r="T315">
        <f>Deals_[[#This Row],[Amount]]*Deals_[[#This Row],[Probability_Pct]]</f>
        <v>4100</v>
      </c>
    </row>
    <row r="316" spans="1:20" x14ac:dyDescent="0.2">
      <c r="A316" t="s">
        <v>651</v>
      </c>
      <c r="B316" s="7">
        <v>45982</v>
      </c>
      <c r="C316" s="7">
        <v>46101</v>
      </c>
      <c r="D316" t="s">
        <v>97</v>
      </c>
      <c r="E316" t="s">
        <v>33</v>
      </c>
      <c r="F316" t="s">
        <v>48</v>
      </c>
      <c r="G316" t="s">
        <v>34</v>
      </c>
      <c r="H316" t="s">
        <v>49</v>
      </c>
      <c r="I316" t="s">
        <v>65</v>
      </c>
      <c r="J316" t="s">
        <v>57</v>
      </c>
      <c r="K316" t="s">
        <v>58</v>
      </c>
      <c r="L316" t="s">
        <v>44</v>
      </c>
      <c r="M316" s="46">
        <v>27800</v>
      </c>
      <c r="N316">
        <v>0.104</v>
      </c>
      <c r="O316">
        <v>0.75</v>
      </c>
      <c r="P316" t="s">
        <v>59</v>
      </c>
      <c r="R316">
        <v>119</v>
      </c>
      <c r="S316">
        <v>2076.67</v>
      </c>
      <c r="T316">
        <f>Deals_[[#This Row],[Amount]]*Deals_[[#This Row],[Probability_Pct]]</f>
        <v>20850</v>
      </c>
    </row>
    <row r="317" spans="1:20" x14ac:dyDescent="0.2">
      <c r="A317" t="s">
        <v>652</v>
      </c>
      <c r="B317" s="7">
        <v>45969</v>
      </c>
      <c r="C317" s="7">
        <v>46045</v>
      </c>
      <c r="D317" t="s">
        <v>653</v>
      </c>
      <c r="E317" t="s">
        <v>111</v>
      </c>
      <c r="F317" t="s">
        <v>22</v>
      </c>
      <c r="G317" t="s">
        <v>92</v>
      </c>
      <c r="H317" t="s">
        <v>137</v>
      </c>
      <c r="I317" t="s">
        <v>65</v>
      </c>
      <c r="J317" t="s">
        <v>43</v>
      </c>
      <c r="K317" t="s">
        <v>50</v>
      </c>
      <c r="L317" t="s">
        <v>44</v>
      </c>
      <c r="M317" s="46">
        <v>93500</v>
      </c>
      <c r="N317">
        <v>0.06</v>
      </c>
      <c r="O317">
        <v>0.95</v>
      </c>
      <c r="P317" t="s">
        <v>29</v>
      </c>
      <c r="R317">
        <v>76</v>
      </c>
      <c r="S317">
        <v>7321.44</v>
      </c>
      <c r="T317">
        <f>Deals_[[#This Row],[Amount]]*Deals_[[#This Row],[Probability_Pct]]</f>
        <v>88825</v>
      </c>
    </row>
    <row r="318" spans="1:20" x14ac:dyDescent="0.2">
      <c r="A318" t="s">
        <v>654</v>
      </c>
      <c r="B318" s="7">
        <v>45938</v>
      </c>
      <c r="C318" s="7">
        <v>45991</v>
      </c>
      <c r="D318" t="s">
        <v>655</v>
      </c>
      <c r="E318" t="s">
        <v>62</v>
      </c>
      <c r="F318" t="s">
        <v>22</v>
      </c>
      <c r="G318" t="s">
        <v>63</v>
      </c>
      <c r="H318" t="s">
        <v>64</v>
      </c>
      <c r="I318" t="s">
        <v>65</v>
      </c>
      <c r="J318" t="s">
        <v>36</v>
      </c>
      <c r="K318" t="s">
        <v>27</v>
      </c>
      <c r="L318" t="s">
        <v>28</v>
      </c>
      <c r="M318" s="46">
        <v>72900</v>
      </c>
      <c r="N318">
        <v>0.128</v>
      </c>
      <c r="O318">
        <v>0.05</v>
      </c>
      <c r="P318" t="s">
        <v>29</v>
      </c>
      <c r="Q318" t="s">
        <v>45</v>
      </c>
      <c r="R318">
        <v>53</v>
      </c>
      <c r="S318">
        <v>5299.46</v>
      </c>
      <c r="T318">
        <f>Deals_[[#This Row],[Amount]]*Deals_[[#This Row],[Probability_Pct]]</f>
        <v>3645</v>
      </c>
    </row>
    <row r="319" spans="1:20" x14ac:dyDescent="0.2">
      <c r="A319" t="s">
        <v>656</v>
      </c>
      <c r="B319" s="7">
        <v>46178</v>
      </c>
      <c r="C319" s="7">
        <v>46242</v>
      </c>
      <c r="D319" t="s">
        <v>657</v>
      </c>
      <c r="E319" t="s">
        <v>91</v>
      </c>
      <c r="F319" t="s">
        <v>48</v>
      </c>
      <c r="G319" t="s">
        <v>34</v>
      </c>
      <c r="H319" t="s">
        <v>69</v>
      </c>
      <c r="I319" t="s">
        <v>84</v>
      </c>
      <c r="J319" t="s">
        <v>57</v>
      </c>
      <c r="K319" t="s">
        <v>78</v>
      </c>
      <c r="L319" t="s">
        <v>44</v>
      </c>
      <c r="M319" s="46">
        <v>26000</v>
      </c>
      <c r="N319">
        <v>0.218</v>
      </c>
      <c r="O319">
        <v>0.55000000000000004</v>
      </c>
      <c r="P319" t="s">
        <v>79</v>
      </c>
      <c r="R319">
        <v>64</v>
      </c>
      <c r="S319">
        <v>1695.25</v>
      </c>
      <c r="T319">
        <f>Deals_[[#This Row],[Amount]]*Deals_[[#This Row],[Probability_Pct]]</f>
        <v>14300.000000000002</v>
      </c>
    </row>
    <row r="320" spans="1:20" x14ac:dyDescent="0.2">
      <c r="A320" t="s">
        <v>658</v>
      </c>
      <c r="B320" s="7">
        <v>45987</v>
      </c>
      <c r="C320" s="7">
        <v>46027</v>
      </c>
      <c r="D320" t="s">
        <v>659</v>
      </c>
      <c r="E320" t="s">
        <v>21</v>
      </c>
      <c r="F320" t="s">
        <v>48</v>
      </c>
      <c r="G320" t="s">
        <v>34</v>
      </c>
      <c r="H320" t="s">
        <v>41</v>
      </c>
      <c r="I320" t="s">
        <v>35</v>
      </c>
      <c r="J320" t="s">
        <v>26</v>
      </c>
      <c r="K320" t="s">
        <v>88</v>
      </c>
      <c r="L320" t="s">
        <v>28</v>
      </c>
      <c r="M320" s="46">
        <v>11400</v>
      </c>
      <c r="N320">
        <v>6.0000000000000001E-3</v>
      </c>
      <c r="O320">
        <v>0.3</v>
      </c>
      <c r="P320" t="s">
        <v>38</v>
      </c>
      <c r="R320">
        <v>40</v>
      </c>
      <c r="S320">
        <v>944.39</v>
      </c>
      <c r="T320">
        <f>Deals_[[#This Row],[Amount]]*Deals_[[#This Row],[Probability_Pct]]</f>
        <v>3420</v>
      </c>
    </row>
    <row r="321" spans="1:20" x14ac:dyDescent="0.2">
      <c r="A321" t="s">
        <v>660</v>
      </c>
      <c r="B321" s="7">
        <v>46219</v>
      </c>
      <c r="C321" s="7">
        <v>46279</v>
      </c>
      <c r="D321" t="s">
        <v>661</v>
      </c>
      <c r="E321" t="s">
        <v>33</v>
      </c>
      <c r="F321" t="s">
        <v>74</v>
      </c>
      <c r="G321" t="s">
        <v>63</v>
      </c>
      <c r="H321" t="s">
        <v>56</v>
      </c>
      <c r="I321" t="s">
        <v>99</v>
      </c>
      <c r="J321" t="s">
        <v>26</v>
      </c>
      <c r="K321" t="s">
        <v>106</v>
      </c>
      <c r="L321" t="s">
        <v>51</v>
      </c>
      <c r="M321" s="46">
        <v>293600</v>
      </c>
      <c r="N321">
        <v>0.114</v>
      </c>
      <c r="O321">
        <v>0.2</v>
      </c>
      <c r="P321" t="s">
        <v>38</v>
      </c>
      <c r="R321">
        <v>60</v>
      </c>
      <c r="S321">
        <v>21670.720000000001</v>
      </c>
      <c r="T321">
        <f>Deals_[[#This Row],[Amount]]*Deals_[[#This Row],[Probability_Pct]]</f>
        <v>58720</v>
      </c>
    </row>
    <row r="322" spans="1:20" x14ac:dyDescent="0.2">
      <c r="A322" t="s">
        <v>662</v>
      </c>
      <c r="B322" s="7">
        <v>46273</v>
      </c>
      <c r="C322" s="7">
        <v>46324</v>
      </c>
      <c r="D322" t="s">
        <v>663</v>
      </c>
      <c r="E322" t="s">
        <v>111</v>
      </c>
      <c r="F322" t="s">
        <v>22</v>
      </c>
      <c r="G322" t="s">
        <v>92</v>
      </c>
      <c r="H322" t="s">
        <v>77</v>
      </c>
      <c r="I322" t="s">
        <v>84</v>
      </c>
      <c r="J322" t="s">
        <v>57</v>
      </c>
      <c r="K322" t="s">
        <v>106</v>
      </c>
      <c r="L322" t="s">
        <v>51</v>
      </c>
      <c r="M322" s="46">
        <v>74300</v>
      </c>
      <c r="N322">
        <v>0.09</v>
      </c>
      <c r="O322">
        <v>0.2</v>
      </c>
      <c r="P322" t="s">
        <v>38</v>
      </c>
      <c r="R322">
        <v>51</v>
      </c>
      <c r="S322">
        <v>5633.59</v>
      </c>
      <c r="T322">
        <f>Deals_[[#This Row],[Amount]]*Deals_[[#This Row],[Probability_Pct]]</f>
        <v>14860</v>
      </c>
    </row>
    <row r="323" spans="1:20" x14ac:dyDescent="0.2">
      <c r="A323" t="s">
        <v>664</v>
      </c>
      <c r="B323" s="7">
        <v>46107</v>
      </c>
      <c r="C323" s="7">
        <v>46141</v>
      </c>
      <c r="D323" t="s">
        <v>665</v>
      </c>
      <c r="E323" t="s">
        <v>68</v>
      </c>
      <c r="F323" t="s">
        <v>22</v>
      </c>
      <c r="G323" t="s">
        <v>23</v>
      </c>
      <c r="H323" t="s">
        <v>77</v>
      </c>
      <c r="I323" t="s">
        <v>99</v>
      </c>
      <c r="J323" t="s">
        <v>57</v>
      </c>
      <c r="K323" t="s">
        <v>106</v>
      </c>
      <c r="L323" t="s">
        <v>28</v>
      </c>
      <c r="M323" s="46">
        <v>41900</v>
      </c>
      <c r="N323">
        <v>0.26600000000000001</v>
      </c>
      <c r="O323">
        <v>0.25</v>
      </c>
      <c r="P323" t="s">
        <v>38</v>
      </c>
      <c r="R323">
        <v>34</v>
      </c>
      <c r="S323">
        <v>2563.4299999999998</v>
      </c>
      <c r="T323">
        <f>Deals_[[#This Row],[Amount]]*Deals_[[#This Row],[Probability_Pct]]</f>
        <v>10475</v>
      </c>
    </row>
    <row r="324" spans="1:20" x14ac:dyDescent="0.2">
      <c r="A324" t="s">
        <v>666</v>
      </c>
      <c r="B324" s="7">
        <v>46066</v>
      </c>
      <c r="C324" s="7">
        <v>46171</v>
      </c>
      <c r="D324" t="s">
        <v>667</v>
      </c>
      <c r="E324" t="s">
        <v>82</v>
      </c>
      <c r="F324" t="s">
        <v>74</v>
      </c>
      <c r="G324" t="s">
        <v>23</v>
      </c>
      <c r="H324" t="s">
        <v>24</v>
      </c>
      <c r="I324" t="s">
        <v>25</v>
      </c>
      <c r="J324" t="s">
        <v>85</v>
      </c>
      <c r="K324" t="s">
        <v>88</v>
      </c>
      <c r="L324" t="s">
        <v>44</v>
      </c>
      <c r="M324" s="46">
        <v>141700</v>
      </c>
      <c r="N324">
        <v>0.10100000000000001</v>
      </c>
      <c r="O324">
        <v>0.35</v>
      </c>
      <c r="P324" t="s">
        <v>38</v>
      </c>
      <c r="R324">
        <v>105</v>
      </c>
      <c r="S324">
        <v>10616.75</v>
      </c>
      <c r="T324">
        <f>Deals_[[#This Row],[Amount]]*Deals_[[#This Row],[Probability_Pct]]</f>
        <v>49595</v>
      </c>
    </row>
    <row r="325" spans="1:20" x14ac:dyDescent="0.2">
      <c r="A325" t="s">
        <v>668</v>
      </c>
      <c r="B325" s="7">
        <v>46261</v>
      </c>
      <c r="C325" s="7">
        <v>46292</v>
      </c>
      <c r="D325" t="s">
        <v>669</v>
      </c>
      <c r="E325" t="s">
        <v>82</v>
      </c>
      <c r="F325" t="s">
        <v>74</v>
      </c>
      <c r="G325" t="s">
        <v>34</v>
      </c>
      <c r="H325" t="s">
        <v>49</v>
      </c>
      <c r="I325" t="s">
        <v>84</v>
      </c>
      <c r="J325" t="s">
        <v>85</v>
      </c>
      <c r="K325" t="s">
        <v>58</v>
      </c>
      <c r="L325" t="s">
        <v>44</v>
      </c>
      <c r="M325" s="46">
        <v>130900</v>
      </c>
      <c r="N325">
        <v>7.0000000000000007E-2</v>
      </c>
      <c r="O325">
        <v>0.75</v>
      </c>
      <c r="P325" t="s">
        <v>59</v>
      </c>
      <c r="R325">
        <v>31</v>
      </c>
      <c r="S325">
        <v>10141.030000000001</v>
      </c>
      <c r="T325">
        <f>Deals_[[#This Row],[Amount]]*Deals_[[#This Row],[Probability_Pct]]</f>
        <v>98175</v>
      </c>
    </row>
    <row r="326" spans="1:20" x14ac:dyDescent="0.2">
      <c r="A326" t="s">
        <v>670</v>
      </c>
      <c r="B326" s="7">
        <v>46154</v>
      </c>
      <c r="C326" s="7">
        <v>46250</v>
      </c>
      <c r="D326" t="s">
        <v>671</v>
      </c>
      <c r="E326" t="s">
        <v>33</v>
      </c>
      <c r="F326" t="s">
        <v>74</v>
      </c>
      <c r="G326" t="s">
        <v>92</v>
      </c>
      <c r="H326" t="s">
        <v>56</v>
      </c>
      <c r="I326" t="s">
        <v>84</v>
      </c>
      <c r="J326" t="s">
        <v>85</v>
      </c>
      <c r="K326" t="s">
        <v>88</v>
      </c>
      <c r="L326" t="s">
        <v>44</v>
      </c>
      <c r="M326" s="46">
        <v>96000</v>
      </c>
      <c r="N326">
        <v>0.19400000000000001</v>
      </c>
      <c r="O326">
        <v>0.3</v>
      </c>
      <c r="P326" t="s">
        <v>38</v>
      </c>
      <c r="R326">
        <v>96</v>
      </c>
      <c r="S326">
        <v>6450.84</v>
      </c>
      <c r="T326">
        <f>Deals_[[#This Row],[Amount]]*Deals_[[#This Row],[Probability_Pct]]</f>
        <v>28800</v>
      </c>
    </row>
    <row r="327" spans="1:20" x14ac:dyDescent="0.2">
      <c r="A327" t="s">
        <v>672</v>
      </c>
      <c r="B327" s="7">
        <v>46014</v>
      </c>
      <c r="C327" s="7">
        <v>46163</v>
      </c>
      <c r="D327" t="s">
        <v>673</v>
      </c>
      <c r="E327" t="s">
        <v>54</v>
      </c>
      <c r="F327" t="s">
        <v>48</v>
      </c>
      <c r="G327" t="s">
        <v>92</v>
      </c>
      <c r="H327" t="s">
        <v>120</v>
      </c>
      <c r="I327" t="s">
        <v>65</v>
      </c>
      <c r="J327" t="s">
        <v>85</v>
      </c>
      <c r="K327" t="s">
        <v>37</v>
      </c>
      <c r="L327" t="s">
        <v>44</v>
      </c>
      <c r="M327" s="46">
        <v>23600</v>
      </c>
      <c r="N327">
        <v>0.112</v>
      </c>
      <c r="O327">
        <v>0.05</v>
      </c>
      <c r="P327" t="s">
        <v>38</v>
      </c>
      <c r="R327">
        <v>149</v>
      </c>
      <c r="S327">
        <v>1746.39</v>
      </c>
      <c r="T327">
        <f>Deals_[[#This Row],[Amount]]*Deals_[[#This Row],[Probability_Pct]]</f>
        <v>1180</v>
      </c>
    </row>
    <row r="328" spans="1:20" x14ac:dyDescent="0.2">
      <c r="A328" t="s">
        <v>674</v>
      </c>
      <c r="B328" s="7">
        <v>46043</v>
      </c>
      <c r="C328" s="7">
        <v>46135</v>
      </c>
      <c r="D328" t="s">
        <v>399</v>
      </c>
      <c r="E328" t="s">
        <v>62</v>
      </c>
      <c r="F328" t="s">
        <v>22</v>
      </c>
      <c r="G328" t="s">
        <v>23</v>
      </c>
      <c r="H328" t="s">
        <v>137</v>
      </c>
      <c r="I328" t="s">
        <v>25</v>
      </c>
      <c r="J328" t="s">
        <v>43</v>
      </c>
      <c r="K328" t="s">
        <v>50</v>
      </c>
      <c r="L328" t="s">
        <v>44</v>
      </c>
      <c r="M328" s="46">
        <v>51800</v>
      </c>
      <c r="N328">
        <v>0.19400000000000001</v>
      </c>
      <c r="O328">
        <v>1</v>
      </c>
      <c r="P328" t="s">
        <v>29</v>
      </c>
      <c r="R328">
        <v>92</v>
      </c>
      <c r="S328">
        <v>3478.75</v>
      </c>
      <c r="T328">
        <f>Deals_[[#This Row],[Amount]]*Deals_[[#This Row],[Probability_Pct]]</f>
        <v>51800</v>
      </c>
    </row>
    <row r="329" spans="1:20" x14ac:dyDescent="0.2">
      <c r="A329" t="s">
        <v>675</v>
      </c>
      <c r="B329" s="7">
        <v>45973</v>
      </c>
      <c r="C329" s="7">
        <v>46088</v>
      </c>
      <c r="D329" t="s">
        <v>676</v>
      </c>
      <c r="E329" t="s">
        <v>82</v>
      </c>
      <c r="F329" t="s">
        <v>22</v>
      </c>
      <c r="G329" t="s">
        <v>63</v>
      </c>
      <c r="H329" t="s">
        <v>64</v>
      </c>
      <c r="I329" t="s">
        <v>65</v>
      </c>
      <c r="J329" t="s">
        <v>57</v>
      </c>
      <c r="K329" t="s">
        <v>37</v>
      </c>
      <c r="L329" t="s">
        <v>44</v>
      </c>
      <c r="M329" s="46">
        <v>43600</v>
      </c>
      <c r="N329">
        <v>0.16</v>
      </c>
      <c r="O329">
        <v>0.05</v>
      </c>
      <c r="P329" t="s">
        <v>38</v>
      </c>
      <c r="R329">
        <v>115</v>
      </c>
      <c r="S329">
        <v>3053.16</v>
      </c>
      <c r="T329">
        <f>Deals_[[#This Row],[Amount]]*Deals_[[#This Row],[Probability_Pct]]</f>
        <v>2180</v>
      </c>
    </row>
    <row r="330" spans="1:20" x14ac:dyDescent="0.2">
      <c r="A330" t="s">
        <v>677</v>
      </c>
      <c r="B330" s="7">
        <v>46089</v>
      </c>
      <c r="C330" s="7">
        <v>46169</v>
      </c>
      <c r="D330" t="s">
        <v>669</v>
      </c>
      <c r="E330" t="s">
        <v>111</v>
      </c>
      <c r="F330" t="s">
        <v>48</v>
      </c>
      <c r="G330" t="s">
        <v>23</v>
      </c>
      <c r="H330" t="s">
        <v>120</v>
      </c>
      <c r="I330" t="s">
        <v>99</v>
      </c>
      <c r="J330" t="s">
        <v>26</v>
      </c>
      <c r="K330" t="s">
        <v>27</v>
      </c>
      <c r="L330" t="s">
        <v>28</v>
      </c>
      <c r="M330" s="46">
        <v>27600</v>
      </c>
      <c r="N330">
        <v>0.13100000000000001</v>
      </c>
      <c r="O330">
        <v>0.05</v>
      </c>
      <c r="P330" t="s">
        <v>29</v>
      </c>
      <c r="Q330" t="s">
        <v>126</v>
      </c>
      <c r="R330">
        <v>80</v>
      </c>
      <c r="S330">
        <v>1999.51</v>
      </c>
      <c r="T330">
        <f>Deals_[[#This Row],[Amount]]*Deals_[[#This Row],[Probability_Pct]]</f>
        <v>1380</v>
      </c>
    </row>
    <row r="331" spans="1:20" x14ac:dyDescent="0.2">
      <c r="A331" t="s">
        <v>678</v>
      </c>
      <c r="B331" s="7">
        <v>46203</v>
      </c>
      <c r="C331" s="7">
        <v>46254</v>
      </c>
      <c r="D331" t="s">
        <v>679</v>
      </c>
      <c r="E331" t="s">
        <v>54</v>
      </c>
      <c r="F331" t="s">
        <v>48</v>
      </c>
      <c r="G331" t="s">
        <v>63</v>
      </c>
      <c r="H331" t="s">
        <v>56</v>
      </c>
      <c r="I331" t="s">
        <v>99</v>
      </c>
      <c r="J331" t="s">
        <v>85</v>
      </c>
      <c r="K331" t="s">
        <v>58</v>
      </c>
      <c r="L331" t="s">
        <v>51</v>
      </c>
      <c r="M331" s="46">
        <v>18100</v>
      </c>
      <c r="N331">
        <v>0.121</v>
      </c>
      <c r="O331">
        <v>0.8</v>
      </c>
      <c r="P331" t="s">
        <v>59</v>
      </c>
      <c r="R331">
        <v>51</v>
      </c>
      <c r="S331">
        <v>1325.39</v>
      </c>
      <c r="T331">
        <f>Deals_[[#This Row],[Amount]]*Deals_[[#This Row],[Probability_Pct]]</f>
        <v>14480</v>
      </c>
    </row>
    <row r="332" spans="1:20" x14ac:dyDescent="0.2">
      <c r="A332" t="s">
        <v>680</v>
      </c>
      <c r="B332" s="7">
        <v>46240</v>
      </c>
      <c r="C332" s="7">
        <v>46315</v>
      </c>
      <c r="D332" t="s">
        <v>681</v>
      </c>
      <c r="E332" t="s">
        <v>21</v>
      </c>
      <c r="F332" t="s">
        <v>22</v>
      </c>
      <c r="G332" t="s">
        <v>55</v>
      </c>
      <c r="H332" t="s">
        <v>120</v>
      </c>
      <c r="I332" t="s">
        <v>42</v>
      </c>
      <c r="J332" t="s">
        <v>43</v>
      </c>
      <c r="K332" t="s">
        <v>58</v>
      </c>
      <c r="L332" t="s">
        <v>51</v>
      </c>
      <c r="M332" s="46">
        <v>48200</v>
      </c>
      <c r="N332">
        <v>0.17499999999999999</v>
      </c>
      <c r="O332">
        <v>0.75</v>
      </c>
      <c r="P332" t="s">
        <v>59</v>
      </c>
      <c r="R332">
        <v>75</v>
      </c>
      <c r="S332">
        <v>3312.45</v>
      </c>
      <c r="T332">
        <f>Deals_[[#This Row],[Amount]]*Deals_[[#This Row],[Probability_Pct]]</f>
        <v>36150</v>
      </c>
    </row>
    <row r="333" spans="1:20" x14ac:dyDescent="0.2">
      <c r="A333" t="s">
        <v>682</v>
      </c>
      <c r="B333" s="7">
        <v>46122</v>
      </c>
      <c r="C333" s="7">
        <v>46180</v>
      </c>
      <c r="D333" t="s">
        <v>309</v>
      </c>
      <c r="E333" t="s">
        <v>33</v>
      </c>
      <c r="F333" t="s">
        <v>22</v>
      </c>
      <c r="G333" t="s">
        <v>92</v>
      </c>
      <c r="H333" t="s">
        <v>49</v>
      </c>
      <c r="I333" t="s">
        <v>84</v>
      </c>
      <c r="J333" t="s">
        <v>36</v>
      </c>
      <c r="K333" t="s">
        <v>58</v>
      </c>
      <c r="L333" t="s">
        <v>44</v>
      </c>
      <c r="M333" s="46">
        <v>76700</v>
      </c>
      <c r="N333">
        <v>8.2000000000000003E-2</v>
      </c>
      <c r="O333">
        <v>0.75</v>
      </c>
      <c r="P333" t="s">
        <v>59</v>
      </c>
      <c r="R333">
        <v>58</v>
      </c>
      <c r="S333">
        <v>5869.44</v>
      </c>
      <c r="T333">
        <f>Deals_[[#This Row],[Amount]]*Deals_[[#This Row],[Probability_Pct]]</f>
        <v>57525</v>
      </c>
    </row>
    <row r="334" spans="1:20" x14ac:dyDescent="0.2">
      <c r="A334" t="s">
        <v>683</v>
      </c>
      <c r="B334" s="7">
        <v>46001</v>
      </c>
      <c r="C334" s="7">
        <v>46118</v>
      </c>
      <c r="D334" t="s">
        <v>684</v>
      </c>
      <c r="E334" t="s">
        <v>62</v>
      </c>
      <c r="F334" t="s">
        <v>48</v>
      </c>
      <c r="G334" t="s">
        <v>34</v>
      </c>
      <c r="H334" t="s">
        <v>77</v>
      </c>
      <c r="I334" t="s">
        <v>42</v>
      </c>
      <c r="J334" t="s">
        <v>43</v>
      </c>
      <c r="K334" t="s">
        <v>27</v>
      </c>
      <c r="L334" t="s">
        <v>44</v>
      </c>
      <c r="M334" s="46">
        <v>19000</v>
      </c>
      <c r="N334">
        <v>0</v>
      </c>
      <c r="O334">
        <v>0</v>
      </c>
      <c r="P334" t="s">
        <v>29</v>
      </c>
      <c r="Q334" t="s">
        <v>222</v>
      </c>
      <c r="R334">
        <v>117</v>
      </c>
      <c r="S334">
        <v>1583.33</v>
      </c>
      <c r="T334">
        <f>Deals_[[#This Row],[Amount]]*Deals_[[#This Row],[Probability_Pct]]</f>
        <v>0</v>
      </c>
    </row>
    <row r="335" spans="1:20" x14ac:dyDescent="0.2">
      <c r="A335" t="s">
        <v>685</v>
      </c>
      <c r="B335" s="7">
        <v>46223</v>
      </c>
      <c r="C335" s="7">
        <v>46274</v>
      </c>
      <c r="D335" t="s">
        <v>686</v>
      </c>
      <c r="E335" t="s">
        <v>21</v>
      </c>
      <c r="F335" t="s">
        <v>48</v>
      </c>
      <c r="G335" t="s">
        <v>23</v>
      </c>
      <c r="H335" t="s">
        <v>137</v>
      </c>
      <c r="I335" t="s">
        <v>65</v>
      </c>
      <c r="J335" t="s">
        <v>85</v>
      </c>
      <c r="K335" t="s">
        <v>58</v>
      </c>
      <c r="L335" t="s">
        <v>28</v>
      </c>
      <c r="M335" s="46">
        <v>7900</v>
      </c>
      <c r="N335">
        <v>0.2</v>
      </c>
      <c r="O335">
        <v>0.75</v>
      </c>
      <c r="P335" t="s">
        <v>59</v>
      </c>
      <c r="R335">
        <v>51</v>
      </c>
      <c r="S335">
        <v>526.6</v>
      </c>
      <c r="T335">
        <f>Deals_[[#This Row],[Amount]]*Deals_[[#This Row],[Probability_Pct]]</f>
        <v>5925</v>
      </c>
    </row>
    <row r="336" spans="1:20" x14ac:dyDescent="0.2">
      <c r="A336" t="s">
        <v>687</v>
      </c>
      <c r="B336" s="7">
        <v>46097</v>
      </c>
      <c r="C336" s="7">
        <v>46246</v>
      </c>
      <c r="D336" t="s">
        <v>688</v>
      </c>
      <c r="E336" t="s">
        <v>62</v>
      </c>
      <c r="F336" t="s">
        <v>48</v>
      </c>
      <c r="G336" t="s">
        <v>34</v>
      </c>
      <c r="H336" t="s">
        <v>137</v>
      </c>
      <c r="I336" t="s">
        <v>35</v>
      </c>
      <c r="J336" t="s">
        <v>85</v>
      </c>
      <c r="K336" t="s">
        <v>88</v>
      </c>
      <c r="L336" t="s">
        <v>28</v>
      </c>
      <c r="M336" s="46">
        <v>13300</v>
      </c>
      <c r="N336">
        <v>2.4E-2</v>
      </c>
      <c r="O336">
        <v>0.35</v>
      </c>
      <c r="P336" t="s">
        <v>38</v>
      </c>
      <c r="R336">
        <v>149</v>
      </c>
      <c r="S336">
        <v>1081.3399999999999</v>
      </c>
      <c r="T336">
        <f>Deals_[[#This Row],[Amount]]*Deals_[[#This Row],[Probability_Pct]]</f>
        <v>4655</v>
      </c>
    </row>
    <row r="337" spans="1:20" x14ac:dyDescent="0.2">
      <c r="A337" t="s">
        <v>689</v>
      </c>
      <c r="B337" s="7">
        <v>46001</v>
      </c>
      <c r="C337" s="7">
        <v>46074</v>
      </c>
      <c r="D337" t="s">
        <v>136</v>
      </c>
      <c r="E337" t="s">
        <v>62</v>
      </c>
      <c r="F337" t="s">
        <v>48</v>
      </c>
      <c r="G337" t="s">
        <v>23</v>
      </c>
      <c r="H337" t="s">
        <v>24</v>
      </c>
      <c r="I337" t="s">
        <v>65</v>
      </c>
      <c r="J337" t="s">
        <v>43</v>
      </c>
      <c r="K337" t="s">
        <v>88</v>
      </c>
      <c r="L337" t="s">
        <v>44</v>
      </c>
      <c r="M337" s="46">
        <v>29500</v>
      </c>
      <c r="N337">
        <v>0.183</v>
      </c>
      <c r="O337">
        <v>0.3</v>
      </c>
      <c r="P337" t="s">
        <v>38</v>
      </c>
      <c r="R337">
        <v>73</v>
      </c>
      <c r="S337">
        <v>2008.34</v>
      </c>
      <c r="T337">
        <f>Deals_[[#This Row],[Amount]]*Deals_[[#This Row],[Probability_Pct]]</f>
        <v>8850</v>
      </c>
    </row>
    <row r="338" spans="1:20" x14ac:dyDescent="0.2">
      <c r="A338" t="s">
        <v>690</v>
      </c>
      <c r="B338" s="7">
        <v>45956</v>
      </c>
      <c r="C338" s="7">
        <v>46104</v>
      </c>
      <c r="D338" t="s">
        <v>691</v>
      </c>
      <c r="E338" t="s">
        <v>111</v>
      </c>
      <c r="F338" t="s">
        <v>48</v>
      </c>
      <c r="G338" t="s">
        <v>92</v>
      </c>
      <c r="H338" t="s">
        <v>120</v>
      </c>
      <c r="I338" t="s">
        <v>25</v>
      </c>
      <c r="J338" t="s">
        <v>57</v>
      </c>
      <c r="K338" t="s">
        <v>37</v>
      </c>
      <c r="L338" t="s">
        <v>28</v>
      </c>
      <c r="M338" s="46">
        <v>21000</v>
      </c>
      <c r="N338">
        <v>8.8999999999999996E-2</v>
      </c>
      <c r="O338">
        <v>0.1</v>
      </c>
      <c r="P338" t="s">
        <v>38</v>
      </c>
      <c r="R338">
        <v>148</v>
      </c>
      <c r="S338">
        <v>1593.84</v>
      </c>
      <c r="T338">
        <f>Deals_[[#This Row],[Amount]]*Deals_[[#This Row],[Probability_Pct]]</f>
        <v>2100</v>
      </c>
    </row>
    <row r="339" spans="1:20" x14ac:dyDescent="0.2">
      <c r="A339" t="s">
        <v>692</v>
      </c>
      <c r="B339" s="7">
        <v>46056</v>
      </c>
      <c r="C339" s="7">
        <v>46103</v>
      </c>
      <c r="D339" t="s">
        <v>693</v>
      </c>
      <c r="E339" t="s">
        <v>21</v>
      </c>
      <c r="F339" t="s">
        <v>48</v>
      </c>
      <c r="G339" t="s">
        <v>34</v>
      </c>
      <c r="H339" t="s">
        <v>98</v>
      </c>
      <c r="I339" t="s">
        <v>42</v>
      </c>
      <c r="J339" t="s">
        <v>57</v>
      </c>
      <c r="K339" t="s">
        <v>78</v>
      </c>
      <c r="L339" t="s">
        <v>51</v>
      </c>
      <c r="M339" s="46">
        <v>9400</v>
      </c>
      <c r="N339">
        <v>7.8E-2</v>
      </c>
      <c r="O339">
        <v>0.55000000000000004</v>
      </c>
      <c r="P339" t="s">
        <v>79</v>
      </c>
      <c r="R339">
        <v>47</v>
      </c>
      <c r="S339">
        <v>722.35</v>
      </c>
      <c r="T339">
        <f>Deals_[[#This Row],[Amount]]*Deals_[[#This Row],[Probability_Pct]]</f>
        <v>5170</v>
      </c>
    </row>
    <row r="340" spans="1:20" x14ac:dyDescent="0.2">
      <c r="A340" t="s">
        <v>694</v>
      </c>
      <c r="B340" s="7">
        <v>46036</v>
      </c>
      <c r="C340" s="7">
        <v>46063</v>
      </c>
      <c r="D340" t="s">
        <v>604</v>
      </c>
      <c r="E340" t="s">
        <v>21</v>
      </c>
      <c r="F340" t="s">
        <v>22</v>
      </c>
      <c r="G340" t="s">
        <v>55</v>
      </c>
      <c r="H340" t="s">
        <v>137</v>
      </c>
      <c r="I340" t="s">
        <v>84</v>
      </c>
      <c r="J340" t="s">
        <v>26</v>
      </c>
      <c r="K340" t="s">
        <v>88</v>
      </c>
      <c r="L340" t="s">
        <v>28</v>
      </c>
      <c r="M340" s="46">
        <v>47900</v>
      </c>
      <c r="N340">
        <v>9.6000000000000002E-2</v>
      </c>
      <c r="O340">
        <v>0.3</v>
      </c>
      <c r="P340" t="s">
        <v>38</v>
      </c>
      <c r="R340">
        <v>27</v>
      </c>
      <c r="S340">
        <v>3606.85</v>
      </c>
      <c r="T340">
        <f>Deals_[[#This Row],[Amount]]*Deals_[[#This Row],[Probability_Pct]]</f>
        <v>14370</v>
      </c>
    </row>
    <row r="341" spans="1:20" x14ac:dyDescent="0.2">
      <c r="A341" t="s">
        <v>695</v>
      </c>
      <c r="B341" s="7">
        <v>46207</v>
      </c>
      <c r="C341" s="7">
        <v>46284</v>
      </c>
      <c r="D341" t="s">
        <v>145</v>
      </c>
      <c r="E341" t="s">
        <v>82</v>
      </c>
      <c r="F341" t="s">
        <v>74</v>
      </c>
      <c r="G341" t="s">
        <v>55</v>
      </c>
      <c r="H341" t="s">
        <v>137</v>
      </c>
      <c r="I341" t="s">
        <v>25</v>
      </c>
      <c r="J341" t="s">
        <v>26</v>
      </c>
      <c r="K341" t="s">
        <v>88</v>
      </c>
      <c r="L341" t="s">
        <v>44</v>
      </c>
      <c r="M341" s="46">
        <v>219400</v>
      </c>
      <c r="N341">
        <v>0.114</v>
      </c>
      <c r="O341">
        <v>0.35</v>
      </c>
      <c r="P341" t="s">
        <v>38</v>
      </c>
      <c r="R341">
        <v>77</v>
      </c>
      <c r="S341">
        <v>16205.25</v>
      </c>
      <c r="T341">
        <f>Deals_[[#This Row],[Amount]]*Deals_[[#This Row],[Probability_Pct]]</f>
        <v>76790</v>
      </c>
    </row>
    <row r="342" spans="1:20" x14ac:dyDescent="0.2">
      <c r="A342" t="s">
        <v>696</v>
      </c>
      <c r="B342" s="7">
        <v>46043</v>
      </c>
      <c r="C342" s="7">
        <v>46061</v>
      </c>
      <c r="D342" t="s">
        <v>190</v>
      </c>
      <c r="E342" t="s">
        <v>91</v>
      </c>
      <c r="F342" t="s">
        <v>74</v>
      </c>
      <c r="G342" t="s">
        <v>34</v>
      </c>
      <c r="H342" t="s">
        <v>137</v>
      </c>
      <c r="I342" t="s">
        <v>42</v>
      </c>
      <c r="J342" t="s">
        <v>57</v>
      </c>
      <c r="K342" t="s">
        <v>50</v>
      </c>
      <c r="L342" t="s">
        <v>51</v>
      </c>
      <c r="M342" s="46">
        <v>304500</v>
      </c>
      <c r="N342">
        <v>0.27800000000000002</v>
      </c>
      <c r="O342">
        <v>0.95</v>
      </c>
      <c r="P342" t="s">
        <v>29</v>
      </c>
      <c r="R342">
        <v>18</v>
      </c>
      <c r="S342">
        <v>18308.75</v>
      </c>
      <c r="T342">
        <f>Deals_[[#This Row],[Amount]]*Deals_[[#This Row],[Probability_Pct]]</f>
        <v>289275</v>
      </c>
    </row>
    <row r="343" spans="1:20" x14ac:dyDescent="0.2">
      <c r="A343" t="s">
        <v>697</v>
      </c>
      <c r="B343" s="7">
        <v>46094</v>
      </c>
      <c r="C343" s="7">
        <v>46205</v>
      </c>
      <c r="D343" t="s">
        <v>698</v>
      </c>
      <c r="E343" t="s">
        <v>33</v>
      </c>
      <c r="F343" t="s">
        <v>48</v>
      </c>
      <c r="G343" t="s">
        <v>23</v>
      </c>
      <c r="H343" t="s">
        <v>95</v>
      </c>
      <c r="I343" t="s">
        <v>42</v>
      </c>
      <c r="J343" t="s">
        <v>43</v>
      </c>
      <c r="K343" t="s">
        <v>37</v>
      </c>
      <c r="L343" t="s">
        <v>51</v>
      </c>
      <c r="M343" s="46">
        <v>13500</v>
      </c>
      <c r="N343">
        <v>0.19800000000000001</v>
      </c>
      <c r="O343">
        <v>0.1</v>
      </c>
      <c r="P343" t="s">
        <v>38</v>
      </c>
      <c r="R343">
        <v>111</v>
      </c>
      <c r="S343">
        <v>901.74</v>
      </c>
      <c r="T343">
        <f>Deals_[[#This Row],[Amount]]*Deals_[[#This Row],[Probability_Pct]]</f>
        <v>1350</v>
      </c>
    </row>
    <row r="344" spans="1:20" x14ac:dyDescent="0.2">
      <c r="A344" t="s">
        <v>699</v>
      </c>
      <c r="B344" s="7">
        <v>46127</v>
      </c>
      <c r="C344" s="7">
        <v>46219</v>
      </c>
      <c r="D344" t="s">
        <v>700</v>
      </c>
      <c r="E344" t="s">
        <v>54</v>
      </c>
      <c r="F344" t="s">
        <v>48</v>
      </c>
      <c r="G344" t="s">
        <v>63</v>
      </c>
      <c r="H344" t="s">
        <v>69</v>
      </c>
      <c r="I344" t="s">
        <v>99</v>
      </c>
      <c r="J344" t="s">
        <v>26</v>
      </c>
      <c r="K344" t="s">
        <v>78</v>
      </c>
      <c r="L344" t="s">
        <v>28</v>
      </c>
      <c r="M344" s="46">
        <v>20100</v>
      </c>
      <c r="N344">
        <v>0.10199999999999999</v>
      </c>
      <c r="O344">
        <v>0.55000000000000004</v>
      </c>
      <c r="P344" t="s">
        <v>79</v>
      </c>
      <c r="R344">
        <v>92</v>
      </c>
      <c r="S344">
        <v>1504.75</v>
      </c>
      <c r="T344">
        <f>Deals_[[#This Row],[Amount]]*Deals_[[#This Row],[Probability_Pct]]</f>
        <v>11055</v>
      </c>
    </row>
    <row r="345" spans="1:20" x14ac:dyDescent="0.2">
      <c r="A345" t="s">
        <v>701</v>
      </c>
      <c r="B345" s="7">
        <v>45984</v>
      </c>
      <c r="C345" s="7">
        <v>46025</v>
      </c>
      <c r="D345" t="s">
        <v>702</v>
      </c>
      <c r="E345" t="s">
        <v>62</v>
      </c>
      <c r="F345" t="s">
        <v>22</v>
      </c>
      <c r="G345" t="s">
        <v>55</v>
      </c>
      <c r="H345" t="s">
        <v>64</v>
      </c>
      <c r="I345" t="s">
        <v>35</v>
      </c>
      <c r="J345" t="s">
        <v>43</v>
      </c>
      <c r="K345" t="s">
        <v>50</v>
      </c>
      <c r="L345" t="s">
        <v>51</v>
      </c>
      <c r="M345" s="46">
        <v>87400</v>
      </c>
      <c r="N345">
        <v>0.08</v>
      </c>
      <c r="O345">
        <v>0.95</v>
      </c>
      <c r="P345" t="s">
        <v>29</v>
      </c>
      <c r="R345">
        <v>41</v>
      </c>
      <c r="S345">
        <v>6698.57</v>
      </c>
      <c r="T345">
        <f>Deals_[[#This Row],[Amount]]*Deals_[[#This Row],[Probability_Pct]]</f>
        <v>83030</v>
      </c>
    </row>
    <row r="346" spans="1:20" x14ac:dyDescent="0.2">
      <c r="A346" t="s">
        <v>703</v>
      </c>
      <c r="B346" s="7">
        <v>46145</v>
      </c>
      <c r="C346" s="7">
        <v>46175</v>
      </c>
      <c r="D346" t="s">
        <v>704</v>
      </c>
      <c r="E346" t="s">
        <v>111</v>
      </c>
      <c r="F346" t="s">
        <v>22</v>
      </c>
      <c r="G346" t="s">
        <v>92</v>
      </c>
      <c r="H346" t="s">
        <v>98</v>
      </c>
      <c r="I346" t="s">
        <v>42</v>
      </c>
      <c r="J346" t="s">
        <v>43</v>
      </c>
      <c r="K346" t="s">
        <v>50</v>
      </c>
      <c r="L346" t="s">
        <v>44</v>
      </c>
      <c r="M346" s="46">
        <v>40100</v>
      </c>
      <c r="N346">
        <v>7.8E-2</v>
      </c>
      <c r="O346">
        <v>1</v>
      </c>
      <c r="P346" t="s">
        <v>29</v>
      </c>
      <c r="R346">
        <v>30</v>
      </c>
      <c r="S346">
        <v>3080.07</v>
      </c>
      <c r="T346">
        <f>Deals_[[#This Row],[Amount]]*Deals_[[#This Row],[Probability_Pct]]</f>
        <v>40100</v>
      </c>
    </row>
    <row r="347" spans="1:20" x14ac:dyDescent="0.2">
      <c r="A347" t="s">
        <v>705</v>
      </c>
      <c r="B347" s="7">
        <v>46038</v>
      </c>
      <c r="C347" s="7">
        <v>46164</v>
      </c>
      <c r="D347" t="s">
        <v>706</v>
      </c>
      <c r="E347" t="s">
        <v>111</v>
      </c>
      <c r="F347" t="s">
        <v>74</v>
      </c>
      <c r="G347" t="s">
        <v>23</v>
      </c>
      <c r="H347" t="s">
        <v>49</v>
      </c>
      <c r="I347" t="s">
        <v>42</v>
      </c>
      <c r="J347" t="s">
        <v>26</v>
      </c>
      <c r="K347" t="s">
        <v>88</v>
      </c>
      <c r="L347" t="s">
        <v>51</v>
      </c>
      <c r="M347" s="46">
        <v>332900</v>
      </c>
      <c r="N347">
        <v>0.107</v>
      </c>
      <c r="O347">
        <v>0.4</v>
      </c>
      <c r="P347" t="s">
        <v>38</v>
      </c>
      <c r="R347">
        <v>126</v>
      </c>
      <c r="S347">
        <v>24783.49</v>
      </c>
      <c r="T347">
        <f>Deals_[[#This Row],[Amount]]*Deals_[[#This Row],[Probability_Pct]]</f>
        <v>133160</v>
      </c>
    </row>
    <row r="348" spans="1:20" x14ac:dyDescent="0.2">
      <c r="A348" t="s">
        <v>707</v>
      </c>
      <c r="B348" s="7">
        <v>46217</v>
      </c>
      <c r="C348" s="7">
        <v>46277</v>
      </c>
      <c r="D348" t="s">
        <v>708</v>
      </c>
      <c r="E348" t="s">
        <v>111</v>
      </c>
      <c r="F348" t="s">
        <v>74</v>
      </c>
      <c r="G348" t="s">
        <v>92</v>
      </c>
      <c r="H348" t="s">
        <v>120</v>
      </c>
      <c r="I348" t="s">
        <v>35</v>
      </c>
      <c r="J348" t="s">
        <v>43</v>
      </c>
      <c r="K348" t="s">
        <v>27</v>
      </c>
      <c r="L348" t="s">
        <v>44</v>
      </c>
      <c r="M348" s="46">
        <v>154700</v>
      </c>
      <c r="N348">
        <v>5.8999999999999997E-2</v>
      </c>
      <c r="O348">
        <v>0</v>
      </c>
      <c r="P348" t="s">
        <v>29</v>
      </c>
      <c r="Q348" t="s">
        <v>152</v>
      </c>
      <c r="R348">
        <v>60</v>
      </c>
      <c r="S348">
        <v>12129.96</v>
      </c>
      <c r="T348">
        <f>Deals_[[#This Row],[Amount]]*Deals_[[#This Row],[Probability_Pct]]</f>
        <v>0</v>
      </c>
    </row>
    <row r="349" spans="1:20" x14ac:dyDescent="0.2">
      <c r="A349" t="s">
        <v>709</v>
      </c>
      <c r="B349" s="7">
        <v>45966</v>
      </c>
      <c r="C349" s="7">
        <v>46088</v>
      </c>
      <c r="D349" t="s">
        <v>710</v>
      </c>
      <c r="E349" t="s">
        <v>21</v>
      </c>
      <c r="F349" t="s">
        <v>22</v>
      </c>
      <c r="G349" t="s">
        <v>23</v>
      </c>
      <c r="H349" t="s">
        <v>56</v>
      </c>
      <c r="I349" t="s">
        <v>25</v>
      </c>
      <c r="J349" t="s">
        <v>85</v>
      </c>
      <c r="K349" t="s">
        <v>58</v>
      </c>
      <c r="L349" t="s">
        <v>28</v>
      </c>
      <c r="M349" s="46">
        <v>53100</v>
      </c>
      <c r="N349">
        <v>2.8000000000000001E-2</v>
      </c>
      <c r="O349">
        <v>0.8</v>
      </c>
      <c r="P349" t="s">
        <v>59</v>
      </c>
      <c r="R349">
        <v>122</v>
      </c>
      <c r="S349">
        <v>4302.92</v>
      </c>
      <c r="T349">
        <f>Deals_[[#This Row],[Amount]]*Deals_[[#This Row],[Probability_Pct]]</f>
        <v>42480</v>
      </c>
    </row>
    <row r="350" spans="1:20" x14ac:dyDescent="0.2">
      <c r="A350" t="s">
        <v>711</v>
      </c>
      <c r="B350" s="7">
        <v>46100</v>
      </c>
      <c r="C350" s="7">
        <v>46189</v>
      </c>
      <c r="D350" t="s">
        <v>356</v>
      </c>
      <c r="E350" t="s">
        <v>21</v>
      </c>
      <c r="F350" t="s">
        <v>48</v>
      </c>
      <c r="G350" t="s">
        <v>55</v>
      </c>
      <c r="H350" t="s">
        <v>24</v>
      </c>
      <c r="I350" t="s">
        <v>25</v>
      </c>
      <c r="J350" t="s">
        <v>85</v>
      </c>
      <c r="K350" t="s">
        <v>37</v>
      </c>
      <c r="L350" t="s">
        <v>51</v>
      </c>
      <c r="M350" s="46">
        <v>14800</v>
      </c>
      <c r="N350">
        <v>6.3E-2</v>
      </c>
      <c r="O350">
        <v>0.05</v>
      </c>
      <c r="P350" t="s">
        <v>38</v>
      </c>
      <c r="R350">
        <v>89</v>
      </c>
      <c r="S350">
        <v>1155.3499999999999</v>
      </c>
      <c r="T350">
        <f>Deals_[[#This Row],[Amount]]*Deals_[[#This Row],[Probability_Pct]]</f>
        <v>740</v>
      </c>
    </row>
    <row r="351" spans="1:20" x14ac:dyDescent="0.2">
      <c r="A351" t="s">
        <v>712</v>
      </c>
      <c r="B351" s="7">
        <v>46222</v>
      </c>
      <c r="C351" s="7">
        <v>46277</v>
      </c>
      <c r="D351" t="s">
        <v>713</v>
      </c>
      <c r="E351" t="s">
        <v>62</v>
      </c>
      <c r="F351" t="s">
        <v>22</v>
      </c>
      <c r="G351" t="s">
        <v>92</v>
      </c>
      <c r="H351" t="s">
        <v>95</v>
      </c>
      <c r="I351" t="s">
        <v>25</v>
      </c>
      <c r="J351" t="s">
        <v>85</v>
      </c>
      <c r="K351" t="s">
        <v>50</v>
      </c>
      <c r="L351" t="s">
        <v>28</v>
      </c>
      <c r="M351" s="46">
        <v>35700</v>
      </c>
      <c r="N351">
        <v>9.4E-2</v>
      </c>
      <c r="O351">
        <v>1</v>
      </c>
      <c r="P351" t="s">
        <v>29</v>
      </c>
      <c r="R351">
        <v>55</v>
      </c>
      <c r="S351">
        <v>2696.64</v>
      </c>
      <c r="T351">
        <f>Deals_[[#This Row],[Amount]]*Deals_[[#This Row],[Probability_Pct]]</f>
        <v>35700</v>
      </c>
    </row>
    <row r="352" spans="1:20" x14ac:dyDescent="0.2">
      <c r="A352" t="s">
        <v>714</v>
      </c>
      <c r="B352" s="7">
        <v>46147</v>
      </c>
      <c r="C352" s="7">
        <v>46163</v>
      </c>
      <c r="D352" t="s">
        <v>715</v>
      </c>
      <c r="E352" t="s">
        <v>21</v>
      </c>
      <c r="F352" t="s">
        <v>22</v>
      </c>
      <c r="G352" t="s">
        <v>23</v>
      </c>
      <c r="H352" t="s">
        <v>41</v>
      </c>
      <c r="I352" t="s">
        <v>25</v>
      </c>
      <c r="J352" t="s">
        <v>57</v>
      </c>
      <c r="K352" t="s">
        <v>27</v>
      </c>
      <c r="L352" t="s">
        <v>28</v>
      </c>
      <c r="M352" s="46">
        <v>50200</v>
      </c>
      <c r="N352">
        <v>9.0999999999999998E-2</v>
      </c>
      <c r="O352">
        <v>0</v>
      </c>
      <c r="P352" t="s">
        <v>29</v>
      </c>
      <c r="Q352" t="s">
        <v>126</v>
      </c>
      <c r="R352">
        <v>16</v>
      </c>
      <c r="S352">
        <v>3802.77</v>
      </c>
      <c r="T352">
        <f>Deals_[[#This Row],[Amount]]*Deals_[[#This Row],[Probability_Pct]]</f>
        <v>0</v>
      </c>
    </row>
    <row r="353" spans="1:20" x14ac:dyDescent="0.2">
      <c r="A353" t="s">
        <v>716</v>
      </c>
      <c r="B353" s="7">
        <v>46218</v>
      </c>
      <c r="C353" s="7">
        <v>46306</v>
      </c>
      <c r="D353" t="s">
        <v>717</v>
      </c>
      <c r="E353" t="s">
        <v>33</v>
      </c>
      <c r="F353" t="s">
        <v>48</v>
      </c>
      <c r="G353" t="s">
        <v>23</v>
      </c>
      <c r="H353" t="s">
        <v>49</v>
      </c>
      <c r="I353" t="s">
        <v>35</v>
      </c>
      <c r="J353" t="s">
        <v>43</v>
      </c>
      <c r="K353" t="s">
        <v>58</v>
      </c>
      <c r="L353" t="s">
        <v>51</v>
      </c>
      <c r="M353" s="46">
        <v>11100</v>
      </c>
      <c r="N353">
        <v>7.4999999999999997E-2</v>
      </c>
      <c r="O353">
        <v>0.75</v>
      </c>
      <c r="P353" t="s">
        <v>59</v>
      </c>
      <c r="R353">
        <v>88</v>
      </c>
      <c r="S353">
        <v>855.33</v>
      </c>
      <c r="T353">
        <f>Deals_[[#This Row],[Amount]]*Deals_[[#This Row],[Probability_Pct]]</f>
        <v>8325</v>
      </c>
    </row>
    <row r="354" spans="1:20" x14ac:dyDescent="0.2">
      <c r="A354" t="s">
        <v>718</v>
      </c>
      <c r="B354" s="7">
        <v>46229</v>
      </c>
      <c r="C354" s="7">
        <v>46298</v>
      </c>
      <c r="D354" t="s">
        <v>143</v>
      </c>
      <c r="E354" t="s">
        <v>54</v>
      </c>
      <c r="F354" t="s">
        <v>22</v>
      </c>
      <c r="G354" t="s">
        <v>23</v>
      </c>
      <c r="H354" t="s">
        <v>77</v>
      </c>
      <c r="I354" t="s">
        <v>35</v>
      </c>
      <c r="J354" t="s">
        <v>85</v>
      </c>
      <c r="K354" t="s">
        <v>78</v>
      </c>
      <c r="L354" t="s">
        <v>51</v>
      </c>
      <c r="M354" s="46">
        <v>78300</v>
      </c>
      <c r="N354">
        <v>0.17199999999999999</v>
      </c>
      <c r="O354">
        <v>0.5</v>
      </c>
      <c r="P354" t="s">
        <v>79</v>
      </c>
      <c r="R354">
        <v>69</v>
      </c>
      <c r="S354">
        <v>5403.46</v>
      </c>
      <c r="T354">
        <f>Deals_[[#This Row],[Amount]]*Deals_[[#This Row],[Probability_Pct]]</f>
        <v>39150</v>
      </c>
    </row>
    <row r="355" spans="1:20" x14ac:dyDescent="0.2">
      <c r="A355" t="s">
        <v>719</v>
      </c>
      <c r="B355" s="7">
        <v>46190</v>
      </c>
      <c r="C355" s="7">
        <v>46277</v>
      </c>
      <c r="D355" t="s">
        <v>614</v>
      </c>
      <c r="E355" t="s">
        <v>111</v>
      </c>
      <c r="F355" t="s">
        <v>48</v>
      </c>
      <c r="G355" t="s">
        <v>23</v>
      </c>
      <c r="H355" t="s">
        <v>137</v>
      </c>
      <c r="I355" t="s">
        <v>84</v>
      </c>
      <c r="J355" t="s">
        <v>26</v>
      </c>
      <c r="K355" t="s">
        <v>27</v>
      </c>
      <c r="L355" t="s">
        <v>51</v>
      </c>
      <c r="M355" s="46">
        <v>16400</v>
      </c>
      <c r="N355">
        <v>6.8000000000000005E-2</v>
      </c>
      <c r="O355">
        <v>0</v>
      </c>
      <c r="P355" t="s">
        <v>29</v>
      </c>
      <c r="Q355" t="s">
        <v>188</v>
      </c>
      <c r="R355">
        <v>87</v>
      </c>
      <c r="S355">
        <v>1273.55</v>
      </c>
      <c r="T355">
        <f>Deals_[[#This Row],[Amount]]*Deals_[[#This Row],[Probability_Pct]]</f>
        <v>0</v>
      </c>
    </row>
    <row r="356" spans="1:20" x14ac:dyDescent="0.2">
      <c r="A356" t="s">
        <v>720</v>
      </c>
      <c r="B356" s="7">
        <v>45943</v>
      </c>
      <c r="C356" s="7">
        <v>45974</v>
      </c>
      <c r="D356" t="s">
        <v>721</v>
      </c>
      <c r="E356" t="s">
        <v>82</v>
      </c>
      <c r="F356" t="s">
        <v>74</v>
      </c>
      <c r="G356" t="s">
        <v>92</v>
      </c>
      <c r="H356" t="s">
        <v>69</v>
      </c>
      <c r="I356" t="s">
        <v>65</v>
      </c>
      <c r="J356" t="s">
        <v>36</v>
      </c>
      <c r="K356" t="s">
        <v>37</v>
      </c>
      <c r="L356" t="s">
        <v>51</v>
      </c>
      <c r="M356" s="46">
        <v>201200</v>
      </c>
      <c r="N356">
        <v>0.114</v>
      </c>
      <c r="O356">
        <v>0.15</v>
      </c>
      <c r="P356" t="s">
        <v>38</v>
      </c>
      <c r="R356">
        <v>31</v>
      </c>
      <c r="S356">
        <v>14858.55</v>
      </c>
      <c r="T356">
        <f>Deals_[[#This Row],[Amount]]*Deals_[[#This Row],[Probability_Pct]]</f>
        <v>30180</v>
      </c>
    </row>
    <row r="357" spans="1:20" x14ac:dyDescent="0.2">
      <c r="A357" t="s">
        <v>722</v>
      </c>
      <c r="B357" s="7">
        <v>45987</v>
      </c>
      <c r="C357" s="7">
        <v>46089</v>
      </c>
      <c r="D357" t="s">
        <v>723</v>
      </c>
      <c r="E357" t="s">
        <v>33</v>
      </c>
      <c r="F357" t="s">
        <v>48</v>
      </c>
      <c r="G357" t="s">
        <v>23</v>
      </c>
      <c r="H357" t="s">
        <v>49</v>
      </c>
      <c r="I357" t="s">
        <v>42</v>
      </c>
      <c r="J357" t="s">
        <v>57</v>
      </c>
      <c r="K357" t="s">
        <v>58</v>
      </c>
      <c r="L357" t="s">
        <v>44</v>
      </c>
      <c r="M357" s="46">
        <v>22100</v>
      </c>
      <c r="N357">
        <v>0.248</v>
      </c>
      <c r="O357">
        <v>0.75</v>
      </c>
      <c r="P357" t="s">
        <v>59</v>
      </c>
      <c r="R357">
        <v>102</v>
      </c>
      <c r="S357">
        <v>1384.07</v>
      </c>
      <c r="T357">
        <f>Deals_[[#This Row],[Amount]]*Deals_[[#This Row],[Probability_Pct]]</f>
        <v>16575</v>
      </c>
    </row>
    <row r="358" spans="1:20" x14ac:dyDescent="0.2">
      <c r="A358" t="s">
        <v>724</v>
      </c>
      <c r="B358" s="7">
        <v>46009</v>
      </c>
      <c r="C358" s="7">
        <v>46084</v>
      </c>
      <c r="D358" t="s">
        <v>725</v>
      </c>
      <c r="E358" t="s">
        <v>33</v>
      </c>
      <c r="F358" t="s">
        <v>22</v>
      </c>
      <c r="G358" t="s">
        <v>92</v>
      </c>
      <c r="H358" t="s">
        <v>69</v>
      </c>
      <c r="I358" t="s">
        <v>35</v>
      </c>
      <c r="J358" t="s">
        <v>43</v>
      </c>
      <c r="K358" t="s">
        <v>106</v>
      </c>
      <c r="L358" t="s">
        <v>44</v>
      </c>
      <c r="M358" s="46">
        <v>59500</v>
      </c>
      <c r="N358">
        <v>3.2000000000000001E-2</v>
      </c>
      <c r="O358">
        <v>0.2</v>
      </c>
      <c r="P358" t="s">
        <v>38</v>
      </c>
      <c r="R358">
        <v>75</v>
      </c>
      <c r="S358">
        <v>4799.8100000000004</v>
      </c>
      <c r="T358">
        <f>Deals_[[#This Row],[Amount]]*Deals_[[#This Row],[Probability_Pct]]</f>
        <v>11900</v>
      </c>
    </row>
    <row r="359" spans="1:20" x14ac:dyDescent="0.2">
      <c r="A359" t="s">
        <v>726</v>
      </c>
      <c r="B359" s="7">
        <v>45995</v>
      </c>
      <c r="C359" s="7">
        <v>46080</v>
      </c>
      <c r="D359" t="s">
        <v>727</v>
      </c>
      <c r="E359" t="s">
        <v>33</v>
      </c>
      <c r="F359" t="s">
        <v>22</v>
      </c>
      <c r="G359" t="s">
        <v>34</v>
      </c>
      <c r="H359" t="s">
        <v>24</v>
      </c>
      <c r="I359" t="s">
        <v>84</v>
      </c>
      <c r="J359" t="s">
        <v>36</v>
      </c>
      <c r="K359" t="s">
        <v>50</v>
      </c>
      <c r="L359" t="s">
        <v>28</v>
      </c>
      <c r="M359" s="46">
        <v>80000</v>
      </c>
      <c r="N359">
        <v>0.184</v>
      </c>
      <c r="O359">
        <v>1</v>
      </c>
      <c r="P359" t="s">
        <v>29</v>
      </c>
      <c r="R359">
        <v>85</v>
      </c>
      <c r="S359">
        <v>5442.83</v>
      </c>
      <c r="T359">
        <f>Deals_[[#This Row],[Amount]]*Deals_[[#This Row],[Probability_Pct]]</f>
        <v>80000</v>
      </c>
    </row>
    <row r="360" spans="1:20" x14ac:dyDescent="0.2">
      <c r="A360" t="s">
        <v>728</v>
      </c>
      <c r="B360" s="7">
        <v>46153</v>
      </c>
      <c r="C360" s="7">
        <v>46271</v>
      </c>
      <c r="D360" t="s">
        <v>729</v>
      </c>
      <c r="E360" t="s">
        <v>91</v>
      </c>
      <c r="F360" t="s">
        <v>22</v>
      </c>
      <c r="G360" t="s">
        <v>34</v>
      </c>
      <c r="H360" t="s">
        <v>98</v>
      </c>
      <c r="I360" t="s">
        <v>84</v>
      </c>
      <c r="J360" t="s">
        <v>43</v>
      </c>
      <c r="K360" t="s">
        <v>50</v>
      </c>
      <c r="L360" t="s">
        <v>28</v>
      </c>
      <c r="M360" s="46">
        <v>29400</v>
      </c>
      <c r="N360">
        <v>0.13500000000000001</v>
      </c>
      <c r="O360">
        <v>0.95</v>
      </c>
      <c r="P360" t="s">
        <v>29</v>
      </c>
      <c r="R360">
        <v>118</v>
      </c>
      <c r="S360">
        <v>2118.7800000000002</v>
      </c>
      <c r="T360">
        <f>Deals_[[#This Row],[Amount]]*Deals_[[#This Row],[Probability_Pct]]</f>
        <v>27930</v>
      </c>
    </row>
    <row r="361" spans="1:20" x14ac:dyDescent="0.2">
      <c r="A361" t="s">
        <v>730</v>
      </c>
      <c r="B361" s="7">
        <v>46261</v>
      </c>
      <c r="C361" s="7">
        <v>46320</v>
      </c>
      <c r="D361" t="s">
        <v>731</v>
      </c>
      <c r="E361" t="s">
        <v>62</v>
      </c>
      <c r="F361" t="s">
        <v>48</v>
      </c>
      <c r="G361" t="s">
        <v>55</v>
      </c>
      <c r="H361" t="s">
        <v>64</v>
      </c>
      <c r="I361" t="s">
        <v>84</v>
      </c>
      <c r="J361" t="s">
        <v>26</v>
      </c>
      <c r="K361" t="s">
        <v>58</v>
      </c>
      <c r="L361" t="s">
        <v>51</v>
      </c>
      <c r="M361" s="46">
        <v>6100</v>
      </c>
      <c r="N361">
        <v>0.16800000000000001</v>
      </c>
      <c r="O361">
        <v>0.75</v>
      </c>
      <c r="P361" t="s">
        <v>59</v>
      </c>
      <c r="R361">
        <v>59</v>
      </c>
      <c r="S361">
        <v>422.72</v>
      </c>
      <c r="T361">
        <f>Deals_[[#This Row],[Amount]]*Deals_[[#This Row],[Probability_Pct]]</f>
        <v>4575</v>
      </c>
    </row>
    <row r="362" spans="1:20" x14ac:dyDescent="0.2">
      <c r="A362" t="s">
        <v>732</v>
      </c>
      <c r="B362" s="7">
        <v>46260</v>
      </c>
      <c r="C362" s="7">
        <v>46286</v>
      </c>
      <c r="D362" t="s">
        <v>733</v>
      </c>
      <c r="E362" t="s">
        <v>54</v>
      </c>
      <c r="F362" t="s">
        <v>48</v>
      </c>
      <c r="G362" t="s">
        <v>92</v>
      </c>
      <c r="H362" t="s">
        <v>64</v>
      </c>
      <c r="I362" t="s">
        <v>35</v>
      </c>
      <c r="J362" t="s">
        <v>36</v>
      </c>
      <c r="K362" t="s">
        <v>88</v>
      </c>
      <c r="L362" t="s">
        <v>51</v>
      </c>
      <c r="M362" s="46">
        <v>16900</v>
      </c>
      <c r="N362">
        <v>6.9000000000000006E-2</v>
      </c>
      <c r="O362">
        <v>0.4</v>
      </c>
      <c r="P362" t="s">
        <v>38</v>
      </c>
      <c r="R362">
        <v>26</v>
      </c>
      <c r="S362">
        <v>1310.82</v>
      </c>
      <c r="T362">
        <f>Deals_[[#This Row],[Amount]]*Deals_[[#This Row],[Probability_Pct]]</f>
        <v>6760</v>
      </c>
    </row>
    <row r="363" spans="1:20" x14ac:dyDescent="0.2">
      <c r="A363" t="s">
        <v>734</v>
      </c>
      <c r="B363" s="7">
        <v>46189</v>
      </c>
      <c r="C363" s="7">
        <v>46268</v>
      </c>
      <c r="D363" t="s">
        <v>273</v>
      </c>
      <c r="E363" t="s">
        <v>91</v>
      </c>
      <c r="F363" t="s">
        <v>74</v>
      </c>
      <c r="G363" t="s">
        <v>23</v>
      </c>
      <c r="H363" t="s">
        <v>137</v>
      </c>
      <c r="I363" t="s">
        <v>25</v>
      </c>
      <c r="J363" t="s">
        <v>85</v>
      </c>
      <c r="K363" t="s">
        <v>88</v>
      </c>
      <c r="L363" t="s">
        <v>28</v>
      </c>
      <c r="M363" s="46">
        <v>237600</v>
      </c>
      <c r="N363">
        <v>0.17199999999999999</v>
      </c>
      <c r="O363">
        <v>0.35</v>
      </c>
      <c r="P363" t="s">
        <v>38</v>
      </c>
      <c r="R363">
        <v>79</v>
      </c>
      <c r="S363">
        <v>16398.62</v>
      </c>
      <c r="T363">
        <f>Deals_[[#This Row],[Amount]]*Deals_[[#This Row],[Probability_Pct]]</f>
        <v>83160</v>
      </c>
    </row>
    <row r="364" spans="1:20" x14ac:dyDescent="0.2">
      <c r="A364" t="s">
        <v>735</v>
      </c>
      <c r="B364" s="7">
        <v>46186</v>
      </c>
      <c r="C364" s="7">
        <v>46219</v>
      </c>
      <c r="D364" t="s">
        <v>736</v>
      </c>
      <c r="E364" t="s">
        <v>91</v>
      </c>
      <c r="F364" t="s">
        <v>48</v>
      </c>
      <c r="G364" t="s">
        <v>23</v>
      </c>
      <c r="H364" t="s">
        <v>56</v>
      </c>
      <c r="I364" t="s">
        <v>42</v>
      </c>
      <c r="J364" t="s">
        <v>57</v>
      </c>
      <c r="K364" t="s">
        <v>27</v>
      </c>
      <c r="L364" t="s">
        <v>51</v>
      </c>
      <c r="M364" s="46">
        <v>11200</v>
      </c>
      <c r="N364">
        <v>0.26</v>
      </c>
      <c r="O364">
        <v>0</v>
      </c>
      <c r="P364" t="s">
        <v>29</v>
      </c>
      <c r="Q364" t="s">
        <v>188</v>
      </c>
      <c r="R364">
        <v>33</v>
      </c>
      <c r="S364">
        <v>691.05</v>
      </c>
      <c r="T364">
        <f>Deals_[[#This Row],[Amount]]*Deals_[[#This Row],[Probability_Pct]]</f>
        <v>0</v>
      </c>
    </row>
    <row r="365" spans="1:20" x14ac:dyDescent="0.2">
      <c r="A365" t="s">
        <v>737</v>
      </c>
      <c r="B365" s="7">
        <v>46129</v>
      </c>
      <c r="C365" s="7">
        <v>46277</v>
      </c>
      <c r="D365" t="s">
        <v>738</v>
      </c>
      <c r="E365" t="s">
        <v>33</v>
      </c>
      <c r="F365" t="s">
        <v>22</v>
      </c>
      <c r="G365" t="s">
        <v>92</v>
      </c>
      <c r="H365" t="s">
        <v>64</v>
      </c>
      <c r="I365" t="s">
        <v>65</v>
      </c>
      <c r="J365" t="s">
        <v>43</v>
      </c>
      <c r="K365" t="s">
        <v>50</v>
      </c>
      <c r="L365" t="s">
        <v>44</v>
      </c>
      <c r="M365" s="46">
        <v>31600</v>
      </c>
      <c r="N365">
        <v>8.7999999999999995E-2</v>
      </c>
      <c r="O365">
        <v>1</v>
      </c>
      <c r="P365" t="s">
        <v>29</v>
      </c>
      <c r="R365">
        <v>148</v>
      </c>
      <c r="S365">
        <v>2401.59</v>
      </c>
      <c r="T365">
        <f>Deals_[[#This Row],[Amount]]*Deals_[[#This Row],[Probability_Pct]]</f>
        <v>31600</v>
      </c>
    </row>
    <row r="366" spans="1:20" x14ac:dyDescent="0.2">
      <c r="A366" t="s">
        <v>739</v>
      </c>
      <c r="B366" s="7">
        <v>46172</v>
      </c>
      <c r="C366" s="7">
        <v>46229</v>
      </c>
      <c r="D366" t="s">
        <v>740</v>
      </c>
      <c r="E366" t="s">
        <v>82</v>
      </c>
      <c r="F366" t="s">
        <v>74</v>
      </c>
      <c r="G366" t="s">
        <v>55</v>
      </c>
      <c r="H366" t="s">
        <v>24</v>
      </c>
      <c r="I366" t="s">
        <v>42</v>
      </c>
      <c r="J366" t="s">
        <v>26</v>
      </c>
      <c r="K366" t="s">
        <v>106</v>
      </c>
      <c r="L366" t="s">
        <v>44</v>
      </c>
      <c r="M366" s="46">
        <v>94900</v>
      </c>
      <c r="N366">
        <v>0.17599999999999999</v>
      </c>
      <c r="O366">
        <v>0.15</v>
      </c>
      <c r="P366" t="s">
        <v>38</v>
      </c>
      <c r="R366">
        <v>57</v>
      </c>
      <c r="S366">
        <v>6517.82</v>
      </c>
      <c r="T366">
        <f>Deals_[[#This Row],[Amount]]*Deals_[[#This Row],[Probability_Pct]]</f>
        <v>14235</v>
      </c>
    </row>
    <row r="367" spans="1:20" x14ac:dyDescent="0.2">
      <c r="A367" t="s">
        <v>741</v>
      </c>
      <c r="B367" s="7">
        <v>46024</v>
      </c>
      <c r="C367" s="7">
        <v>46101</v>
      </c>
      <c r="D367" t="s">
        <v>245</v>
      </c>
      <c r="E367" t="s">
        <v>21</v>
      </c>
      <c r="F367" t="s">
        <v>48</v>
      </c>
      <c r="G367" t="s">
        <v>92</v>
      </c>
      <c r="H367" t="s">
        <v>120</v>
      </c>
      <c r="I367" t="s">
        <v>99</v>
      </c>
      <c r="J367" t="s">
        <v>43</v>
      </c>
      <c r="K367" t="s">
        <v>58</v>
      </c>
      <c r="L367" t="s">
        <v>51</v>
      </c>
      <c r="M367" s="46">
        <v>24700</v>
      </c>
      <c r="N367">
        <v>6.4000000000000001E-2</v>
      </c>
      <c r="O367">
        <v>0.8</v>
      </c>
      <c r="P367" t="s">
        <v>59</v>
      </c>
      <c r="R367">
        <v>77</v>
      </c>
      <c r="S367">
        <v>1927.4</v>
      </c>
      <c r="T367">
        <f>Deals_[[#This Row],[Amount]]*Deals_[[#This Row],[Probability_Pct]]</f>
        <v>19760</v>
      </c>
    </row>
    <row r="368" spans="1:20" x14ac:dyDescent="0.2">
      <c r="A368" t="s">
        <v>742</v>
      </c>
      <c r="B368" s="7">
        <v>46275</v>
      </c>
      <c r="C368" s="7">
        <v>46277</v>
      </c>
      <c r="D368" t="s">
        <v>470</v>
      </c>
      <c r="E368" t="s">
        <v>54</v>
      </c>
      <c r="F368" t="s">
        <v>74</v>
      </c>
      <c r="G368" t="s">
        <v>55</v>
      </c>
      <c r="H368" t="s">
        <v>137</v>
      </c>
      <c r="I368" t="s">
        <v>42</v>
      </c>
      <c r="J368" t="s">
        <v>85</v>
      </c>
      <c r="K368" t="s">
        <v>27</v>
      </c>
      <c r="L368" t="s">
        <v>28</v>
      </c>
      <c r="M368" s="46">
        <v>212100</v>
      </c>
      <c r="N368">
        <v>0.14099999999999999</v>
      </c>
      <c r="O368">
        <v>0</v>
      </c>
      <c r="P368" t="s">
        <v>29</v>
      </c>
      <c r="Q368" t="s">
        <v>188</v>
      </c>
      <c r="R368">
        <v>2</v>
      </c>
      <c r="S368">
        <v>15191.56</v>
      </c>
      <c r="T368">
        <f>Deals_[[#This Row],[Amount]]*Deals_[[#This Row],[Probability_Pct]]</f>
        <v>0</v>
      </c>
    </row>
    <row r="369" spans="1:20" x14ac:dyDescent="0.2">
      <c r="A369" t="s">
        <v>743</v>
      </c>
      <c r="B369" s="7">
        <v>46277</v>
      </c>
      <c r="C369" s="7">
        <v>46281</v>
      </c>
      <c r="D369" t="s">
        <v>744</v>
      </c>
      <c r="E369" t="s">
        <v>21</v>
      </c>
      <c r="F369" t="s">
        <v>22</v>
      </c>
      <c r="G369" t="s">
        <v>92</v>
      </c>
      <c r="H369" t="s">
        <v>49</v>
      </c>
      <c r="I369" t="s">
        <v>35</v>
      </c>
      <c r="J369" t="s">
        <v>85</v>
      </c>
      <c r="K369" t="s">
        <v>37</v>
      </c>
      <c r="L369" t="s">
        <v>51</v>
      </c>
      <c r="M369" s="46">
        <v>65800</v>
      </c>
      <c r="N369">
        <v>2.8000000000000001E-2</v>
      </c>
      <c r="O369">
        <v>0.1</v>
      </c>
      <c r="P369" t="s">
        <v>38</v>
      </c>
      <c r="R369">
        <v>4</v>
      </c>
      <c r="S369">
        <v>5330.72</v>
      </c>
      <c r="T369">
        <f>Deals_[[#This Row],[Amount]]*Deals_[[#This Row],[Probability_Pct]]</f>
        <v>6580</v>
      </c>
    </row>
    <row r="370" spans="1:20" x14ac:dyDescent="0.2">
      <c r="A370" t="s">
        <v>745</v>
      </c>
      <c r="B370" s="7">
        <v>45975</v>
      </c>
      <c r="C370" s="7">
        <v>46015</v>
      </c>
      <c r="D370" t="s">
        <v>746</v>
      </c>
      <c r="E370" t="s">
        <v>82</v>
      </c>
      <c r="F370" t="s">
        <v>74</v>
      </c>
      <c r="G370" t="s">
        <v>55</v>
      </c>
      <c r="H370" t="s">
        <v>56</v>
      </c>
      <c r="I370" t="s">
        <v>99</v>
      </c>
      <c r="J370" t="s">
        <v>57</v>
      </c>
      <c r="K370" t="s">
        <v>27</v>
      </c>
      <c r="L370" t="s">
        <v>51</v>
      </c>
      <c r="M370" s="46">
        <v>149500</v>
      </c>
      <c r="N370">
        <v>5.3999999999999999E-2</v>
      </c>
      <c r="O370">
        <v>0</v>
      </c>
      <c r="P370" t="s">
        <v>29</v>
      </c>
      <c r="Q370" t="s">
        <v>188</v>
      </c>
      <c r="R370">
        <v>40</v>
      </c>
      <c r="S370">
        <v>11779.53</v>
      </c>
      <c r="T370">
        <f>Deals_[[#This Row],[Amount]]*Deals_[[#This Row],[Probability_Pct]]</f>
        <v>0</v>
      </c>
    </row>
    <row r="371" spans="1:20" x14ac:dyDescent="0.2">
      <c r="A371" t="s">
        <v>747</v>
      </c>
      <c r="B371" s="7">
        <v>46228</v>
      </c>
      <c r="C371" s="7">
        <v>46281</v>
      </c>
      <c r="D371" t="s">
        <v>748</v>
      </c>
      <c r="E371" t="s">
        <v>91</v>
      </c>
      <c r="F371" t="s">
        <v>22</v>
      </c>
      <c r="G371" t="s">
        <v>55</v>
      </c>
      <c r="H371" t="s">
        <v>83</v>
      </c>
      <c r="I371" t="s">
        <v>35</v>
      </c>
      <c r="J371" t="s">
        <v>43</v>
      </c>
      <c r="K371" t="s">
        <v>37</v>
      </c>
      <c r="L371" t="s">
        <v>28</v>
      </c>
      <c r="M371" s="46">
        <v>84800</v>
      </c>
      <c r="N371">
        <v>0.17699999999999999</v>
      </c>
      <c r="O371">
        <v>0.15</v>
      </c>
      <c r="P371" t="s">
        <v>38</v>
      </c>
      <c r="R371">
        <v>53</v>
      </c>
      <c r="S371">
        <v>5816.02</v>
      </c>
      <c r="T371">
        <f>Deals_[[#This Row],[Amount]]*Deals_[[#This Row],[Probability_Pct]]</f>
        <v>12720</v>
      </c>
    </row>
    <row r="372" spans="1:20" x14ac:dyDescent="0.2">
      <c r="A372" t="s">
        <v>749</v>
      </c>
      <c r="B372" s="7">
        <v>46256</v>
      </c>
      <c r="C372" s="7">
        <v>46277</v>
      </c>
      <c r="D372" t="s">
        <v>750</v>
      </c>
      <c r="E372" t="s">
        <v>91</v>
      </c>
      <c r="F372" t="s">
        <v>48</v>
      </c>
      <c r="G372" t="s">
        <v>55</v>
      </c>
      <c r="H372" t="s">
        <v>64</v>
      </c>
      <c r="I372" t="s">
        <v>99</v>
      </c>
      <c r="J372" t="s">
        <v>85</v>
      </c>
      <c r="K372" t="s">
        <v>50</v>
      </c>
      <c r="L372" t="s">
        <v>51</v>
      </c>
      <c r="M372" s="46">
        <v>26100</v>
      </c>
      <c r="N372">
        <v>0</v>
      </c>
      <c r="O372">
        <v>0.95</v>
      </c>
      <c r="P372" t="s">
        <v>29</v>
      </c>
      <c r="R372">
        <v>21</v>
      </c>
      <c r="S372">
        <v>2175</v>
      </c>
      <c r="T372">
        <f>Deals_[[#This Row],[Amount]]*Deals_[[#This Row],[Probability_Pct]]</f>
        <v>24795</v>
      </c>
    </row>
    <row r="373" spans="1:20" x14ac:dyDescent="0.2">
      <c r="A373" t="s">
        <v>751</v>
      </c>
      <c r="B373" s="7">
        <v>45955</v>
      </c>
      <c r="C373" s="7">
        <v>46021</v>
      </c>
      <c r="D373" t="s">
        <v>752</v>
      </c>
      <c r="E373" t="s">
        <v>21</v>
      </c>
      <c r="F373" t="s">
        <v>48</v>
      </c>
      <c r="G373" t="s">
        <v>34</v>
      </c>
      <c r="H373" t="s">
        <v>24</v>
      </c>
      <c r="I373" t="s">
        <v>99</v>
      </c>
      <c r="J373" t="s">
        <v>85</v>
      </c>
      <c r="K373" t="s">
        <v>37</v>
      </c>
      <c r="L373" t="s">
        <v>44</v>
      </c>
      <c r="M373" s="46">
        <v>15400</v>
      </c>
      <c r="N373">
        <v>0.161</v>
      </c>
      <c r="O373">
        <v>0.05</v>
      </c>
      <c r="P373" t="s">
        <v>38</v>
      </c>
      <c r="R373">
        <v>66</v>
      </c>
      <c r="S373">
        <v>1076.6300000000001</v>
      </c>
      <c r="T373">
        <f>Deals_[[#This Row],[Amount]]*Deals_[[#This Row],[Probability_Pct]]</f>
        <v>770</v>
      </c>
    </row>
    <row r="374" spans="1:20" x14ac:dyDescent="0.2">
      <c r="A374" t="s">
        <v>753</v>
      </c>
      <c r="B374" s="7">
        <v>46069</v>
      </c>
      <c r="C374" s="7">
        <v>46155</v>
      </c>
      <c r="D374" t="s">
        <v>754</v>
      </c>
      <c r="E374" t="s">
        <v>33</v>
      </c>
      <c r="F374" t="s">
        <v>48</v>
      </c>
      <c r="G374" t="s">
        <v>55</v>
      </c>
      <c r="H374" t="s">
        <v>137</v>
      </c>
      <c r="I374" t="s">
        <v>25</v>
      </c>
      <c r="J374" t="s">
        <v>36</v>
      </c>
      <c r="K374" t="s">
        <v>50</v>
      </c>
      <c r="L374" t="s">
        <v>28</v>
      </c>
      <c r="M374" s="46">
        <v>23600</v>
      </c>
      <c r="N374">
        <v>0.161</v>
      </c>
      <c r="O374">
        <v>1</v>
      </c>
      <c r="P374" t="s">
        <v>29</v>
      </c>
      <c r="R374">
        <v>86</v>
      </c>
      <c r="S374">
        <v>1650.89</v>
      </c>
      <c r="T374">
        <f>Deals_[[#This Row],[Amount]]*Deals_[[#This Row],[Probability_Pct]]</f>
        <v>23600</v>
      </c>
    </row>
    <row r="375" spans="1:20" x14ac:dyDescent="0.2">
      <c r="A375" t="s">
        <v>755</v>
      </c>
      <c r="B375" s="7">
        <v>46037</v>
      </c>
      <c r="C375" s="7">
        <v>46100</v>
      </c>
      <c r="D375" t="s">
        <v>165</v>
      </c>
      <c r="E375" t="s">
        <v>68</v>
      </c>
      <c r="F375" t="s">
        <v>74</v>
      </c>
      <c r="G375" t="s">
        <v>63</v>
      </c>
      <c r="H375" t="s">
        <v>64</v>
      </c>
      <c r="I375" t="s">
        <v>35</v>
      </c>
      <c r="J375" t="s">
        <v>57</v>
      </c>
      <c r="K375" t="s">
        <v>88</v>
      </c>
      <c r="L375" t="s">
        <v>28</v>
      </c>
      <c r="M375" s="46">
        <v>170600</v>
      </c>
      <c r="N375">
        <v>0.107</v>
      </c>
      <c r="O375">
        <v>0.4</v>
      </c>
      <c r="P375" t="s">
        <v>38</v>
      </c>
      <c r="R375">
        <v>63</v>
      </c>
      <c r="S375">
        <v>12695.25</v>
      </c>
      <c r="T375">
        <f>Deals_[[#This Row],[Amount]]*Deals_[[#This Row],[Probability_Pct]]</f>
        <v>68240</v>
      </c>
    </row>
    <row r="376" spans="1:20" x14ac:dyDescent="0.2">
      <c r="A376" t="s">
        <v>756</v>
      </c>
      <c r="B376" s="7">
        <v>46139</v>
      </c>
      <c r="C376" s="7">
        <v>46230</v>
      </c>
      <c r="D376" t="s">
        <v>757</v>
      </c>
      <c r="E376" t="s">
        <v>82</v>
      </c>
      <c r="F376" t="s">
        <v>48</v>
      </c>
      <c r="G376" t="s">
        <v>55</v>
      </c>
      <c r="H376" t="s">
        <v>98</v>
      </c>
      <c r="I376" t="s">
        <v>65</v>
      </c>
      <c r="J376" t="s">
        <v>43</v>
      </c>
      <c r="K376" t="s">
        <v>50</v>
      </c>
      <c r="L376" t="s">
        <v>44</v>
      </c>
      <c r="M376" s="46">
        <v>29600</v>
      </c>
      <c r="N376">
        <v>5.8999999999999997E-2</v>
      </c>
      <c r="O376">
        <v>1</v>
      </c>
      <c r="P376" t="s">
        <v>29</v>
      </c>
      <c r="R376">
        <v>91</v>
      </c>
      <c r="S376">
        <v>2320.34</v>
      </c>
      <c r="T376">
        <f>Deals_[[#This Row],[Amount]]*Deals_[[#This Row],[Probability_Pct]]</f>
        <v>29600</v>
      </c>
    </row>
    <row r="377" spans="1:20" x14ac:dyDescent="0.2">
      <c r="A377" t="s">
        <v>758</v>
      </c>
      <c r="B377" s="7">
        <v>46258</v>
      </c>
      <c r="C377" s="7">
        <v>46307</v>
      </c>
      <c r="D377" t="s">
        <v>366</v>
      </c>
      <c r="E377" t="s">
        <v>54</v>
      </c>
      <c r="F377" t="s">
        <v>22</v>
      </c>
      <c r="G377" t="s">
        <v>55</v>
      </c>
      <c r="H377" t="s">
        <v>83</v>
      </c>
      <c r="I377" t="s">
        <v>65</v>
      </c>
      <c r="J377" t="s">
        <v>36</v>
      </c>
      <c r="K377" t="s">
        <v>78</v>
      </c>
      <c r="L377" t="s">
        <v>28</v>
      </c>
      <c r="M377" s="46">
        <v>72600</v>
      </c>
      <c r="N377">
        <v>3.3000000000000002E-2</v>
      </c>
      <c r="O377">
        <v>0.55000000000000004</v>
      </c>
      <c r="P377" t="s">
        <v>79</v>
      </c>
      <c r="R377">
        <v>49</v>
      </c>
      <c r="S377">
        <v>5848.17</v>
      </c>
      <c r="T377">
        <f>Deals_[[#This Row],[Amount]]*Deals_[[#This Row],[Probability_Pct]]</f>
        <v>39930</v>
      </c>
    </row>
    <row r="378" spans="1:20" x14ac:dyDescent="0.2">
      <c r="A378" t="s">
        <v>759</v>
      </c>
      <c r="B378" s="7">
        <v>46135</v>
      </c>
      <c r="C378" s="7">
        <v>46169</v>
      </c>
      <c r="D378" t="s">
        <v>760</v>
      </c>
      <c r="E378" t="s">
        <v>111</v>
      </c>
      <c r="F378" t="s">
        <v>48</v>
      </c>
      <c r="G378" t="s">
        <v>55</v>
      </c>
      <c r="H378" t="s">
        <v>98</v>
      </c>
      <c r="I378" t="s">
        <v>25</v>
      </c>
      <c r="J378" t="s">
        <v>26</v>
      </c>
      <c r="K378" t="s">
        <v>37</v>
      </c>
      <c r="L378" t="s">
        <v>44</v>
      </c>
      <c r="M378" s="46">
        <v>26600</v>
      </c>
      <c r="N378">
        <v>3.2000000000000001E-2</v>
      </c>
      <c r="O378">
        <v>0.1</v>
      </c>
      <c r="P378" t="s">
        <v>38</v>
      </c>
      <c r="R378">
        <v>34</v>
      </c>
      <c r="S378">
        <v>2145.71</v>
      </c>
      <c r="T378">
        <f>Deals_[[#This Row],[Amount]]*Deals_[[#This Row],[Probability_Pct]]</f>
        <v>2660</v>
      </c>
    </row>
    <row r="379" spans="1:20" x14ac:dyDescent="0.2">
      <c r="A379" t="s">
        <v>761</v>
      </c>
      <c r="B379" s="7">
        <v>45999</v>
      </c>
      <c r="C379" s="7">
        <v>46090</v>
      </c>
      <c r="D379" t="s">
        <v>762</v>
      </c>
      <c r="E379" t="s">
        <v>54</v>
      </c>
      <c r="F379" t="s">
        <v>48</v>
      </c>
      <c r="G379" t="s">
        <v>34</v>
      </c>
      <c r="H379" t="s">
        <v>56</v>
      </c>
      <c r="I379" t="s">
        <v>25</v>
      </c>
      <c r="J379" t="s">
        <v>26</v>
      </c>
      <c r="K379" t="s">
        <v>88</v>
      </c>
      <c r="L379" t="s">
        <v>51</v>
      </c>
      <c r="M379" s="46">
        <v>7300</v>
      </c>
      <c r="N379">
        <v>0.19</v>
      </c>
      <c r="O379">
        <v>0.35</v>
      </c>
      <c r="P379" t="s">
        <v>38</v>
      </c>
      <c r="R379">
        <v>91</v>
      </c>
      <c r="S379">
        <v>492.88</v>
      </c>
      <c r="T379">
        <f>Deals_[[#This Row],[Amount]]*Deals_[[#This Row],[Probability_Pct]]</f>
        <v>2555</v>
      </c>
    </row>
    <row r="380" spans="1:20" x14ac:dyDescent="0.2">
      <c r="A380" t="s">
        <v>763</v>
      </c>
      <c r="B380" s="7">
        <v>46131</v>
      </c>
      <c r="C380" s="7">
        <v>46240</v>
      </c>
      <c r="D380" t="s">
        <v>764</v>
      </c>
      <c r="E380" t="s">
        <v>33</v>
      </c>
      <c r="F380" t="s">
        <v>22</v>
      </c>
      <c r="G380" t="s">
        <v>34</v>
      </c>
      <c r="H380" t="s">
        <v>137</v>
      </c>
      <c r="I380" t="s">
        <v>99</v>
      </c>
      <c r="J380" t="s">
        <v>57</v>
      </c>
      <c r="K380" t="s">
        <v>37</v>
      </c>
      <c r="L380" t="s">
        <v>44</v>
      </c>
      <c r="M380" s="46">
        <v>98100</v>
      </c>
      <c r="N380">
        <v>0.16700000000000001</v>
      </c>
      <c r="O380">
        <v>0.1</v>
      </c>
      <c r="P380" t="s">
        <v>38</v>
      </c>
      <c r="R380">
        <v>109</v>
      </c>
      <c r="S380">
        <v>6807.61</v>
      </c>
      <c r="T380">
        <f>Deals_[[#This Row],[Amount]]*Deals_[[#This Row],[Probability_Pct]]</f>
        <v>9810</v>
      </c>
    </row>
    <row r="381" spans="1:20" x14ac:dyDescent="0.2">
      <c r="A381" t="s">
        <v>765</v>
      </c>
      <c r="B381" s="7">
        <v>46251</v>
      </c>
      <c r="C381" s="7">
        <v>46277</v>
      </c>
      <c r="D381" t="s">
        <v>766</v>
      </c>
      <c r="E381" t="s">
        <v>54</v>
      </c>
      <c r="F381" t="s">
        <v>48</v>
      </c>
      <c r="G381" t="s">
        <v>63</v>
      </c>
      <c r="H381" t="s">
        <v>120</v>
      </c>
      <c r="I381" t="s">
        <v>99</v>
      </c>
      <c r="J381" t="s">
        <v>85</v>
      </c>
      <c r="K381" t="s">
        <v>50</v>
      </c>
      <c r="L381" t="s">
        <v>44</v>
      </c>
      <c r="M381" s="46">
        <v>9400</v>
      </c>
      <c r="N381">
        <v>0.159</v>
      </c>
      <c r="O381">
        <v>1</v>
      </c>
      <c r="P381" t="s">
        <v>29</v>
      </c>
      <c r="R381">
        <v>26</v>
      </c>
      <c r="S381">
        <v>658.65</v>
      </c>
      <c r="T381">
        <f>Deals_[[#This Row],[Amount]]*Deals_[[#This Row],[Probability_Pct]]</f>
        <v>9400</v>
      </c>
    </row>
    <row r="382" spans="1:20" x14ac:dyDescent="0.2">
      <c r="A382" t="s">
        <v>767</v>
      </c>
      <c r="B382" s="7">
        <v>46005</v>
      </c>
      <c r="C382" s="7">
        <v>46116</v>
      </c>
      <c r="D382" t="s">
        <v>706</v>
      </c>
      <c r="E382" t="s">
        <v>91</v>
      </c>
      <c r="F382" t="s">
        <v>74</v>
      </c>
      <c r="G382" t="s">
        <v>63</v>
      </c>
      <c r="H382" t="s">
        <v>69</v>
      </c>
      <c r="I382" t="s">
        <v>99</v>
      </c>
      <c r="J382" t="s">
        <v>57</v>
      </c>
      <c r="K382" t="s">
        <v>106</v>
      </c>
      <c r="L382" t="s">
        <v>44</v>
      </c>
      <c r="M382" s="46">
        <v>279300</v>
      </c>
      <c r="N382">
        <v>1.4E-2</v>
      </c>
      <c r="O382">
        <v>0.2</v>
      </c>
      <c r="P382" t="s">
        <v>38</v>
      </c>
      <c r="R382">
        <v>111</v>
      </c>
      <c r="S382">
        <v>22945.97</v>
      </c>
      <c r="T382">
        <f>Deals_[[#This Row],[Amount]]*Deals_[[#This Row],[Probability_Pct]]</f>
        <v>55860</v>
      </c>
    </row>
    <row r="383" spans="1:20" x14ac:dyDescent="0.2">
      <c r="A383" t="s">
        <v>768</v>
      </c>
      <c r="B383" s="7">
        <v>46098</v>
      </c>
      <c r="C383" s="7">
        <v>46143</v>
      </c>
      <c r="D383" t="s">
        <v>769</v>
      </c>
      <c r="E383" t="s">
        <v>33</v>
      </c>
      <c r="F383" t="s">
        <v>48</v>
      </c>
      <c r="G383" t="s">
        <v>92</v>
      </c>
      <c r="H383" t="s">
        <v>120</v>
      </c>
      <c r="I383" t="s">
        <v>25</v>
      </c>
      <c r="J383" t="s">
        <v>36</v>
      </c>
      <c r="K383" t="s">
        <v>50</v>
      </c>
      <c r="L383" t="s">
        <v>51</v>
      </c>
      <c r="M383" s="46">
        <v>16000</v>
      </c>
      <c r="N383">
        <v>8.8999999999999996E-2</v>
      </c>
      <c r="O383">
        <v>1</v>
      </c>
      <c r="P383" t="s">
        <v>29</v>
      </c>
      <c r="R383">
        <v>45</v>
      </c>
      <c r="S383">
        <v>1214.1600000000001</v>
      </c>
      <c r="T383">
        <f>Deals_[[#This Row],[Amount]]*Deals_[[#This Row],[Probability_Pct]]</f>
        <v>16000</v>
      </c>
    </row>
    <row r="384" spans="1:20" x14ac:dyDescent="0.2">
      <c r="A384" t="s">
        <v>770</v>
      </c>
      <c r="B384" s="7">
        <v>46059</v>
      </c>
      <c r="C384" s="7">
        <v>46155</v>
      </c>
      <c r="D384" t="s">
        <v>771</v>
      </c>
      <c r="E384" t="s">
        <v>111</v>
      </c>
      <c r="F384" t="s">
        <v>48</v>
      </c>
      <c r="G384" t="s">
        <v>63</v>
      </c>
      <c r="H384" t="s">
        <v>64</v>
      </c>
      <c r="I384" t="s">
        <v>84</v>
      </c>
      <c r="J384" t="s">
        <v>57</v>
      </c>
      <c r="K384" t="s">
        <v>37</v>
      </c>
      <c r="L384" t="s">
        <v>44</v>
      </c>
      <c r="M384" s="46">
        <v>18400</v>
      </c>
      <c r="N384">
        <v>0.19700000000000001</v>
      </c>
      <c r="O384">
        <v>0.05</v>
      </c>
      <c r="P384" t="s">
        <v>38</v>
      </c>
      <c r="R384">
        <v>96</v>
      </c>
      <c r="S384">
        <v>1231.19</v>
      </c>
      <c r="T384">
        <f>Deals_[[#This Row],[Amount]]*Deals_[[#This Row],[Probability_Pct]]</f>
        <v>920</v>
      </c>
    </row>
    <row r="385" spans="1:20" x14ac:dyDescent="0.2">
      <c r="A385" t="s">
        <v>772</v>
      </c>
      <c r="B385" s="7">
        <v>45954</v>
      </c>
      <c r="C385" s="7">
        <v>46001</v>
      </c>
      <c r="D385" t="s">
        <v>773</v>
      </c>
      <c r="E385" t="s">
        <v>91</v>
      </c>
      <c r="F385" t="s">
        <v>22</v>
      </c>
      <c r="G385" t="s">
        <v>63</v>
      </c>
      <c r="H385" t="s">
        <v>41</v>
      </c>
      <c r="I385" t="s">
        <v>84</v>
      </c>
      <c r="J385" t="s">
        <v>43</v>
      </c>
      <c r="K385" t="s">
        <v>88</v>
      </c>
      <c r="L385" t="s">
        <v>28</v>
      </c>
      <c r="M385" s="46">
        <v>34700</v>
      </c>
      <c r="N385">
        <v>2E-3</v>
      </c>
      <c r="O385">
        <v>0.35</v>
      </c>
      <c r="P385" t="s">
        <v>38</v>
      </c>
      <c r="R385">
        <v>47</v>
      </c>
      <c r="S385">
        <v>2886.26</v>
      </c>
      <c r="T385">
        <f>Deals_[[#This Row],[Amount]]*Deals_[[#This Row],[Probability_Pct]]</f>
        <v>12145</v>
      </c>
    </row>
    <row r="386" spans="1:20" x14ac:dyDescent="0.2">
      <c r="A386" t="s">
        <v>774</v>
      </c>
      <c r="B386" s="7">
        <v>45993</v>
      </c>
      <c r="C386" s="7">
        <v>46052</v>
      </c>
      <c r="D386" t="s">
        <v>775</v>
      </c>
      <c r="E386" t="s">
        <v>62</v>
      </c>
      <c r="F386" t="s">
        <v>48</v>
      </c>
      <c r="G386" t="s">
        <v>63</v>
      </c>
      <c r="H386" t="s">
        <v>24</v>
      </c>
      <c r="I386" t="s">
        <v>84</v>
      </c>
      <c r="J386" t="s">
        <v>43</v>
      </c>
      <c r="K386" t="s">
        <v>50</v>
      </c>
      <c r="L386" t="s">
        <v>28</v>
      </c>
      <c r="M386" s="46">
        <v>20300</v>
      </c>
      <c r="N386">
        <v>0.121</v>
      </c>
      <c r="O386">
        <v>1</v>
      </c>
      <c r="P386" t="s">
        <v>29</v>
      </c>
      <c r="R386">
        <v>59</v>
      </c>
      <c r="S386">
        <v>1486.81</v>
      </c>
      <c r="T386">
        <f>Deals_[[#This Row],[Amount]]*Deals_[[#This Row],[Probability_Pct]]</f>
        <v>20300</v>
      </c>
    </row>
    <row r="387" spans="1:20" x14ac:dyDescent="0.2">
      <c r="A387" t="s">
        <v>776</v>
      </c>
      <c r="B387" s="7">
        <v>46001</v>
      </c>
      <c r="C387" s="7">
        <v>46038</v>
      </c>
      <c r="D387" t="s">
        <v>777</v>
      </c>
      <c r="E387" t="s">
        <v>91</v>
      </c>
      <c r="F387" t="s">
        <v>22</v>
      </c>
      <c r="G387" t="s">
        <v>63</v>
      </c>
      <c r="H387" t="s">
        <v>137</v>
      </c>
      <c r="I387" t="s">
        <v>42</v>
      </c>
      <c r="J387" t="s">
        <v>57</v>
      </c>
      <c r="K387" t="s">
        <v>88</v>
      </c>
      <c r="L387" t="s">
        <v>44</v>
      </c>
      <c r="M387" s="46">
        <v>38900</v>
      </c>
      <c r="N387">
        <v>0.13</v>
      </c>
      <c r="O387">
        <v>0.35</v>
      </c>
      <c r="P387" t="s">
        <v>38</v>
      </c>
      <c r="R387">
        <v>37</v>
      </c>
      <c r="S387">
        <v>2820.57</v>
      </c>
      <c r="T387">
        <f>Deals_[[#This Row],[Amount]]*Deals_[[#This Row],[Probability_Pct]]</f>
        <v>13615</v>
      </c>
    </row>
    <row r="388" spans="1:20" x14ac:dyDescent="0.2">
      <c r="A388" t="s">
        <v>778</v>
      </c>
      <c r="B388" s="7">
        <v>46095</v>
      </c>
      <c r="C388" s="7">
        <v>46126</v>
      </c>
      <c r="D388" t="s">
        <v>650</v>
      </c>
      <c r="E388" t="s">
        <v>68</v>
      </c>
      <c r="F388" t="s">
        <v>22</v>
      </c>
      <c r="G388" t="s">
        <v>34</v>
      </c>
      <c r="H388" t="s">
        <v>120</v>
      </c>
      <c r="I388" t="s">
        <v>42</v>
      </c>
      <c r="J388" t="s">
        <v>85</v>
      </c>
      <c r="K388" t="s">
        <v>50</v>
      </c>
      <c r="L388" t="s">
        <v>51</v>
      </c>
      <c r="M388" s="46">
        <v>50900</v>
      </c>
      <c r="N388">
        <v>0.16900000000000001</v>
      </c>
      <c r="O388">
        <v>1</v>
      </c>
      <c r="P388" t="s">
        <v>29</v>
      </c>
      <c r="R388">
        <v>31</v>
      </c>
      <c r="S388">
        <v>3526.17</v>
      </c>
      <c r="T388">
        <f>Deals_[[#This Row],[Amount]]*Deals_[[#This Row],[Probability_Pct]]</f>
        <v>50900</v>
      </c>
    </row>
    <row r="389" spans="1:20" x14ac:dyDescent="0.2">
      <c r="A389" t="s">
        <v>779</v>
      </c>
      <c r="B389" s="7">
        <v>45996</v>
      </c>
      <c r="C389" s="7">
        <v>46044</v>
      </c>
      <c r="D389" t="s">
        <v>780</v>
      </c>
      <c r="E389" t="s">
        <v>68</v>
      </c>
      <c r="F389" t="s">
        <v>48</v>
      </c>
      <c r="G389" t="s">
        <v>34</v>
      </c>
      <c r="H389" t="s">
        <v>64</v>
      </c>
      <c r="I389" t="s">
        <v>99</v>
      </c>
      <c r="J389" t="s">
        <v>43</v>
      </c>
      <c r="K389" t="s">
        <v>27</v>
      </c>
      <c r="L389" t="s">
        <v>51</v>
      </c>
      <c r="M389" s="46">
        <v>7400</v>
      </c>
      <c r="N389">
        <v>9.9000000000000005E-2</v>
      </c>
      <c r="O389">
        <v>0.05</v>
      </c>
      <c r="P389" t="s">
        <v>29</v>
      </c>
      <c r="Q389" t="s">
        <v>30</v>
      </c>
      <c r="R389">
        <v>48</v>
      </c>
      <c r="S389">
        <v>555.5</v>
      </c>
      <c r="T389">
        <f>Deals_[[#This Row],[Amount]]*Deals_[[#This Row],[Probability_Pct]]</f>
        <v>370</v>
      </c>
    </row>
    <row r="390" spans="1:20" x14ac:dyDescent="0.2">
      <c r="A390" t="s">
        <v>781</v>
      </c>
      <c r="B390" s="7">
        <v>45985</v>
      </c>
      <c r="C390" s="7">
        <v>46028</v>
      </c>
      <c r="D390" t="s">
        <v>136</v>
      </c>
      <c r="E390" t="s">
        <v>111</v>
      </c>
      <c r="F390" t="s">
        <v>48</v>
      </c>
      <c r="G390" t="s">
        <v>55</v>
      </c>
      <c r="H390" t="s">
        <v>64</v>
      </c>
      <c r="I390" t="s">
        <v>42</v>
      </c>
      <c r="J390" t="s">
        <v>36</v>
      </c>
      <c r="K390" t="s">
        <v>88</v>
      </c>
      <c r="L390" t="s">
        <v>51</v>
      </c>
      <c r="M390" s="46">
        <v>18500</v>
      </c>
      <c r="N390">
        <v>0.1</v>
      </c>
      <c r="O390">
        <v>0.3</v>
      </c>
      <c r="P390" t="s">
        <v>38</v>
      </c>
      <c r="R390">
        <v>43</v>
      </c>
      <c r="S390">
        <v>1387.57</v>
      </c>
      <c r="T390">
        <f>Deals_[[#This Row],[Amount]]*Deals_[[#This Row],[Probability_Pct]]</f>
        <v>5550</v>
      </c>
    </row>
    <row r="391" spans="1:20" x14ac:dyDescent="0.2">
      <c r="A391" t="s">
        <v>782</v>
      </c>
      <c r="B391" s="7">
        <v>46102</v>
      </c>
      <c r="C391" s="7">
        <v>46219</v>
      </c>
      <c r="D391" t="s">
        <v>783</v>
      </c>
      <c r="E391" t="s">
        <v>62</v>
      </c>
      <c r="F391" t="s">
        <v>74</v>
      </c>
      <c r="G391" t="s">
        <v>55</v>
      </c>
      <c r="H391" t="s">
        <v>56</v>
      </c>
      <c r="I391" t="s">
        <v>42</v>
      </c>
      <c r="J391" t="s">
        <v>26</v>
      </c>
      <c r="K391" t="s">
        <v>106</v>
      </c>
      <c r="L391" t="s">
        <v>44</v>
      </c>
      <c r="M391" s="46">
        <v>282900</v>
      </c>
      <c r="N391">
        <v>0.129</v>
      </c>
      <c r="O391">
        <v>0.25</v>
      </c>
      <c r="P391" t="s">
        <v>38</v>
      </c>
      <c r="R391">
        <v>117</v>
      </c>
      <c r="S391">
        <v>20535.46</v>
      </c>
      <c r="T391">
        <f>Deals_[[#This Row],[Amount]]*Deals_[[#This Row],[Probability_Pct]]</f>
        <v>70725</v>
      </c>
    </row>
    <row r="392" spans="1:20" x14ac:dyDescent="0.2">
      <c r="A392" t="s">
        <v>784</v>
      </c>
      <c r="B392" s="7">
        <v>45946</v>
      </c>
      <c r="C392" s="7">
        <v>45977</v>
      </c>
      <c r="D392" t="s">
        <v>644</v>
      </c>
      <c r="E392" t="s">
        <v>82</v>
      </c>
      <c r="F392" t="s">
        <v>22</v>
      </c>
      <c r="G392" t="s">
        <v>55</v>
      </c>
      <c r="H392" t="s">
        <v>98</v>
      </c>
      <c r="I392" t="s">
        <v>42</v>
      </c>
      <c r="J392" t="s">
        <v>85</v>
      </c>
      <c r="K392" t="s">
        <v>58</v>
      </c>
      <c r="L392" t="s">
        <v>28</v>
      </c>
      <c r="M392" s="46">
        <v>99400</v>
      </c>
      <c r="N392">
        <v>0.121</v>
      </c>
      <c r="O392">
        <v>0.7</v>
      </c>
      <c r="P392" t="s">
        <v>59</v>
      </c>
      <c r="R392">
        <v>31</v>
      </c>
      <c r="S392">
        <v>7283.9</v>
      </c>
      <c r="T392">
        <f>Deals_[[#This Row],[Amount]]*Deals_[[#This Row],[Probability_Pct]]</f>
        <v>69580</v>
      </c>
    </row>
    <row r="393" spans="1:20" x14ac:dyDescent="0.2">
      <c r="A393" t="s">
        <v>785</v>
      </c>
      <c r="B393" s="7">
        <v>46039</v>
      </c>
      <c r="C393" s="7">
        <v>46117</v>
      </c>
      <c r="D393" t="s">
        <v>61</v>
      </c>
      <c r="E393" t="s">
        <v>33</v>
      </c>
      <c r="F393" t="s">
        <v>48</v>
      </c>
      <c r="G393" t="s">
        <v>34</v>
      </c>
      <c r="H393" t="s">
        <v>56</v>
      </c>
      <c r="I393" t="s">
        <v>99</v>
      </c>
      <c r="J393" t="s">
        <v>57</v>
      </c>
      <c r="K393" t="s">
        <v>50</v>
      </c>
      <c r="L393" t="s">
        <v>28</v>
      </c>
      <c r="M393" s="46">
        <v>12600</v>
      </c>
      <c r="N393">
        <v>0.19400000000000001</v>
      </c>
      <c r="O393">
        <v>1</v>
      </c>
      <c r="P393" t="s">
        <v>29</v>
      </c>
      <c r="R393">
        <v>78</v>
      </c>
      <c r="S393">
        <v>846.28</v>
      </c>
      <c r="T393">
        <f>Deals_[[#This Row],[Amount]]*Deals_[[#This Row],[Probability_Pct]]</f>
        <v>12600</v>
      </c>
    </row>
    <row r="394" spans="1:20" x14ac:dyDescent="0.2">
      <c r="A394" t="s">
        <v>786</v>
      </c>
      <c r="B394" s="7">
        <v>46132</v>
      </c>
      <c r="C394" s="7">
        <v>46176</v>
      </c>
      <c r="D394" t="s">
        <v>598</v>
      </c>
      <c r="E394" t="s">
        <v>111</v>
      </c>
      <c r="F394" t="s">
        <v>74</v>
      </c>
      <c r="G394" t="s">
        <v>23</v>
      </c>
      <c r="H394" t="s">
        <v>120</v>
      </c>
      <c r="I394" t="s">
        <v>42</v>
      </c>
      <c r="J394" t="s">
        <v>43</v>
      </c>
      <c r="K394" t="s">
        <v>58</v>
      </c>
      <c r="L394" t="s">
        <v>28</v>
      </c>
      <c r="M394" s="46">
        <v>349100</v>
      </c>
      <c r="N394">
        <v>2.5999999999999999E-2</v>
      </c>
      <c r="O394">
        <v>0.8</v>
      </c>
      <c r="P394" t="s">
        <v>59</v>
      </c>
      <c r="R394">
        <v>44</v>
      </c>
      <c r="S394">
        <v>28347.87</v>
      </c>
      <c r="T394">
        <f>Deals_[[#This Row],[Amount]]*Deals_[[#This Row],[Probability_Pct]]</f>
        <v>279280</v>
      </c>
    </row>
    <row r="395" spans="1:20" x14ac:dyDescent="0.2">
      <c r="A395" t="s">
        <v>787</v>
      </c>
      <c r="B395" s="7">
        <v>46223</v>
      </c>
      <c r="C395" s="7">
        <v>46258</v>
      </c>
      <c r="D395" t="s">
        <v>788</v>
      </c>
      <c r="E395" t="s">
        <v>54</v>
      </c>
      <c r="F395" t="s">
        <v>48</v>
      </c>
      <c r="G395" t="s">
        <v>55</v>
      </c>
      <c r="H395" t="s">
        <v>24</v>
      </c>
      <c r="I395" t="s">
        <v>84</v>
      </c>
      <c r="J395" t="s">
        <v>85</v>
      </c>
      <c r="K395" t="s">
        <v>78</v>
      </c>
      <c r="L395" t="s">
        <v>51</v>
      </c>
      <c r="M395" s="46">
        <v>10800</v>
      </c>
      <c r="N395">
        <v>0.14899999999999999</v>
      </c>
      <c r="O395">
        <v>0.5</v>
      </c>
      <c r="P395" t="s">
        <v>79</v>
      </c>
      <c r="R395">
        <v>35</v>
      </c>
      <c r="S395">
        <v>765.5</v>
      </c>
      <c r="T395">
        <f>Deals_[[#This Row],[Amount]]*Deals_[[#This Row],[Probability_Pct]]</f>
        <v>5400</v>
      </c>
    </row>
    <row r="396" spans="1:20" x14ac:dyDescent="0.2">
      <c r="A396" t="s">
        <v>789</v>
      </c>
      <c r="B396" s="7">
        <v>46225</v>
      </c>
      <c r="C396" s="7">
        <v>46246</v>
      </c>
      <c r="D396" t="s">
        <v>790</v>
      </c>
      <c r="E396" t="s">
        <v>33</v>
      </c>
      <c r="F396" t="s">
        <v>48</v>
      </c>
      <c r="G396" t="s">
        <v>34</v>
      </c>
      <c r="H396" t="s">
        <v>83</v>
      </c>
      <c r="I396" t="s">
        <v>99</v>
      </c>
      <c r="J396" t="s">
        <v>85</v>
      </c>
      <c r="K396" t="s">
        <v>50</v>
      </c>
      <c r="L396" t="s">
        <v>51</v>
      </c>
      <c r="M396" s="46">
        <v>27400</v>
      </c>
      <c r="N396">
        <v>0.158</v>
      </c>
      <c r="O396">
        <v>1</v>
      </c>
      <c r="P396" t="s">
        <v>29</v>
      </c>
      <c r="R396">
        <v>21</v>
      </c>
      <c r="S396">
        <v>1921.91</v>
      </c>
      <c r="T396">
        <f>Deals_[[#This Row],[Amount]]*Deals_[[#This Row],[Probability_Pct]]</f>
        <v>27400</v>
      </c>
    </row>
    <row r="397" spans="1:20" x14ac:dyDescent="0.2">
      <c r="A397" t="s">
        <v>791</v>
      </c>
      <c r="B397" s="7">
        <v>46252</v>
      </c>
      <c r="C397" s="7">
        <v>46277</v>
      </c>
      <c r="D397" t="s">
        <v>163</v>
      </c>
      <c r="E397" t="s">
        <v>111</v>
      </c>
      <c r="F397" t="s">
        <v>48</v>
      </c>
      <c r="G397" t="s">
        <v>34</v>
      </c>
      <c r="H397" t="s">
        <v>56</v>
      </c>
      <c r="I397" t="s">
        <v>42</v>
      </c>
      <c r="J397" t="s">
        <v>43</v>
      </c>
      <c r="K397" t="s">
        <v>50</v>
      </c>
      <c r="L397" t="s">
        <v>51</v>
      </c>
      <c r="M397" s="46">
        <v>6900</v>
      </c>
      <c r="N397">
        <v>5.8999999999999997E-2</v>
      </c>
      <c r="O397">
        <v>0.95</v>
      </c>
      <c r="P397" t="s">
        <v>29</v>
      </c>
      <c r="R397">
        <v>25</v>
      </c>
      <c r="S397">
        <v>541.25</v>
      </c>
      <c r="T397">
        <f>Deals_[[#This Row],[Amount]]*Deals_[[#This Row],[Probability_Pct]]</f>
        <v>6555</v>
      </c>
    </row>
    <row r="398" spans="1:20" x14ac:dyDescent="0.2">
      <c r="A398" t="s">
        <v>792</v>
      </c>
      <c r="B398" s="7">
        <v>46001</v>
      </c>
      <c r="C398" s="7">
        <v>46092</v>
      </c>
      <c r="D398" t="s">
        <v>793</v>
      </c>
      <c r="E398" t="s">
        <v>54</v>
      </c>
      <c r="F398" t="s">
        <v>22</v>
      </c>
      <c r="G398" t="s">
        <v>55</v>
      </c>
      <c r="H398" t="s">
        <v>95</v>
      </c>
      <c r="I398" t="s">
        <v>42</v>
      </c>
      <c r="J398" t="s">
        <v>85</v>
      </c>
      <c r="K398" t="s">
        <v>58</v>
      </c>
      <c r="L398" t="s">
        <v>28</v>
      </c>
      <c r="M398" s="46">
        <v>87200</v>
      </c>
      <c r="N398">
        <v>0.14699999999999999</v>
      </c>
      <c r="O398">
        <v>0.8</v>
      </c>
      <c r="P398" t="s">
        <v>59</v>
      </c>
      <c r="R398">
        <v>91</v>
      </c>
      <c r="S398">
        <v>6199.96</v>
      </c>
      <c r="T398">
        <f>Deals_[[#This Row],[Amount]]*Deals_[[#This Row],[Probability_Pct]]</f>
        <v>69760</v>
      </c>
    </row>
    <row r="399" spans="1:20" x14ac:dyDescent="0.2">
      <c r="A399" t="s">
        <v>794</v>
      </c>
      <c r="B399" s="7">
        <v>46102</v>
      </c>
      <c r="C399" s="7">
        <v>46145</v>
      </c>
      <c r="D399" t="s">
        <v>566</v>
      </c>
      <c r="E399" t="s">
        <v>82</v>
      </c>
      <c r="F399" t="s">
        <v>48</v>
      </c>
      <c r="G399" t="s">
        <v>23</v>
      </c>
      <c r="H399" t="s">
        <v>24</v>
      </c>
      <c r="I399" t="s">
        <v>25</v>
      </c>
      <c r="J399" t="s">
        <v>43</v>
      </c>
      <c r="K399" t="s">
        <v>37</v>
      </c>
      <c r="L399" t="s">
        <v>44</v>
      </c>
      <c r="M399" s="46">
        <v>17500</v>
      </c>
      <c r="N399">
        <v>0.13200000000000001</v>
      </c>
      <c r="O399">
        <v>0.1</v>
      </c>
      <c r="P399" t="s">
        <v>38</v>
      </c>
      <c r="R399">
        <v>43</v>
      </c>
      <c r="S399">
        <v>1266.43</v>
      </c>
      <c r="T399">
        <f>Deals_[[#This Row],[Amount]]*Deals_[[#This Row],[Probability_Pct]]</f>
        <v>1750</v>
      </c>
    </row>
    <row r="400" spans="1:20" x14ac:dyDescent="0.2">
      <c r="A400" t="s">
        <v>795</v>
      </c>
      <c r="B400" s="7">
        <v>46189</v>
      </c>
      <c r="C400" s="7">
        <v>46243</v>
      </c>
      <c r="D400" t="s">
        <v>796</v>
      </c>
      <c r="E400" t="s">
        <v>62</v>
      </c>
      <c r="F400" t="s">
        <v>74</v>
      </c>
      <c r="G400" t="s">
        <v>92</v>
      </c>
      <c r="H400" t="s">
        <v>98</v>
      </c>
      <c r="I400" t="s">
        <v>25</v>
      </c>
      <c r="J400" t="s">
        <v>26</v>
      </c>
      <c r="K400" t="s">
        <v>78</v>
      </c>
      <c r="L400" t="s">
        <v>44</v>
      </c>
      <c r="M400" s="46">
        <v>270600</v>
      </c>
      <c r="N400">
        <v>7.2999999999999995E-2</v>
      </c>
      <c r="O400">
        <v>0.55000000000000004</v>
      </c>
      <c r="P400" t="s">
        <v>79</v>
      </c>
      <c r="R400">
        <v>54</v>
      </c>
      <c r="S400">
        <v>20900</v>
      </c>
      <c r="T400">
        <f>Deals_[[#This Row],[Amount]]*Deals_[[#This Row],[Probability_Pct]]</f>
        <v>148830</v>
      </c>
    </row>
    <row r="401" spans="1:20" x14ac:dyDescent="0.2">
      <c r="A401" t="s">
        <v>797</v>
      </c>
      <c r="B401" s="7">
        <v>46178</v>
      </c>
      <c r="C401" s="7">
        <v>46205</v>
      </c>
      <c r="D401" t="s">
        <v>798</v>
      </c>
      <c r="E401" t="s">
        <v>111</v>
      </c>
      <c r="F401" t="s">
        <v>48</v>
      </c>
      <c r="G401" t="s">
        <v>55</v>
      </c>
      <c r="H401" t="s">
        <v>95</v>
      </c>
      <c r="I401" t="s">
        <v>65</v>
      </c>
      <c r="J401" t="s">
        <v>26</v>
      </c>
      <c r="K401" t="s">
        <v>37</v>
      </c>
      <c r="L401" t="s">
        <v>44</v>
      </c>
      <c r="M401" s="46">
        <v>17700</v>
      </c>
      <c r="N401">
        <v>0.14799999999999999</v>
      </c>
      <c r="O401">
        <v>0.1</v>
      </c>
      <c r="P401" t="s">
        <v>38</v>
      </c>
      <c r="R401">
        <v>27</v>
      </c>
      <c r="S401">
        <v>1257.1300000000001</v>
      </c>
      <c r="T401">
        <f>Deals_[[#This Row],[Amount]]*Deals_[[#This Row],[Probability_Pct]]</f>
        <v>1770</v>
      </c>
    </row>
    <row r="402" spans="1:20" x14ac:dyDescent="0.2">
      <c r="A402" t="s">
        <v>799</v>
      </c>
      <c r="B402" s="7">
        <v>46132</v>
      </c>
      <c r="C402" s="7">
        <v>46211</v>
      </c>
      <c r="D402" t="s">
        <v>800</v>
      </c>
      <c r="E402" t="s">
        <v>54</v>
      </c>
      <c r="F402" t="s">
        <v>48</v>
      </c>
      <c r="G402" t="s">
        <v>34</v>
      </c>
      <c r="H402" t="s">
        <v>49</v>
      </c>
      <c r="I402" t="s">
        <v>42</v>
      </c>
      <c r="J402" t="s">
        <v>57</v>
      </c>
      <c r="K402" t="s">
        <v>88</v>
      </c>
      <c r="L402" t="s">
        <v>28</v>
      </c>
      <c r="M402" s="46">
        <v>9600</v>
      </c>
      <c r="N402">
        <v>9.8000000000000004E-2</v>
      </c>
      <c r="O402">
        <v>0.3</v>
      </c>
      <c r="P402" t="s">
        <v>38</v>
      </c>
      <c r="R402">
        <v>79</v>
      </c>
      <c r="S402">
        <v>721.62</v>
      </c>
      <c r="T402">
        <f>Deals_[[#This Row],[Amount]]*Deals_[[#This Row],[Probability_Pct]]</f>
        <v>2880</v>
      </c>
    </row>
    <row r="403" spans="1:20" x14ac:dyDescent="0.2">
      <c r="A403" t="s">
        <v>801</v>
      </c>
      <c r="B403" s="7">
        <v>46063</v>
      </c>
      <c r="C403" s="7">
        <v>46092</v>
      </c>
      <c r="D403" t="s">
        <v>736</v>
      </c>
      <c r="E403" t="s">
        <v>68</v>
      </c>
      <c r="F403" t="s">
        <v>22</v>
      </c>
      <c r="G403" t="s">
        <v>63</v>
      </c>
      <c r="H403" t="s">
        <v>69</v>
      </c>
      <c r="I403" t="s">
        <v>35</v>
      </c>
      <c r="J403" t="s">
        <v>36</v>
      </c>
      <c r="K403" t="s">
        <v>58</v>
      </c>
      <c r="L403" t="s">
        <v>28</v>
      </c>
      <c r="M403" s="46">
        <v>60500</v>
      </c>
      <c r="N403">
        <v>5.2999999999999999E-2</v>
      </c>
      <c r="O403">
        <v>0.75</v>
      </c>
      <c r="P403" t="s">
        <v>59</v>
      </c>
      <c r="R403">
        <v>29</v>
      </c>
      <c r="S403">
        <v>4773.97</v>
      </c>
      <c r="T403">
        <f>Deals_[[#This Row],[Amount]]*Deals_[[#This Row],[Probability_Pct]]</f>
        <v>45375</v>
      </c>
    </row>
    <row r="404" spans="1:20" x14ac:dyDescent="0.2">
      <c r="A404" t="s">
        <v>802</v>
      </c>
      <c r="B404" s="7">
        <v>46130</v>
      </c>
      <c r="C404" s="7">
        <v>46193</v>
      </c>
      <c r="D404" t="s">
        <v>803</v>
      </c>
      <c r="E404" t="s">
        <v>111</v>
      </c>
      <c r="F404" t="s">
        <v>48</v>
      </c>
      <c r="G404" t="s">
        <v>34</v>
      </c>
      <c r="H404" t="s">
        <v>64</v>
      </c>
      <c r="I404" t="s">
        <v>35</v>
      </c>
      <c r="J404" t="s">
        <v>85</v>
      </c>
      <c r="K404" t="s">
        <v>78</v>
      </c>
      <c r="L404" t="s">
        <v>44</v>
      </c>
      <c r="M404" s="46">
        <v>29400</v>
      </c>
      <c r="N404">
        <v>0.14699999999999999</v>
      </c>
      <c r="O404">
        <v>0.55000000000000004</v>
      </c>
      <c r="P404" t="s">
        <v>79</v>
      </c>
      <c r="R404">
        <v>63</v>
      </c>
      <c r="S404">
        <v>2090.6799999999998</v>
      </c>
      <c r="T404">
        <f>Deals_[[#This Row],[Amount]]*Deals_[[#This Row],[Probability_Pct]]</f>
        <v>16170.000000000002</v>
      </c>
    </row>
    <row r="405" spans="1:20" x14ac:dyDescent="0.2">
      <c r="A405" t="s">
        <v>804</v>
      </c>
      <c r="B405" s="7">
        <v>46137</v>
      </c>
      <c r="C405" s="7">
        <v>46317</v>
      </c>
      <c r="D405" t="s">
        <v>805</v>
      </c>
      <c r="E405" t="s">
        <v>33</v>
      </c>
      <c r="F405" t="s">
        <v>48</v>
      </c>
      <c r="G405" t="s">
        <v>92</v>
      </c>
      <c r="H405" t="s">
        <v>56</v>
      </c>
      <c r="I405" t="s">
        <v>84</v>
      </c>
      <c r="J405" t="s">
        <v>26</v>
      </c>
      <c r="K405" t="s">
        <v>58</v>
      </c>
      <c r="L405" t="s">
        <v>44</v>
      </c>
      <c r="M405" s="46">
        <v>13300</v>
      </c>
      <c r="N405">
        <v>9.4E-2</v>
      </c>
      <c r="O405">
        <v>0.8</v>
      </c>
      <c r="P405" t="s">
        <v>59</v>
      </c>
      <c r="R405">
        <v>180</v>
      </c>
      <c r="S405">
        <v>1003.66</v>
      </c>
      <c r="T405">
        <f>Deals_[[#This Row],[Amount]]*Deals_[[#This Row],[Probability_Pct]]</f>
        <v>10640</v>
      </c>
    </row>
    <row r="406" spans="1:20" x14ac:dyDescent="0.2">
      <c r="A406" t="s">
        <v>806</v>
      </c>
      <c r="B406" s="7">
        <v>46039</v>
      </c>
      <c r="C406" s="7">
        <v>46130</v>
      </c>
      <c r="D406" t="s">
        <v>500</v>
      </c>
      <c r="E406" t="s">
        <v>68</v>
      </c>
      <c r="F406" t="s">
        <v>22</v>
      </c>
      <c r="G406" t="s">
        <v>34</v>
      </c>
      <c r="H406" t="s">
        <v>77</v>
      </c>
      <c r="I406" t="s">
        <v>42</v>
      </c>
      <c r="J406" t="s">
        <v>57</v>
      </c>
      <c r="K406" t="s">
        <v>58</v>
      </c>
      <c r="L406" t="s">
        <v>51</v>
      </c>
      <c r="M406" s="46">
        <v>42400</v>
      </c>
      <c r="N406">
        <v>1.4999999999999999E-2</v>
      </c>
      <c r="O406">
        <v>0.7</v>
      </c>
      <c r="P406" t="s">
        <v>59</v>
      </c>
      <c r="R406">
        <v>91</v>
      </c>
      <c r="S406">
        <v>3479.03</v>
      </c>
      <c r="T406">
        <f>Deals_[[#This Row],[Amount]]*Deals_[[#This Row],[Probability_Pct]]</f>
        <v>29679.999999999996</v>
      </c>
    </row>
    <row r="407" spans="1:20" x14ac:dyDescent="0.2">
      <c r="A407" t="s">
        <v>807</v>
      </c>
      <c r="B407" s="7">
        <v>45938</v>
      </c>
      <c r="C407" s="7">
        <v>46012</v>
      </c>
      <c r="D407" t="s">
        <v>625</v>
      </c>
      <c r="E407" t="s">
        <v>82</v>
      </c>
      <c r="F407" t="s">
        <v>22</v>
      </c>
      <c r="G407" t="s">
        <v>34</v>
      </c>
      <c r="H407" t="s">
        <v>137</v>
      </c>
      <c r="I407" t="s">
        <v>25</v>
      </c>
      <c r="J407" t="s">
        <v>26</v>
      </c>
      <c r="K407" t="s">
        <v>106</v>
      </c>
      <c r="L407" t="s">
        <v>44</v>
      </c>
      <c r="M407" s="46">
        <v>57500</v>
      </c>
      <c r="N407">
        <v>5.7000000000000002E-2</v>
      </c>
      <c r="O407">
        <v>0.25</v>
      </c>
      <c r="P407" t="s">
        <v>38</v>
      </c>
      <c r="R407">
        <v>74</v>
      </c>
      <c r="S407">
        <v>4516.8500000000004</v>
      </c>
      <c r="T407">
        <f>Deals_[[#This Row],[Amount]]*Deals_[[#This Row],[Probability_Pct]]</f>
        <v>14375</v>
      </c>
    </row>
    <row r="408" spans="1:20" x14ac:dyDescent="0.2">
      <c r="A408" t="s">
        <v>808</v>
      </c>
      <c r="B408" s="7">
        <v>45944</v>
      </c>
      <c r="C408" s="7">
        <v>46078</v>
      </c>
      <c r="D408" t="s">
        <v>809</v>
      </c>
      <c r="E408" t="s">
        <v>54</v>
      </c>
      <c r="F408" t="s">
        <v>48</v>
      </c>
      <c r="G408" t="s">
        <v>23</v>
      </c>
      <c r="H408" t="s">
        <v>137</v>
      </c>
      <c r="I408" t="s">
        <v>25</v>
      </c>
      <c r="J408" t="s">
        <v>36</v>
      </c>
      <c r="K408" t="s">
        <v>88</v>
      </c>
      <c r="L408" t="s">
        <v>28</v>
      </c>
      <c r="M408" s="46">
        <v>15600</v>
      </c>
      <c r="N408">
        <v>0.14199999999999999</v>
      </c>
      <c r="O408">
        <v>0.35</v>
      </c>
      <c r="P408" t="s">
        <v>38</v>
      </c>
      <c r="R408">
        <v>134</v>
      </c>
      <c r="S408">
        <v>1115.27</v>
      </c>
      <c r="T408">
        <f>Deals_[[#This Row],[Amount]]*Deals_[[#This Row],[Probability_Pct]]</f>
        <v>5460</v>
      </c>
    </row>
    <row r="409" spans="1:20" x14ac:dyDescent="0.2">
      <c r="A409" t="s">
        <v>810</v>
      </c>
      <c r="B409" s="7">
        <v>45966</v>
      </c>
      <c r="C409" s="7">
        <v>46132</v>
      </c>
      <c r="D409" t="s">
        <v>811</v>
      </c>
      <c r="E409" t="s">
        <v>111</v>
      </c>
      <c r="F409" t="s">
        <v>48</v>
      </c>
      <c r="G409" t="s">
        <v>34</v>
      </c>
      <c r="H409" t="s">
        <v>49</v>
      </c>
      <c r="I409" t="s">
        <v>84</v>
      </c>
      <c r="J409" t="s">
        <v>57</v>
      </c>
      <c r="K409" t="s">
        <v>50</v>
      </c>
      <c r="L409" t="s">
        <v>44</v>
      </c>
      <c r="M409" s="46">
        <v>11200</v>
      </c>
      <c r="N409">
        <v>0</v>
      </c>
      <c r="O409">
        <v>1</v>
      </c>
      <c r="P409" t="s">
        <v>29</v>
      </c>
      <c r="R409">
        <v>166</v>
      </c>
      <c r="S409">
        <v>933.33</v>
      </c>
      <c r="T409">
        <f>Deals_[[#This Row],[Amount]]*Deals_[[#This Row],[Probability_Pct]]</f>
        <v>11200</v>
      </c>
    </row>
    <row r="410" spans="1:20" x14ac:dyDescent="0.2">
      <c r="A410" t="s">
        <v>812</v>
      </c>
      <c r="B410" s="7">
        <v>45979</v>
      </c>
      <c r="C410" s="7">
        <v>46030</v>
      </c>
      <c r="D410" t="s">
        <v>549</v>
      </c>
      <c r="E410" t="s">
        <v>33</v>
      </c>
      <c r="F410" t="s">
        <v>48</v>
      </c>
      <c r="G410" t="s">
        <v>63</v>
      </c>
      <c r="H410" t="s">
        <v>64</v>
      </c>
      <c r="I410" t="s">
        <v>42</v>
      </c>
      <c r="J410" t="s">
        <v>26</v>
      </c>
      <c r="K410" t="s">
        <v>106</v>
      </c>
      <c r="L410" t="s">
        <v>51</v>
      </c>
      <c r="M410" s="46">
        <v>21500</v>
      </c>
      <c r="N410">
        <v>0.14799999999999999</v>
      </c>
      <c r="O410">
        <v>0.2</v>
      </c>
      <c r="P410" t="s">
        <v>38</v>
      </c>
      <c r="R410">
        <v>51</v>
      </c>
      <c r="S410">
        <v>1526.88</v>
      </c>
      <c r="T410">
        <f>Deals_[[#This Row],[Amount]]*Deals_[[#This Row],[Probability_Pct]]</f>
        <v>4300</v>
      </c>
    </row>
    <row r="411" spans="1:20" x14ac:dyDescent="0.2">
      <c r="A411" t="s">
        <v>813</v>
      </c>
      <c r="B411" s="7">
        <v>46081</v>
      </c>
      <c r="C411" s="7">
        <v>46124</v>
      </c>
      <c r="D411" t="s">
        <v>269</v>
      </c>
      <c r="E411" t="s">
        <v>54</v>
      </c>
      <c r="F411" t="s">
        <v>48</v>
      </c>
      <c r="G411" t="s">
        <v>34</v>
      </c>
      <c r="H411" t="s">
        <v>49</v>
      </c>
      <c r="I411" t="s">
        <v>25</v>
      </c>
      <c r="J411" t="s">
        <v>26</v>
      </c>
      <c r="K411" t="s">
        <v>27</v>
      </c>
      <c r="L411" t="s">
        <v>51</v>
      </c>
      <c r="M411" s="46">
        <v>6200</v>
      </c>
      <c r="N411">
        <v>4.1000000000000002E-2</v>
      </c>
      <c r="O411">
        <v>0</v>
      </c>
      <c r="P411" t="s">
        <v>29</v>
      </c>
      <c r="Q411" t="s">
        <v>45</v>
      </c>
      <c r="R411">
        <v>43</v>
      </c>
      <c r="S411">
        <v>495.59</v>
      </c>
      <c r="T411">
        <f>Deals_[[#This Row],[Amount]]*Deals_[[#This Row],[Probability_Pct]]</f>
        <v>0</v>
      </c>
    </row>
    <row r="412" spans="1:20" x14ac:dyDescent="0.2">
      <c r="A412" t="s">
        <v>814</v>
      </c>
      <c r="B412" s="7">
        <v>46184</v>
      </c>
      <c r="C412" s="7">
        <v>46246</v>
      </c>
      <c r="D412" t="s">
        <v>90</v>
      </c>
      <c r="E412" t="s">
        <v>91</v>
      </c>
      <c r="F412" t="s">
        <v>22</v>
      </c>
      <c r="G412" t="s">
        <v>23</v>
      </c>
      <c r="H412" t="s">
        <v>64</v>
      </c>
      <c r="I412" t="s">
        <v>25</v>
      </c>
      <c r="J412" t="s">
        <v>36</v>
      </c>
      <c r="K412" t="s">
        <v>88</v>
      </c>
      <c r="L412" t="s">
        <v>51</v>
      </c>
      <c r="M412" s="46">
        <v>69700</v>
      </c>
      <c r="N412">
        <v>6.3E-2</v>
      </c>
      <c r="O412">
        <v>0.35</v>
      </c>
      <c r="P412" t="s">
        <v>38</v>
      </c>
      <c r="R412">
        <v>62</v>
      </c>
      <c r="S412">
        <v>5444.46</v>
      </c>
      <c r="T412">
        <f>Deals_[[#This Row],[Amount]]*Deals_[[#This Row],[Probability_Pct]]</f>
        <v>24395</v>
      </c>
    </row>
    <row r="413" spans="1:20" x14ac:dyDescent="0.2">
      <c r="A413" t="s">
        <v>815</v>
      </c>
      <c r="B413" s="7">
        <v>46257</v>
      </c>
      <c r="C413" s="7">
        <v>46292</v>
      </c>
      <c r="D413" t="s">
        <v>816</v>
      </c>
      <c r="E413" t="s">
        <v>111</v>
      </c>
      <c r="F413" t="s">
        <v>22</v>
      </c>
      <c r="G413" t="s">
        <v>92</v>
      </c>
      <c r="H413" t="s">
        <v>83</v>
      </c>
      <c r="I413" t="s">
        <v>35</v>
      </c>
      <c r="J413" t="s">
        <v>85</v>
      </c>
      <c r="K413" t="s">
        <v>106</v>
      </c>
      <c r="L413" t="s">
        <v>28</v>
      </c>
      <c r="M413" s="46">
        <v>53100</v>
      </c>
      <c r="N413">
        <v>0.27100000000000002</v>
      </c>
      <c r="O413">
        <v>0.2</v>
      </c>
      <c r="P413" t="s">
        <v>38</v>
      </c>
      <c r="R413">
        <v>35</v>
      </c>
      <c r="S413">
        <v>3226.93</v>
      </c>
      <c r="T413">
        <f>Deals_[[#This Row],[Amount]]*Deals_[[#This Row],[Probability_Pct]]</f>
        <v>10620</v>
      </c>
    </row>
    <row r="414" spans="1:20" x14ac:dyDescent="0.2">
      <c r="A414" t="s">
        <v>817</v>
      </c>
      <c r="B414" s="7">
        <v>46015</v>
      </c>
      <c r="C414" s="7">
        <v>46068</v>
      </c>
      <c r="D414" t="s">
        <v>818</v>
      </c>
      <c r="E414" t="s">
        <v>33</v>
      </c>
      <c r="F414" t="s">
        <v>48</v>
      </c>
      <c r="G414" t="s">
        <v>92</v>
      </c>
      <c r="H414" t="s">
        <v>137</v>
      </c>
      <c r="I414" t="s">
        <v>99</v>
      </c>
      <c r="J414" t="s">
        <v>26</v>
      </c>
      <c r="K414" t="s">
        <v>50</v>
      </c>
      <c r="L414" t="s">
        <v>44</v>
      </c>
      <c r="M414" s="46">
        <v>6200</v>
      </c>
      <c r="N414">
        <v>0.14199999999999999</v>
      </c>
      <c r="O414">
        <v>1</v>
      </c>
      <c r="P414" t="s">
        <v>29</v>
      </c>
      <c r="R414">
        <v>53</v>
      </c>
      <c r="S414">
        <v>443.42</v>
      </c>
      <c r="T414">
        <f>Deals_[[#This Row],[Amount]]*Deals_[[#This Row],[Probability_Pct]]</f>
        <v>6200</v>
      </c>
    </row>
    <row r="415" spans="1:20" x14ac:dyDescent="0.2">
      <c r="A415" t="s">
        <v>819</v>
      </c>
      <c r="B415" s="7">
        <v>46249</v>
      </c>
      <c r="C415" s="7">
        <v>46277</v>
      </c>
      <c r="D415" t="s">
        <v>370</v>
      </c>
      <c r="E415" t="s">
        <v>62</v>
      </c>
      <c r="F415" t="s">
        <v>48</v>
      </c>
      <c r="G415" t="s">
        <v>92</v>
      </c>
      <c r="H415" t="s">
        <v>120</v>
      </c>
      <c r="I415" t="s">
        <v>84</v>
      </c>
      <c r="J415" t="s">
        <v>26</v>
      </c>
      <c r="K415" t="s">
        <v>27</v>
      </c>
      <c r="L415" t="s">
        <v>51</v>
      </c>
      <c r="M415" s="46">
        <v>28500</v>
      </c>
      <c r="N415">
        <v>6.6000000000000003E-2</v>
      </c>
      <c r="O415">
        <v>0</v>
      </c>
      <c r="P415" t="s">
        <v>29</v>
      </c>
      <c r="Q415" t="s">
        <v>30</v>
      </c>
      <c r="R415">
        <v>28</v>
      </c>
      <c r="S415">
        <v>2217.63</v>
      </c>
      <c r="T415">
        <f>Deals_[[#This Row],[Amount]]*Deals_[[#This Row],[Probability_Pct]]</f>
        <v>0</v>
      </c>
    </row>
    <row r="416" spans="1:20" x14ac:dyDescent="0.2">
      <c r="A416" t="s">
        <v>820</v>
      </c>
      <c r="B416" s="7">
        <v>46104</v>
      </c>
      <c r="C416" s="7">
        <v>46234</v>
      </c>
      <c r="D416" t="s">
        <v>821</v>
      </c>
      <c r="E416" t="s">
        <v>62</v>
      </c>
      <c r="F416" t="s">
        <v>22</v>
      </c>
      <c r="G416" t="s">
        <v>55</v>
      </c>
      <c r="H416" t="s">
        <v>77</v>
      </c>
      <c r="I416" t="s">
        <v>65</v>
      </c>
      <c r="J416" t="s">
        <v>57</v>
      </c>
      <c r="K416" t="s">
        <v>78</v>
      </c>
      <c r="L416" t="s">
        <v>44</v>
      </c>
      <c r="M416" s="46">
        <v>95700</v>
      </c>
      <c r="N416">
        <v>0.16300000000000001</v>
      </c>
      <c r="O416">
        <v>0.55000000000000004</v>
      </c>
      <c r="P416" t="s">
        <v>79</v>
      </c>
      <c r="R416">
        <v>130</v>
      </c>
      <c r="S416">
        <v>6678.05</v>
      </c>
      <c r="T416">
        <f>Deals_[[#This Row],[Amount]]*Deals_[[#This Row],[Probability_Pct]]</f>
        <v>52635.000000000007</v>
      </c>
    </row>
    <row r="417" spans="1:20" x14ac:dyDescent="0.2">
      <c r="A417" t="s">
        <v>822</v>
      </c>
      <c r="B417" s="7">
        <v>46139</v>
      </c>
      <c r="C417" s="7">
        <v>46233</v>
      </c>
      <c r="D417" t="s">
        <v>823</v>
      </c>
      <c r="E417" t="s">
        <v>82</v>
      </c>
      <c r="F417" t="s">
        <v>74</v>
      </c>
      <c r="G417" t="s">
        <v>92</v>
      </c>
      <c r="H417" t="s">
        <v>69</v>
      </c>
      <c r="I417" t="s">
        <v>42</v>
      </c>
      <c r="J417" t="s">
        <v>26</v>
      </c>
      <c r="K417" t="s">
        <v>50</v>
      </c>
      <c r="L417" t="s">
        <v>51</v>
      </c>
      <c r="M417" s="46">
        <v>227900</v>
      </c>
      <c r="N417">
        <v>6.0999999999999999E-2</v>
      </c>
      <c r="O417">
        <v>1</v>
      </c>
      <c r="P417" t="s">
        <v>29</v>
      </c>
      <c r="R417">
        <v>94</v>
      </c>
      <c r="S417">
        <v>17835.87</v>
      </c>
      <c r="T417">
        <f>Deals_[[#This Row],[Amount]]*Deals_[[#This Row],[Probability_Pct]]</f>
        <v>227900</v>
      </c>
    </row>
    <row r="418" spans="1:20" x14ac:dyDescent="0.2">
      <c r="A418" t="s">
        <v>824</v>
      </c>
      <c r="B418" s="7">
        <v>46076</v>
      </c>
      <c r="C418" s="7">
        <v>46123</v>
      </c>
      <c r="D418" t="s">
        <v>825</v>
      </c>
      <c r="E418" t="s">
        <v>111</v>
      </c>
      <c r="F418" t="s">
        <v>22</v>
      </c>
      <c r="G418" t="s">
        <v>55</v>
      </c>
      <c r="H418" t="s">
        <v>77</v>
      </c>
      <c r="I418" t="s">
        <v>99</v>
      </c>
      <c r="J418" t="s">
        <v>36</v>
      </c>
      <c r="K418" t="s">
        <v>50</v>
      </c>
      <c r="L418" t="s">
        <v>51</v>
      </c>
      <c r="M418" s="46">
        <v>62300</v>
      </c>
      <c r="N418">
        <v>8.7999999999999995E-2</v>
      </c>
      <c r="O418">
        <v>1</v>
      </c>
      <c r="P418" t="s">
        <v>29</v>
      </c>
      <c r="R418">
        <v>47</v>
      </c>
      <c r="S418">
        <v>4735.2700000000004</v>
      </c>
      <c r="T418">
        <f>Deals_[[#This Row],[Amount]]*Deals_[[#This Row],[Probability_Pct]]</f>
        <v>62300</v>
      </c>
    </row>
    <row r="419" spans="1:20" x14ac:dyDescent="0.2">
      <c r="A419" t="s">
        <v>826</v>
      </c>
      <c r="B419" s="7">
        <v>46225</v>
      </c>
      <c r="C419" s="7">
        <v>46334</v>
      </c>
      <c r="D419" t="s">
        <v>769</v>
      </c>
      <c r="E419" t="s">
        <v>68</v>
      </c>
      <c r="F419" t="s">
        <v>22</v>
      </c>
      <c r="G419" t="s">
        <v>92</v>
      </c>
      <c r="H419" t="s">
        <v>49</v>
      </c>
      <c r="I419" t="s">
        <v>25</v>
      </c>
      <c r="J419" t="s">
        <v>36</v>
      </c>
      <c r="K419" t="s">
        <v>58</v>
      </c>
      <c r="L419" t="s">
        <v>28</v>
      </c>
      <c r="M419" s="46">
        <v>34100</v>
      </c>
      <c r="N419">
        <v>0.14699999999999999</v>
      </c>
      <c r="O419">
        <v>0.7</v>
      </c>
      <c r="P419" t="s">
        <v>59</v>
      </c>
      <c r="R419">
        <v>109</v>
      </c>
      <c r="S419">
        <v>2424.5</v>
      </c>
      <c r="T419">
        <f>Deals_[[#This Row],[Amount]]*Deals_[[#This Row],[Probability_Pct]]</f>
        <v>23870</v>
      </c>
    </row>
    <row r="420" spans="1:20" x14ac:dyDescent="0.2">
      <c r="A420" t="s">
        <v>827</v>
      </c>
      <c r="B420" s="7">
        <v>46119</v>
      </c>
      <c r="C420" s="7">
        <v>46248</v>
      </c>
      <c r="D420" t="s">
        <v>408</v>
      </c>
      <c r="E420" t="s">
        <v>54</v>
      </c>
      <c r="F420" t="s">
        <v>48</v>
      </c>
      <c r="G420" t="s">
        <v>34</v>
      </c>
      <c r="H420" t="s">
        <v>64</v>
      </c>
      <c r="I420" t="s">
        <v>35</v>
      </c>
      <c r="J420" t="s">
        <v>36</v>
      </c>
      <c r="K420" t="s">
        <v>37</v>
      </c>
      <c r="L420" t="s">
        <v>51</v>
      </c>
      <c r="M420" s="46">
        <v>28000</v>
      </c>
      <c r="N420">
        <v>7.5999999999999998E-2</v>
      </c>
      <c r="O420">
        <v>0.1</v>
      </c>
      <c r="P420" t="s">
        <v>38</v>
      </c>
      <c r="R420">
        <v>129</v>
      </c>
      <c r="S420">
        <v>2156.4699999999998</v>
      </c>
      <c r="T420">
        <f>Deals_[[#This Row],[Amount]]*Deals_[[#This Row],[Probability_Pct]]</f>
        <v>2800</v>
      </c>
    </row>
    <row r="421" spans="1:20" x14ac:dyDescent="0.2">
      <c r="A421" t="s">
        <v>828</v>
      </c>
      <c r="B421" s="7">
        <v>46054</v>
      </c>
      <c r="C421" s="7">
        <v>46093</v>
      </c>
      <c r="D421" t="s">
        <v>829</v>
      </c>
      <c r="E421" t="s">
        <v>91</v>
      </c>
      <c r="F421" t="s">
        <v>22</v>
      </c>
      <c r="G421" t="s">
        <v>34</v>
      </c>
      <c r="H421" t="s">
        <v>83</v>
      </c>
      <c r="I421" t="s">
        <v>84</v>
      </c>
      <c r="J421" t="s">
        <v>36</v>
      </c>
      <c r="K421" t="s">
        <v>37</v>
      </c>
      <c r="L421" t="s">
        <v>28</v>
      </c>
      <c r="M421" s="46">
        <v>45000</v>
      </c>
      <c r="N421">
        <v>0.17799999999999999</v>
      </c>
      <c r="O421">
        <v>0.1</v>
      </c>
      <c r="P421" t="s">
        <v>38</v>
      </c>
      <c r="R421">
        <v>39</v>
      </c>
      <c r="S421">
        <v>3082.95</v>
      </c>
      <c r="T421">
        <f>Deals_[[#This Row],[Amount]]*Deals_[[#This Row],[Probability_Pct]]</f>
        <v>4500</v>
      </c>
    </row>
    <row r="422" spans="1:20" x14ac:dyDescent="0.2">
      <c r="A422" t="s">
        <v>830</v>
      </c>
      <c r="B422" s="7">
        <v>45963</v>
      </c>
      <c r="C422" s="7">
        <v>46092</v>
      </c>
      <c r="D422" t="s">
        <v>831</v>
      </c>
      <c r="E422" t="s">
        <v>111</v>
      </c>
      <c r="F422" t="s">
        <v>74</v>
      </c>
      <c r="G422" t="s">
        <v>63</v>
      </c>
      <c r="H422" t="s">
        <v>95</v>
      </c>
      <c r="I422" t="s">
        <v>65</v>
      </c>
      <c r="J422" t="s">
        <v>26</v>
      </c>
      <c r="K422" t="s">
        <v>37</v>
      </c>
      <c r="L422" t="s">
        <v>44</v>
      </c>
      <c r="M422" s="46">
        <v>151000</v>
      </c>
      <c r="N422">
        <v>8.4000000000000005E-2</v>
      </c>
      <c r="O422">
        <v>0.1</v>
      </c>
      <c r="P422" t="s">
        <v>38</v>
      </c>
      <c r="R422">
        <v>129</v>
      </c>
      <c r="S422">
        <v>11520.64</v>
      </c>
      <c r="T422">
        <f>Deals_[[#This Row],[Amount]]*Deals_[[#This Row],[Probability_Pct]]</f>
        <v>15100</v>
      </c>
    </row>
    <row r="423" spans="1:20" x14ac:dyDescent="0.2">
      <c r="A423" t="s">
        <v>832</v>
      </c>
      <c r="B423" s="7">
        <v>46015</v>
      </c>
      <c r="C423" s="7">
        <v>46165</v>
      </c>
      <c r="D423" t="s">
        <v>665</v>
      </c>
      <c r="E423" t="s">
        <v>62</v>
      </c>
      <c r="F423" t="s">
        <v>22</v>
      </c>
      <c r="G423" t="s">
        <v>23</v>
      </c>
      <c r="H423" t="s">
        <v>95</v>
      </c>
      <c r="I423" t="s">
        <v>25</v>
      </c>
      <c r="J423" t="s">
        <v>26</v>
      </c>
      <c r="K423" t="s">
        <v>58</v>
      </c>
      <c r="L423" t="s">
        <v>44</v>
      </c>
      <c r="M423" s="46">
        <v>87900</v>
      </c>
      <c r="N423">
        <v>0.15</v>
      </c>
      <c r="O423">
        <v>0.8</v>
      </c>
      <c r="P423" t="s">
        <v>59</v>
      </c>
      <c r="R423">
        <v>150</v>
      </c>
      <c r="S423">
        <v>6227.38</v>
      </c>
      <c r="T423">
        <f>Deals_[[#This Row],[Amount]]*Deals_[[#This Row],[Probability_Pct]]</f>
        <v>70320</v>
      </c>
    </row>
    <row r="424" spans="1:20" x14ac:dyDescent="0.2">
      <c r="A424" t="s">
        <v>833</v>
      </c>
      <c r="B424" s="7">
        <v>45953</v>
      </c>
      <c r="C424" s="7">
        <v>46044</v>
      </c>
      <c r="D424" t="s">
        <v>834</v>
      </c>
      <c r="E424" t="s">
        <v>33</v>
      </c>
      <c r="F424" t="s">
        <v>48</v>
      </c>
      <c r="G424" t="s">
        <v>55</v>
      </c>
      <c r="H424" t="s">
        <v>98</v>
      </c>
      <c r="I424" t="s">
        <v>42</v>
      </c>
      <c r="J424" t="s">
        <v>36</v>
      </c>
      <c r="K424" t="s">
        <v>88</v>
      </c>
      <c r="L424" t="s">
        <v>28</v>
      </c>
      <c r="M424" s="46">
        <v>17000</v>
      </c>
      <c r="N424">
        <v>0.18099999999999999</v>
      </c>
      <c r="O424">
        <v>0.3</v>
      </c>
      <c r="P424" t="s">
        <v>38</v>
      </c>
      <c r="R424">
        <v>91</v>
      </c>
      <c r="S424">
        <v>1160.18</v>
      </c>
      <c r="T424">
        <f>Deals_[[#This Row],[Amount]]*Deals_[[#This Row],[Probability_Pct]]</f>
        <v>5100</v>
      </c>
    </row>
    <row r="425" spans="1:20" x14ac:dyDescent="0.2">
      <c r="A425" t="s">
        <v>835</v>
      </c>
      <c r="B425" s="7">
        <v>46139</v>
      </c>
      <c r="C425" s="7">
        <v>46316</v>
      </c>
      <c r="D425" t="s">
        <v>836</v>
      </c>
      <c r="E425" t="s">
        <v>68</v>
      </c>
      <c r="F425" t="s">
        <v>48</v>
      </c>
      <c r="G425" t="s">
        <v>55</v>
      </c>
      <c r="H425" t="s">
        <v>24</v>
      </c>
      <c r="I425" t="s">
        <v>35</v>
      </c>
      <c r="J425" t="s">
        <v>36</v>
      </c>
      <c r="K425" t="s">
        <v>58</v>
      </c>
      <c r="L425" t="s">
        <v>28</v>
      </c>
      <c r="M425" s="46">
        <v>16700</v>
      </c>
      <c r="N425">
        <v>6.2E-2</v>
      </c>
      <c r="O425">
        <v>0.7</v>
      </c>
      <c r="P425" t="s">
        <v>59</v>
      </c>
      <c r="R425">
        <v>177</v>
      </c>
      <c r="S425">
        <v>1305.27</v>
      </c>
      <c r="T425">
        <f>Deals_[[#This Row],[Amount]]*Deals_[[#This Row],[Probability_Pct]]</f>
        <v>11690</v>
      </c>
    </row>
    <row r="426" spans="1:20" x14ac:dyDescent="0.2">
      <c r="A426" t="s">
        <v>837</v>
      </c>
      <c r="B426" s="7">
        <v>46079</v>
      </c>
      <c r="C426" s="7">
        <v>46228</v>
      </c>
      <c r="D426" t="s">
        <v>213</v>
      </c>
      <c r="E426" t="s">
        <v>54</v>
      </c>
      <c r="F426" t="s">
        <v>22</v>
      </c>
      <c r="G426" t="s">
        <v>55</v>
      </c>
      <c r="H426" t="s">
        <v>24</v>
      </c>
      <c r="I426" t="s">
        <v>35</v>
      </c>
      <c r="J426" t="s">
        <v>26</v>
      </c>
      <c r="K426" t="s">
        <v>78</v>
      </c>
      <c r="L426" t="s">
        <v>51</v>
      </c>
      <c r="M426" s="46">
        <v>82000</v>
      </c>
      <c r="N426">
        <v>7.9000000000000001E-2</v>
      </c>
      <c r="O426">
        <v>0.55000000000000004</v>
      </c>
      <c r="P426" t="s">
        <v>79</v>
      </c>
      <c r="R426">
        <v>149</v>
      </c>
      <c r="S426">
        <v>6295.11</v>
      </c>
      <c r="T426">
        <f>Deals_[[#This Row],[Amount]]*Deals_[[#This Row],[Probability_Pct]]</f>
        <v>45100.000000000007</v>
      </c>
    </row>
    <row r="427" spans="1:20" x14ac:dyDescent="0.2">
      <c r="A427" t="s">
        <v>838</v>
      </c>
      <c r="B427" s="7">
        <v>46031</v>
      </c>
      <c r="C427" s="7">
        <v>46065</v>
      </c>
      <c r="D427" t="s">
        <v>839</v>
      </c>
      <c r="E427" t="s">
        <v>91</v>
      </c>
      <c r="F427" t="s">
        <v>22</v>
      </c>
      <c r="G427" t="s">
        <v>23</v>
      </c>
      <c r="H427" t="s">
        <v>120</v>
      </c>
      <c r="I427" t="s">
        <v>65</v>
      </c>
      <c r="J427" t="s">
        <v>36</v>
      </c>
      <c r="K427" t="s">
        <v>37</v>
      </c>
      <c r="L427" t="s">
        <v>44</v>
      </c>
      <c r="M427" s="46">
        <v>27100</v>
      </c>
      <c r="N427">
        <v>0.17299999999999999</v>
      </c>
      <c r="O427">
        <v>0.05</v>
      </c>
      <c r="P427" t="s">
        <v>38</v>
      </c>
      <c r="R427">
        <v>34</v>
      </c>
      <c r="S427">
        <v>1867.87</v>
      </c>
      <c r="T427">
        <f>Deals_[[#This Row],[Amount]]*Deals_[[#This Row],[Probability_Pct]]</f>
        <v>1355</v>
      </c>
    </row>
    <row r="428" spans="1:20" x14ac:dyDescent="0.2">
      <c r="A428" t="s">
        <v>840</v>
      </c>
      <c r="B428" s="7">
        <v>45985</v>
      </c>
      <c r="C428" s="7">
        <v>46111</v>
      </c>
      <c r="D428" t="s">
        <v>841</v>
      </c>
      <c r="E428" t="s">
        <v>33</v>
      </c>
      <c r="F428" t="s">
        <v>48</v>
      </c>
      <c r="G428" t="s">
        <v>23</v>
      </c>
      <c r="H428" t="s">
        <v>95</v>
      </c>
      <c r="I428" t="s">
        <v>35</v>
      </c>
      <c r="J428" t="s">
        <v>26</v>
      </c>
      <c r="K428" t="s">
        <v>106</v>
      </c>
      <c r="L428" t="s">
        <v>28</v>
      </c>
      <c r="M428" s="46">
        <v>11300</v>
      </c>
      <c r="N428">
        <v>7.9000000000000001E-2</v>
      </c>
      <c r="O428">
        <v>0.15</v>
      </c>
      <c r="P428" t="s">
        <v>38</v>
      </c>
      <c r="R428">
        <v>126</v>
      </c>
      <c r="S428">
        <v>866.91</v>
      </c>
      <c r="T428">
        <f>Deals_[[#This Row],[Amount]]*Deals_[[#This Row],[Probability_Pct]]</f>
        <v>1695</v>
      </c>
    </row>
    <row r="429" spans="1:20" x14ac:dyDescent="0.2">
      <c r="A429" t="s">
        <v>842</v>
      </c>
      <c r="B429" s="7">
        <v>46221</v>
      </c>
      <c r="C429" s="7">
        <v>46307</v>
      </c>
      <c r="D429" t="s">
        <v>773</v>
      </c>
      <c r="E429" t="s">
        <v>82</v>
      </c>
      <c r="F429" t="s">
        <v>48</v>
      </c>
      <c r="G429" t="s">
        <v>55</v>
      </c>
      <c r="H429" t="s">
        <v>120</v>
      </c>
      <c r="I429" t="s">
        <v>35</v>
      </c>
      <c r="J429" t="s">
        <v>43</v>
      </c>
      <c r="K429" t="s">
        <v>37</v>
      </c>
      <c r="L429" t="s">
        <v>51</v>
      </c>
      <c r="M429" s="46">
        <v>29800</v>
      </c>
      <c r="N429">
        <v>0.18099999999999999</v>
      </c>
      <c r="O429">
        <v>0.15</v>
      </c>
      <c r="P429" t="s">
        <v>38</v>
      </c>
      <c r="R429">
        <v>86</v>
      </c>
      <c r="S429">
        <v>2033.02</v>
      </c>
      <c r="T429">
        <f>Deals_[[#This Row],[Amount]]*Deals_[[#This Row],[Probability_Pct]]</f>
        <v>4470</v>
      </c>
    </row>
    <row r="430" spans="1:20" x14ac:dyDescent="0.2">
      <c r="A430" t="s">
        <v>843</v>
      </c>
      <c r="B430" s="7">
        <v>45985</v>
      </c>
      <c r="C430" s="7">
        <v>46015</v>
      </c>
      <c r="D430" t="s">
        <v>427</v>
      </c>
      <c r="E430" t="s">
        <v>21</v>
      </c>
      <c r="F430" t="s">
        <v>48</v>
      </c>
      <c r="G430" t="s">
        <v>23</v>
      </c>
      <c r="H430" t="s">
        <v>69</v>
      </c>
      <c r="I430" t="s">
        <v>84</v>
      </c>
      <c r="J430" t="s">
        <v>43</v>
      </c>
      <c r="K430" t="s">
        <v>27</v>
      </c>
      <c r="L430" t="s">
        <v>51</v>
      </c>
      <c r="M430" s="46">
        <v>23000</v>
      </c>
      <c r="N430">
        <v>9.2999999999999999E-2</v>
      </c>
      <c r="O430">
        <v>0</v>
      </c>
      <c r="P430" t="s">
        <v>29</v>
      </c>
      <c r="Q430" t="s">
        <v>222</v>
      </c>
      <c r="R430">
        <v>30</v>
      </c>
      <c r="S430">
        <v>1738.13</v>
      </c>
      <c r="T430">
        <f>Deals_[[#This Row],[Amount]]*Deals_[[#This Row],[Probability_Pct]]</f>
        <v>0</v>
      </c>
    </row>
    <row r="431" spans="1:20" x14ac:dyDescent="0.2">
      <c r="A431" t="s">
        <v>844</v>
      </c>
      <c r="B431" s="7">
        <v>46033</v>
      </c>
      <c r="C431" s="7">
        <v>46156</v>
      </c>
      <c r="D431" t="s">
        <v>515</v>
      </c>
      <c r="E431" t="s">
        <v>111</v>
      </c>
      <c r="F431" t="s">
        <v>22</v>
      </c>
      <c r="G431" t="s">
        <v>34</v>
      </c>
      <c r="H431" t="s">
        <v>64</v>
      </c>
      <c r="I431" t="s">
        <v>99</v>
      </c>
      <c r="J431" t="s">
        <v>26</v>
      </c>
      <c r="K431" t="s">
        <v>27</v>
      </c>
      <c r="L431" t="s">
        <v>44</v>
      </c>
      <c r="M431" s="46">
        <v>95400</v>
      </c>
      <c r="N431">
        <v>0.184</v>
      </c>
      <c r="O431">
        <v>0</v>
      </c>
      <c r="P431" t="s">
        <v>29</v>
      </c>
      <c r="Q431" t="s">
        <v>152</v>
      </c>
      <c r="R431">
        <v>123</v>
      </c>
      <c r="S431">
        <v>6486.85</v>
      </c>
      <c r="T431">
        <f>Deals_[[#This Row],[Amount]]*Deals_[[#This Row],[Probability_Pct]]</f>
        <v>0</v>
      </c>
    </row>
    <row r="432" spans="1:20" x14ac:dyDescent="0.2">
      <c r="A432" t="s">
        <v>845</v>
      </c>
      <c r="B432" s="7">
        <v>46007</v>
      </c>
      <c r="C432" s="7">
        <v>46077</v>
      </c>
      <c r="D432" t="s">
        <v>846</v>
      </c>
      <c r="E432" t="s">
        <v>54</v>
      </c>
      <c r="F432" t="s">
        <v>48</v>
      </c>
      <c r="G432" t="s">
        <v>63</v>
      </c>
      <c r="H432" t="s">
        <v>49</v>
      </c>
      <c r="I432" t="s">
        <v>99</v>
      </c>
      <c r="J432" t="s">
        <v>57</v>
      </c>
      <c r="K432" t="s">
        <v>78</v>
      </c>
      <c r="L432" t="s">
        <v>28</v>
      </c>
      <c r="M432" s="46">
        <v>10200</v>
      </c>
      <c r="N432">
        <v>0.11799999999999999</v>
      </c>
      <c r="O432">
        <v>0.5</v>
      </c>
      <c r="P432" t="s">
        <v>79</v>
      </c>
      <c r="R432">
        <v>70</v>
      </c>
      <c r="S432">
        <v>749.63</v>
      </c>
      <c r="T432">
        <f>Deals_[[#This Row],[Amount]]*Deals_[[#This Row],[Probability_Pct]]</f>
        <v>5100</v>
      </c>
    </row>
    <row r="433" spans="1:20" x14ac:dyDescent="0.2">
      <c r="A433" t="s">
        <v>847</v>
      </c>
      <c r="B433" s="7">
        <v>46178</v>
      </c>
      <c r="C433" s="7">
        <v>46226</v>
      </c>
      <c r="D433" t="s">
        <v>848</v>
      </c>
      <c r="E433" t="s">
        <v>62</v>
      </c>
      <c r="F433" t="s">
        <v>74</v>
      </c>
      <c r="G433" t="s">
        <v>63</v>
      </c>
      <c r="H433" t="s">
        <v>49</v>
      </c>
      <c r="I433" t="s">
        <v>42</v>
      </c>
      <c r="J433" t="s">
        <v>43</v>
      </c>
      <c r="K433" t="s">
        <v>78</v>
      </c>
      <c r="L433" t="s">
        <v>44</v>
      </c>
      <c r="M433" s="46">
        <v>145100</v>
      </c>
      <c r="N433">
        <v>0.112</v>
      </c>
      <c r="O433">
        <v>0.55000000000000004</v>
      </c>
      <c r="P433" t="s">
        <v>79</v>
      </c>
      <c r="R433">
        <v>48</v>
      </c>
      <c r="S433">
        <v>10743.23</v>
      </c>
      <c r="T433">
        <f>Deals_[[#This Row],[Amount]]*Deals_[[#This Row],[Probability_Pct]]</f>
        <v>79805</v>
      </c>
    </row>
    <row r="434" spans="1:20" x14ac:dyDescent="0.2">
      <c r="A434" t="s">
        <v>849</v>
      </c>
      <c r="B434" s="7">
        <v>46057</v>
      </c>
      <c r="C434" s="7">
        <v>46114</v>
      </c>
      <c r="D434" t="s">
        <v>850</v>
      </c>
      <c r="E434" t="s">
        <v>33</v>
      </c>
      <c r="F434" t="s">
        <v>74</v>
      </c>
      <c r="G434" t="s">
        <v>55</v>
      </c>
      <c r="H434" t="s">
        <v>24</v>
      </c>
      <c r="I434" t="s">
        <v>25</v>
      </c>
      <c r="J434" t="s">
        <v>43</v>
      </c>
      <c r="K434" t="s">
        <v>78</v>
      </c>
      <c r="L434" t="s">
        <v>44</v>
      </c>
      <c r="M434" s="46">
        <v>99900</v>
      </c>
      <c r="N434">
        <v>9.4E-2</v>
      </c>
      <c r="O434">
        <v>0.55000000000000004</v>
      </c>
      <c r="P434" t="s">
        <v>79</v>
      </c>
      <c r="R434">
        <v>57</v>
      </c>
      <c r="S434">
        <v>7545.27</v>
      </c>
      <c r="T434">
        <f>Deals_[[#This Row],[Amount]]*Deals_[[#This Row],[Probability_Pct]]</f>
        <v>54945.000000000007</v>
      </c>
    </row>
    <row r="435" spans="1:20" x14ac:dyDescent="0.2">
      <c r="A435" t="s">
        <v>851</v>
      </c>
      <c r="B435" s="7">
        <v>46256</v>
      </c>
      <c r="C435" s="7">
        <v>46277</v>
      </c>
      <c r="D435" t="s">
        <v>852</v>
      </c>
      <c r="E435" t="s">
        <v>111</v>
      </c>
      <c r="F435" t="s">
        <v>48</v>
      </c>
      <c r="G435" t="s">
        <v>55</v>
      </c>
      <c r="H435" t="s">
        <v>83</v>
      </c>
      <c r="I435" t="s">
        <v>35</v>
      </c>
      <c r="J435" t="s">
        <v>43</v>
      </c>
      <c r="K435" t="s">
        <v>27</v>
      </c>
      <c r="L435" t="s">
        <v>44</v>
      </c>
      <c r="M435" s="46">
        <v>19000</v>
      </c>
      <c r="N435">
        <v>0.14199999999999999</v>
      </c>
      <c r="O435">
        <v>0</v>
      </c>
      <c r="P435" t="s">
        <v>29</v>
      </c>
      <c r="Q435" t="s">
        <v>126</v>
      </c>
      <c r="R435">
        <v>21</v>
      </c>
      <c r="S435">
        <v>1358.57</v>
      </c>
      <c r="T435">
        <f>Deals_[[#This Row],[Amount]]*Deals_[[#This Row],[Probability_Pct]]</f>
        <v>0</v>
      </c>
    </row>
    <row r="436" spans="1:20" x14ac:dyDescent="0.2">
      <c r="A436" t="s">
        <v>853</v>
      </c>
      <c r="B436" s="7">
        <v>46029</v>
      </c>
      <c r="C436" s="7">
        <v>46162</v>
      </c>
      <c r="D436" t="s">
        <v>854</v>
      </c>
      <c r="E436" t="s">
        <v>62</v>
      </c>
      <c r="F436" t="s">
        <v>74</v>
      </c>
      <c r="G436" t="s">
        <v>55</v>
      </c>
      <c r="H436" t="s">
        <v>98</v>
      </c>
      <c r="I436" t="s">
        <v>84</v>
      </c>
      <c r="J436" t="s">
        <v>57</v>
      </c>
      <c r="K436" t="s">
        <v>37</v>
      </c>
      <c r="L436" t="s">
        <v>28</v>
      </c>
      <c r="M436" s="46">
        <v>249000</v>
      </c>
      <c r="N436">
        <v>0.17499999999999999</v>
      </c>
      <c r="O436">
        <v>0.1</v>
      </c>
      <c r="P436" t="s">
        <v>38</v>
      </c>
      <c r="R436">
        <v>133</v>
      </c>
      <c r="S436">
        <v>17118.11</v>
      </c>
      <c r="T436">
        <f>Deals_[[#This Row],[Amount]]*Deals_[[#This Row],[Probability_Pct]]</f>
        <v>24900</v>
      </c>
    </row>
    <row r="437" spans="1:20" x14ac:dyDescent="0.2">
      <c r="A437" t="s">
        <v>855</v>
      </c>
      <c r="B437" s="7">
        <v>46023</v>
      </c>
      <c r="C437" s="7">
        <v>46135</v>
      </c>
      <c r="D437" t="s">
        <v>283</v>
      </c>
      <c r="E437" t="s">
        <v>68</v>
      </c>
      <c r="F437" t="s">
        <v>74</v>
      </c>
      <c r="G437" t="s">
        <v>23</v>
      </c>
      <c r="H437" t="s">
        <v>49</v>
      </c>
      <c r="I437" t="s">
        <v>35</v>
      </c>
      <c r="J437" t="s">
        <v>26</v>
      </c>
      <c r="K437" t="s">
        <v>58</v>
      </c>
      <c r="L437" t="s">
        <v>51</v>
      </c>
      <c r="M437" s="46">
        <v>168800</v>
      </c>
      <c r="N437">
        <v>0.17799999999999999</v>
      </c>
      <c r="O437">
        <v>0.75</v>
      </c>
      <c r="P437" t="s">
        <v>59</v>
      </c>
      <c r="R437">
        <v>112</v>
      </c>
      <c r="S437">
        <v>11565.57</v>
      </c>
      <c r="T437">
        <f>Deals_[[#This Row],[Amount]]*Deals_[[#This Row],[Probability_Pct]]</f>
        <v>126600</v>
      </c>
    </row>
    <row r="438" spans="1:20" x14ac:dyDescent="0.2">
      <c r="A438" t="s">
        <v>856</v>
      </c>
      <c r="B438" s="7">
        <v>45968</v>
      </c>
      <c r="C438" s="7">
        <v>46115</v>
      </c>
      <c r="D438" t="s">
        <v>857</v>
      </c>
      <c r="E438" t="s">
        <v>33</v>
      </c>
      <c r="F438" t="s">
        <v>48</v>
      </c>
      <c r="G438" t="s">
        <v>34</v>
      </c>
      <c r="H438" t="s">
        <v>24</v>
      </c>
      <c r="I438" t="s">
        <v>25</v>
      </c>
      <c r="J438" t="s">
        <v>26</v>
      </c>
      <c r="K438" t="s">
        <v>58</v>
      </c>
      <c r="L438" t="s">
        <v>28</v>
      </c>
      <c r="M438" s="46">
        <v>16800</v>
      </c>
      <c r="N438">
        <v>8.1000000000000003E-2</v>
      </c>
      <c r="O438">
        <v>0.75</v>
      </c>
      <c r="P438" t="s">
        <v>59</v>
      </c>
      <c r="R438">
        <v>147</v>
      </c>
      <c r="S438">
        <v>1286.77</v>
      </c>
      <c r="T438">
        <f>Deals_[[#This Row],[Amount]]*Deals_[[#This Row],[Probability_Pct]]</f>
        <v>12600</v>
      </c>
    </row>
    <row r="439" spans="1:20" x14ac:dyDescent="0.2">
      <c r="A439" t="s">
        <v>858</v>
      </c>
      <c r="B439" s="7">
        <v>46165</v>
      </c>
      <c r="C439" s="7">
        <v>46231</v>
      </c>
      <c r="D439" t="s">
        <v>443</v>
      </c>
      <c r="E439" t="s">
        <v>82</v>
      </c>
      <c r="F439" t="s">
        <v>48</v>
      </c>
      <c r="G439" t="s">
        <v>23</v>
      </c>
      <c r="H439" t="s">
        <v>49</v>
      </c>
      <c r="I439" t="s">
        <v>25</v>
      </c>
      <c r="J439" t="s">
        <v>85</v>
      </c>
      <c r="K439" t="s">
        <v>27</v>
      </c>
      <c r="L439" t="s">
        <v>28</v>
      </c>
      <c r="M439" s="46">
        <v>22000</v>
      </c>
      <c r="N439">
        <v>0.16</v>
      </c>
      <c r="O439">
        <v>0</v>
      </c>
      <c r="P439" t="s">
        <v>29</v>
      </c>
      <c r="Q439" t="s">
        <v>30</v>
      </c>
      <c r="R439">
        <v>66</v>
      </c>
      <c r="S439">
        <v>1539.67</v>
      </c>
      <c r="T439">
        <f>Deals_[[#This Row],[Amount]]*Deals_[[#This Row],[Probability_Pct]]</f>
        <v>0</v>
      </c>
    </row>
    <row r="440" spans="1:20" x14ac:dyDescent="0.2">
      <c r="A440" t="s">
        <v>859</v>
      </c>
      <c r="B440" s="7">
        <v>45932</v>
      </c>
      <c r="C440" s="7">
        <v>46060</v>
      </c>
      <c r="D440" t="s">
        <v>860</v>
      </c>
      <c r="E440" t="s">
        <v>54</v>
      </c>
      <c r="F440" t="s">
        <v>48</v>
      </c>
      <c r="G440" t="s">
        <v>34</v>
      </c>
      <c r="H440" t="s">
        <v>69</v>
      </c>
      <c r="I440" t="s">
        <v>35</v>
      </c>
      <c r="J440" t="s">
        <v>57</v>
      </c>
      <c r="K440" t="s">
        <v>78</v>
      </c>
      <c r="L440" t="s">
        <v>28</v>
      </c>
      <c r="M440" s="46">
        <v>26200</v>
      </c>
      <c r="N440">
        <v>6.0999999999999999E-2</v>
      </c>
      <c r="O440">
        <v>0.55000000000000004</v>
      </c>
      <c r="P440" t="s">
        <v>79</v>
      </c>
      <c r="R440">
        <v>128</v>
      </c>
      <c r="S440">
        <v>2050.38</v>
      </c>
      <c r="T440">
        <f>Deals_[[#This Row],[Amount]]*Deals_[[#This Row],[Probability_Pct]]</f>
        <v>14410.000000000002</v>
      </c>
    </row>
    <row r="441" spans="1:20" x14ac:dyDescent="0.2">
      <c r="A441" t="s">
        <v>861</v>
      </c>
      <c r="B441" s="7">
        <v>46099</v>
      </c>
      <c r="C441" s="7">
        <v>46160</v>
      </c>
      <c r="D441" t="s">
        <v>862</v>
      </c>
      <c r="E441" t="s">
        <v>54</v>
      </c>
      <c r="F441" t="s">
        <v>48</v>
      </c>
      <c r="G441" t="s">
        <v>63</v>
      </c>
      <c r="H441" t="s">
        <v>137</v>
      </c>
      <c r="I441" t="s">
        <v>65</v>
      </c>
      <c r="J441" t="s">
        <v>57</v>
      </c>
      <c r="K441" t="s">
        <v>27</v>
      </c>
      <c r="L441" t="s">
        <v>51</v>
      </c>
      <c r="M441" s="46">
        <v>24400</v>
      </c>
      <c r="N441">
        <v>0.127</v>
      </c>
      <c r="O441">
        <v>0</v>
      </c>
      <c r="P441" t="s">
        <v>29</v>
      </c>
      <c r="Q441" t="s">
        <v>152</v>
      </c>
      <c r="R441">
        <v>61</v>
      </c>
      <c r="S441">
        <v>1774.18</v>
      </c>
      <c r="T441">
        <f>Deals_[[#This Row],[Amount]]*Deals_[[#This Row],[Probability_Pct]]</f>
        <v>0</v>
      </c>
    </row>
    <row r="442" spans="1:20" x14ac:dyDescent="0.2">
      <c r="A442" t="s">
        <v>863</v>
      </c>
      <c r="B442" s="7">
        <v>46178</v>
      </c>
      <c r="C442" s="7">
        <v>46232</v>
      </c>
      <c r="D442" t="s">
        <v>864</v>
      </c>
      <c r="E442" t="s">
        <v>62</v>
      </c>
      <c r="F442" t="s">
        <v>74</v>
      </c>
      <c r="G442" t="s">
        <v>92</v>
      </c>
      <c r="H442" t="s">
        <v>49</v>
      </c>
      <c r="I442" t="s">
        <v>84</v>
      </c>
      <c r="J442" t="s">
        <v>43</v>
      </c>
      <c r="K442" t="s">
        <v>37</v>
      </c>
      <c r="L442" t="s">
        <v>28</v>
      </c>
      <c r="M442" s="46">
        <v>175500</v>
      </c>
      <c r="N442">
        <v>0.123</v>
      </c>
      <c r="O442">
        <v>0.1</v>
      </c>
      <c r="P442" t="s">
        <v>38</v>
      </c>
      <c r="R442">
        <v>54</v>
      </c>
      <c r="S442">
        <v>12827.91</v>
      </c>
      <c r="T442">
        <f>Deals_[[#This Row],[Amount]]*Deals_[[#This Row],[Probability_Pct]]</f>
        <v>17550</v>
      </c>
    </row>
    <row r="443" spans="1:20" x14ac:dyDescent="0.2">
      <c r="A443" t="s">
        <v>865</v>
      </c>
      <c r="B443" s="7">
        <v>46239</v>
      </c>
      <c r="C443" s="7">
        <v>46281</v>
      </c>
      <c r="D443" t="s">
        <v>866</v>
      </c>
      <c r="E443" t="s">
        <v>111</v>
      </c>
      <c r="F443" t="s">
        <v>48</v>
      </c>
      <c r="G443" t="s">
        <v>34</v>
      </c>
      <c r="H443" t="s">
        <v>137</v>
      </c>
      <c r="I443" t="s">
        <v>35</v>
      </c>
      <c r="J443" t="s">
        <v>36</v>
      </c>
      <c r="K443" t="s">
        <v>106</v>
      </c>
      <c r="L443" t="s">
        <v>44</v>
      </c>
      <c r="M443" s="46">
        <v>22200</v>
      </c>
      <c r="N443">
        <v>9.9000000000000005E-2</v>
      </c>
      <c r="O443">
        <v>0.15</v>
      </c>
      <c r="P443" t="s">
        <v>38</v>
      </c>
      <c r="R443">
        <v>42</v>
      </c>
      <c r="S443">
        <v>1666.45</v>
      </c>
      <c r="T443">
        <f>Deals_[[#This Row],[Amount]]*Deals_[[#This Row],[Probability_Pct]]</f>
        <v>3330</v>
      </c>
    </row>
    <row r="444" spans="1:20" x14ac:dyDescent="0.2">
      <c r="A444" t="s">
        <v>867</v>
      </c>
      <c r="B444" s="7">
        <v>45993</v>
      </c>
      <c r="C444" s="7">
        <v>46135</v>
      </c>
      <c r="D444" t="s">
        <v>868</v>
      </c>
      <c r="E444" t="s">
        <v>82</v>
      </c>
      <c r="F444" t="s">
        <v>74</v>
      </c>
      <c r="G444" t="s">
        <v>63</v>
      </c>
      <c r="H444" t="s">
        <v>77</v>
      </c>
      <c r="I444" t="s">
        <v>25</v>
      </c>
      <c r="J444" t="s">
        <v>43</v>
      </c>
      <c r="K444" t="s">
        <v>37</v>
      </c>
      <c r="L444" t="s">
        <v>51</v>
      </c>
      <c r="M444" s="46">
        <v>244500</v>
      </c>
      <c r="N444">
        <v>8.5999999999999993E-2</v>
      </c>
      <c r="O444">
        <v>0.1</v>
      </c>
      <c r="P444" t="s">
        <v>38</v>
      </c>
      <c r="R444">
        <v>142</v>
      </c>
      <c r="S444">
        <v>18616.78</v>
      </c>
      <c r="T444">
        <f>Deals_[[#This Row],[Amount]]*Deals_[[#This Row],[Probability_Pct]]</f>
        <v>24450</v>
      </c>
    </row>
    <row r="445" spans="1:20" x14ac:dyDescent="0.2">
      <c r="A445" t="s">
        <v>869</v>
      </c>
      <c r="B445" s="7">
        <v>46170</v>
      </c>
      <c r="C445" s="7">
        <v>46253</v>
      </c>
      <c r="D445" t="s">
        <v>870</v>
      </c>
      <c r="E445" t="s">
        <v>111</v>
      </c>
      <c r="F445" t="s">
        <v>74</v>
      </c>
      <c r="G445" t="s">
        <v>23</v>
      </c>
      <c r="H445" t="s">
        <v>64</v>
      </c>
      <c r="I445" t="s">
        <v>99</v>
      </c>
      <c r="J445" t="s">
        <v>57</v>
      </c>
      <c r="K445" t="s">
        <v>78</v>
      </c>
      <c r="L445" t="s">
        <v>51</v>
      </c>
      <c r="M445" s="46">
        <v>227800</v>
      </c>
      <c r="N445">
        <v>0.109</v>
      </c>
      <c r="O445">
        <v>0.5</v>
      </c>
      <c r="P445" t="s">
        <v>79</v>
      </c>
      <c r="R445">
        <v>83</v>
      </c>
      <c r="S445">
        <v>16907.32</v>
      </c>
      <c r="T445">
        <f>Deals_[[#This Row],[Amount]]*Deals_[[#This Row],[Probability_Pct]]</f>
        <v>113900</v>
      </c>
    </row>
    <row r="446" spans="1:20" x14ac:dyDescent="0.2">
      <c r="A446" t="s">
        <v>871</v>
      </c>
      <c r="B446" s="7">
        <v>45960</v>
      </c>
      <c r="C446" s="7">
        <v>46089</v>
      </c>
      <c r="D446" t="s">
        <v>470</v>
      </c>
      <c r="E446" t="s">
        <v>82</v>
      </c>
      <c r="F446" t="s">
        <v>48</v>
      </c>
      <c r="G446" t="s">
        <v>63</v>
      </c>
      <c r="H446" t="s">
        <v>83</v>
      </c>
      <c r="I446" t="s">
        <v>42</v>
      </c>
      <c r="J446" t="s">
        <v>26</v>
      </c>
      <c r="K446" t="s">
        <v>50</v>
      </c>
      <c r="L446" t="s">
        <v>51</v>
      </c>
      <c r="M446" s="46">
        <v>19700</v>
      </c>
      <c r="N446">
        <v>0.10100000000000001</v>
      </c>
      <c r="O446">
        <v>1</v>
      </c>
      <c r="P446" t="s">
        <v>29</v>
      </c>
      <c r="R446">
        <v>129</v>
      </c>
      <c r="S446">
        <v>1475.12</v>
      </c>
      <c r="T446">
        <f>Deals_[[#This Row],[Amount]]*Deals_[[#This Row],[Probability_Pct]]</f>
        <v>19700</v>
      </c>
    </row>
    <row r="447" spans="1:20" x14ac:dyDescent="0.2">
      <c r="A447" t="s">
        <v>872</v>
      </c>
      <c r="B447" s="7">
        <v>46164</v>
      </c>
      <c r="C447" s="7">
        <v>46212</v>
      </c>
      <c r="D447" t="s">
        <v>177</v>
      </c>
      <c r="E447" t="s">
        <v>91</v>
      </c>
      <c r="F447" t="s">
        <v>48</v>
      </c>
      <c r="G447" t="s">
        <v>23</v>
      </c>
      <c r="H447" t="s">
        <v>49</v>
      </c>
      <c r="I447" t="s">
        <v>84</v>
      </c>
      <c r="J447" t="s">
        <v>85</v>
      </c>
      <c r="K447" t="s">
        <v>88</v>
      </c>
      <c r="L447" t="s">
        <v>51</v>
      </c>
      <c r="M447" s="46">
        <v>18700</v>
      </c>
      <c r="N447">
        <v>0.14000000000000001</v>
      </c>
      <c r="O447">
        <v>0.3</v>
      </c>
      <c r="P447" t="s">
        <v>38</v>
      </c>
      <c r="R447">
        <v>48</v>
      </c>
      <c r="S447">
        <v>1340.85</v>
      </c>
      <c r="T447">
        <f>Deals_[[#This Row],[Amount]]*Deals_[[#This Row],[Probability_Pct]]</f>
        <v>5610</v>
      </c>
    </row>
    <row r="448" spans="1:20" x14ac:dyDescent="0.2">
      <c r="A448" t="s">
        <v>873</v>
      </c>
      <c r="B448" s="7">
        <v>45964</v>
      </c>
      <c r="C448" s="7">
        <v>46028</v>
      </c>
      <c r="D448" t="s">
        <v>874</v>
      </c>
      <c r="E448" t="s">
        <v>68</v>
      </c>
      <c r="F448" t="s">
        <v>74</v>
      </c>
      <c r="G448" t="s">
        <v>23</v>
      </c>
      <c r="H448" t="s">
        <v>77</v>
      </c>
      <c r="I448" t="s">
        <v>25</v>
      </c>
      <c r="J448" t="s">
        <v>85</v>
      </c>
      <c r="K448" t="s">
        <v>37</v>
      </c>
      <c r="L448" t="s">
        <v>44</v>
      </c>
      <c r="M448" s="46">
        <v>189300</v>
      </c>
      <c r="N448">
        <v>0.125</v>
      </c>
      <c r="O448">
        <v>0.05</v>
      </c>
      <c r="P448" t="s">
        <v>38</v>
      </c>
      <c r="R448">
        <v>64</v>
      </c>
      <c r="S448">
        <v>13802.86</v>
      </c>
      <c r="T448">
        <f>Deals_[[#This Row],[Amount]]*Deals_[[#This Row],[Probability_Pct]]</f>
        <v>9465</v>
      </c>
    </row>
    <row r="449" spans="1:20" x14ac:dyDescent="0.2">
      <c r="A449" t="s">
        <v>875</v>
      </c>
      <c r="B449" s="7">
        <v>46250</v>
      </c>
      <c r="C449" s="7">
        <v>46283</v>
      </c>
      <c r="D449" t="s">
        <v>876</v>
      </c>
      <c r="E449" t="s">
        <v>91</v>
      </c>
      <c r="F449" t="s">
        <v>22</v>
      </c>
      <c r="G449" t="s">
        <v>55</v>
      </c>
      <c r="H449" t="s">
        <v>77</v>
      </c>
      <c r="I449" t="s">
        <v>25</v>
      </c>
      <c r="J449" t="s">
        <v>85</v>
      </c>
      <c r="K449" t="s">
        <v>88</v>
      </c>
      <c r="L449" t="s">
        <v>44</v>
      </c>
      <c r="M449" s="46">
        <v>72700</v>
      </c>
      <c r="N449">
        <v>4.9000000000000002E-2</v>
      </c>
      <c r="O449">
        <v>0.35</v>
      </c>
      <c r="P449" t="s">
        <v>38</v>
      </c>
      <c r="R449">
        <v>33</v>
      </c>
      <c r="S449">
        <v>5762.54</v>
      </c>
      <c r="T449">
        <f>Deals_[[#This Row],[Amount]]*Deals_[[#This Row],[Probability_Pct]]</f>
        <v>25445</v>
      </c>
    </row>
    <row r="450" spans="1:20" x14ac:dyDescent="0.2">
      <c r="A450" t="s">
        <v>877</v>
      </c>
      <c r="B450" s="7">
        <v>46062</v>
      </c>
      <c r="C450" s="7">
        <v>46097</v>
      </c>
      <c r="D450" t="s">
        <v>449</v>
      </c>
      <c r="E450" t="s">
        <v>21</v>
      </c>
      <c r="F450" t="s">
        <v>48</v>
      </c>
      <c r="G450" t="s">
        <v>34</v>
      </c>
      <c r="H450" t="s">
        <v>56</v>
      </c>
      <c r="I450" t="s">
        <v>35</v>
      </c>
      <c r="J450" t="s">
        <v>57</v>
      </c>
      <c r="K450" t="s">
        <v>50</v>
      </c>
      <c r="L450" t="s">
        <v>44</v>
      </c>
      <c r="M450" s="46">
        <v>8000</v>
      </c>
      <c r="N450">
        <v>0.109</v>
      </c>
      <c r="O450">
        <v>1</v>
      </c>
      <c r="P450" t="s">
        <v>29</v>
      </c>
      <c r="R450">
        <v>35</v>
      </c>
      <c r="S450">
        <v>594</v>
      </c>
      <c r="T450">
        <f>Deals_[[#This Row],[Amount]]*Deals_[[#This Row],[Probability_Pct]]</f>
        <v>8000</v>
      </c>
    </row>
    <row r="451" spans="1:20" x14ac:dyDescent="0.2">
      <c r="A451" t="s">
        <v>878</v>
      </c>
      <c r="B451" s="7">
        <v>46052</v>
      </c>
      <c r="C451" s="7">
        <v>46178</v>
      </c>
      <c r="D451" t="s">
        <v>879</v>
      </c>
      <c r="E451" t="s">
        <v>54</v>
      </c>
      <c r="F451" t="s">
        <v>74</v>
      </c>
      <c r="G451" t="s">
        <v>23</v>
      </c>
      <c r="H451" t="s">
        <v>83</v>
      </c>
      <c r="I451" t="s">
        <v>99</v>
      </c>
      <c r="J451" t="s">
        <v>43</v>
      </c>
      <c r="K451" t="s">
        <v>37</v>
      </c>
      <c r="L451" t="s">
        <v>44</v>
      </c>
      <c r="M451" s="46">
        <v>203500</v>
      </c>
      <c r="N451">
        <v>0.214</v>
      </c>
      <c r="O451">
        <v>0.05</v>
      </c>
      <c r="P451" t="s">
        <v>38</v>
      </c>
      <c r="R451">
        <v>126</v>
      </c>
      <c r="S451">
        <v>13330.4</v>
      </c>
      <c r="T451">
        <f>Deals_[[#This Row],[Amount]]*Deals_[[#This Row],[Probability_Pct]]</f>
        <v>10175</v>
      </c>
    </row>
    <row r="452" spans="1:20" x14ac:dyDescent="0.2">
      <c r="A452" t="s">
        <v>880</v>
      </c>
      <c r="B452" s="7">
        <v>46074</v>
      </c>
      <c r="C452" s="7">
        <v>46235</v>
      </c>
      <c r="D452" t="s">
        <v>740</v>
      </c>
      <c r="E452" t="s">
        <v>111</v>
      </c>
      <c r="F452" t="s">
        <v>74</v>
      </c>
      <c r="G452" t="s">
        <v>92</v>
      </c>
      <c r="H452" t="s">
        <v>56</v>
      </c>
      <c r="I452" t="s">
        <v>84</v>
      </c>
      <c r="J452" t="s">
        <v>36</v>
      </c>
      <c r="K452" t="s">
        <v>50</v>
      </c>
      <c r="L452" t="s">
        <v>44</v>
      </c>
      <c r="M452" s="46">
        <v>117100</v>
      </c>
      <c r="N452">
        <v>0.17100000000000001</v>
      </c>
      <c r="O452">
        <v>1</v>
      </c>
      <c r="P452" t="s">
        <v>29</v>
      </c>
      <c r="R452">
        <v>161</v>
      </c>
      <c r="S452">
        <v>8089.54</v>
      </c>
      <c r="T452">
        <f>Deals_[[#This Row],[Amount]]*Deals_[[#This Row],[Probability_Pct]]</f>
        <v>117100</v>
      </c>
    </row>
    <row r="453" spans="1:20" x14ac:dyDescent="0.2">
      <c r="A453" t="s">
        <v>881</v>
      </c>
      <c r="B453" s="7">
        <v>46119</v>
      </c>
      <c r="C453" s="7">
        <v>46162</v>
      </c>
      <c r="D453" t="s">
        <v>882</v>
      </c>
      <c r="E453" t="s">
        <v>82</v>
      </c>
      <c r="F453" t="s">
        <v>48</v>
      </c>
      <c r="G453" t="s">
        <v>55</v>
      </c>
      <c r="H453" t="s">
        <v>137</v>
      </c>
      <c r="I453" t="s">
        <v>35</v>
      </c>
      <c r="J453" t="s">
        <v>43</v>
      </c>
      <c r="K453" t="s">
        <v>58</v>
      </c>
      <c r="L453" t="s">
        <v>28</v>
      </c>
      <c r="M453" s="46">
        <v>15200</v>
      </c>
      <c r="N453">
        <v>5.7000000000000002E-2</v>
      </c>
      <c r="O453">
        <v>0.75</v>
      </c>
      <c r="P453" t="s">
        <v>59</v>
      </c>
      <c r="R453">
        <v>43</v>
      </c>
      <c r="S453">
        <v>1194.3900000000001</v>
      </c>
      <c r="T453">
        <f>Deals_[[#This Row],[Amount]]*Deals_[[#This Row],[Probability_Pct]]</f>
        <v>11400</v>
      </c>
    </row>
    <row r="454" spans="1:20" x14ac:dyDescent="0.2">
      <c r="A454" t="s">
        <v>883</v>
      </c>
      <c r="B454" s="7">
        <v>46104</v>
      </c>
      <c r="C454" s="7">
        <v>46138</v>
      </c>
      <c r="D454" t="s">
        <v>217</v>
      </c>
      <c r="E454" t="s">
        <v>21</v>
      </c>
      <c r="F454" t="s">
        <v>74</v>
      </c>
      <c r="G454" t="s">
        <v>63</v>
      </c>
      <c r="H454" t="s">
        <v>69</v>
      </c>
      <c r="I454" t="s">
        <v>84</v>
      </c>
      <c r="J454" t="s">
        <v>43</v>
      </c>
      <c r="K454" t="s">
        <v>106</v>
      </c>
      <c r="L454" t="s">
        <v>51</v>
      </c>
      <c r="M454" s="46">
        <v>289900</v>
      </c>
      <c r="N454">
        <v>7.1999999999999995E-2</v>
      </c>
      <c r="O454">
        <v>0.2</v>
      </c>
      <c r="P454" t="s">
        <v>38</v>
      </c>
      <c r="R454">
        <v>34</v>
      </c>
      <c r="S454">
        <v>22422.43</v>
      </c>
      <c r="T454">
        <f>Deals_[[#This Row],[Amount]]*Deals_[[#This Row],[Probability_Pct]]</f>
        <v>57980</v>
      </c>
    </row>
    <row r="455" spans="1:20" x14ac:dyDescent="0.2">
      <c r="A455" t="s">
        <v>884</v>
      </c>
      <c r="B455" s="7">
        <v>46170</v>
      </c>
      <c r="C455" s="7">
        <v>46224</v>
      </c>
      <c r="D455" t="s">
        <v>318</v>
      </c>
      <c r="E455" t="s">
        <v>54</v>
      </c>
      <c r="F455" t="s">
        <v>48</v>
      </c>
      <c r="G455" t="s">
        <v>55</v>
      </c>
      <c r="H455" t="s">
        <v>41</v>
      </c>
      <c r="I455" t="s">
        <v>25</v>
      </c>
      <c r="J455" t="s">
        <v>85</v>
      </c>
      <c r="K455" t="s">
        <v>27</v>
      </c>
      <c r="L455" t="s">
        <v>44</v>
      </c>
      <c r="M455" s="46">
        <v>29000</v>
      </c>
      <c r="N455">
        <v>0.30099999999999999</v>
      </c>
      <c r="O455">
        <v>0</v>
      </c>
      <c r="P455" t="s">
        <v>29</v>
      </c>
      <c r="Q455" t="s">
        <v>45</v>
      </c>
      <c r="R455">
        <v>54</v>
      </c>
      <c r="S455">
        <v>1690.36</v>
      </c>
      <c r="T455">
        <f>Deals_[[#This Row],[Amount]]*Deals_[[#This Row],[Probability_Pct]]</f>
        <v>0</v>
      </c>
    </row>
    <row r="456" spans="1:20" x14ac:dyDescent="0.2">
      <c r="A456" t="s">
        <v>885</v>
      </c>
      <c r="B456" s="7">
        <v>46186</v>
      </c>
      <c r="C456" s="7">
        <v>46213</v>
      </c>
      <c r="D456" t="s">
        <v>886</v>
      </c>
      <c r="E456" t="s">
        <v>68</v>
      </c>
      <c r="F456" t="s">
        <v>22</v>
      </c>
      <c r="G456" t="s">
        <v>92</v>
      </c>
      <c r="H456" t="s">
        <v>120</v>
      </c>
      <c r="I456" t="s">
        <v>35</v>
      </c>
      <c r="J456" t="s">
        <v>26</v>
      </c>
      <c r="K456" t="s">
        <v>78</v>
      </c>
      <c r="L456" t="s">
        <v>28</v>
      </c>
      <c r="M456" s="46">
        <v>58400</v>
      </c>
      <c r="N456">
        <v>0.13400000000000001</v>
      </c>
      <c r="O456">
        <v>0.55000000000000004</v>
      </c>
      <c r="P456" t="s">
        <v>79</v>
      </c>
      <c r="R456">
        <v>27</v>
      </c>
      <c r="S456">
        <v>4213.51</v>
      </c>
      <c r="T456">
        <f>Deals_[[#This Row],[Amount]]*Deals_[[#This Row],[Probability_Pct]]</f>
        <v>32120.000000000004</v>
      </c>
    </row>
    <row r="457" spans="1:20" x14ac:dyDescent="0.2">
      <c r="A457" t="s">
        <v>887</v>
      </c>
      <c r="B457" s="7">
        <v>46017</v>
      </c>
      <c r="C457" s="7">
        <v>46101</v>
      </c>
      <c r="D457" t="s">
        <v>888</v>
      </c>
      <c r="E457" t="s">
        <v>111</v>
      </c>
      <c r="F457" t="s">
        <v>22</v>
      </c>
      <c r="G457" t="s">
        <v>92</v>
      </c>
      <c r="H457" t="s">
        <v>64</v>
      </c>
      <c r="I457" t="s">
        <v>65</v>
      </c>
      <c r="J457" t="s">
        <v>85</v>
      </c>
      <c r="K457" t="s">
        <v>37</v>
      </c>
      <c r="L457" t="s">
        <v>44</v>
      </c>
      <c r="M457" s="46">
        <v>72600</v>
      </c>
      <c r="N457">
        <v>8.8999999999999996E-2</v>
      </c>
      <c r="O457">
        <v>0.1</v>
      </c>
      <c r="P457" t="s">
        <v>38</v>
      </c>
      <c r="R457">
        <v>84</v>
      </c>
      <c r="S457">
        <v>5513.06</v>
      </c>
      <c r="T457">
        <f>Deals_[[#This Row],[Amount]]*Deals_[[#This Row],[Probability_Pct]]</f>
        <v>7260</v>
      </c>
    </row>
    <row r="458" spans="1:20" x14ac:dyDescent="0.2">
      <c r="A458" t="s">
        <v>889</v>
      </c>
      <c r="B458" s="7">
        <v>46010</v>
      </c>
      <c r="C458" s="7">
        <v>46078</v>
      </c>
      <c r="D458" t="s">
        <v>890</v>
      </c>
      <c r="E458" t="s">
        <v>111</v>
      </c>
      <c r="F458" t="s">
        <v>22</v>
      </c>
      <c r="G458" t="s">
        <v>23</v>
      </c>
      <c r="H458" t="s">
        <v>120</v>
      </c>
      <c r="I458" t="s">
        <v>35</v>
      </c>
      <c r="J458" t="s">
        <v>85</v>
      </c>
      <c r="K458" t="s">
        <v>106</v>
      </c>
      <c r="L458" t="s">
        <v>51</v>
      </c>
      <c r="M458" s="46">
        <v>48800</v>
      </c>
      <c r="N458">
        <v>1.7000000000000001E-2</v>
      </c>
      <c r="O458">
        <v>0.2</v>
      </c>
      <c r="P458" t="s">
        <v>38</v>
      </c>
      <c r="R458">
        <v>68</v>
      </c>
      <c r="S458">
        <v>3997.37</v>
      </c>
      <c r="T458">
        <f>Deals_[[#This Row],[Amount]]*Deals_[[#This Row],[Probability_Pct]]</f>
        <v>9760</v>
      </c>
    </row>
    <row r="459" spans="1:20" x14ac:dyDescent="0.2">
      <c r="A459" t="s">
        <v>891</v>
      </c>
      <c r="B459" s="7">
        <v>46098</v>
      </c>
      <c r="C459" s="7">
        <v>46128</v>
      </c>
      <c r="D459" t="s">
        <v>892</v>
      </c>
      <c r="E459" t="s">
        <v>21</v>
      </c>
      <c r="F459" t="s">
        <v>22</v>
      </c>
      <c r="G459" t="s">
        <v>55</v>
      </c>
      <c r="H459" t="s">
        <v>120</v>
      </c>
      <c r="I459" t="s">
        <v>42</v>
      </c>
      <c r="J459" t="s">
        <v>26</v>
      </c>
      <c r="K459" t="s">
        <v>27</v>
      </c>
      <c r="L459" t="s">
        <v>28</v>
      </c>
      <c r="M459" s="46">
        <v>67000</v>
      </c>
      <c r="N459">
        <v>0.12</v>
      </c>
      <c r="O459">
        <v>0.05</v>
      </c>
      <c r="P459" t="s">
        <v>29</v>
      </c>
      <c r="Q459" t="s">
        <v>152</v>
      </c>
      <c r="R459">
        <v>30</v>
      </c>
      <c r="S459">
        <v>4913.53</v>
      </c>
      <c r="T459">
        <f>Deals_[[#This Row],[Amount]]*Deals_[[#This Row],[Probability_Pct]]</f>
        <v>3350</v>
      </c>
    </row>
    <row r="460" spans="1:20" x14ac:dyDescent="0.2">
      <c r="A460" t="s">
        <v>893</v>
      </c>
      <c r="B460" s="7">
        <v>46064</v>
      </c>
      <c r="C460" s="7">
        <v>46106</v>
      </c>
      <c r="D460" t="s">
        <v>894</v>
      </c>
      <c r="E460" t="s">
        <v>33</v>
      </c>
      <c r="F460" t="s">
        <v>22</v>
      </c>
      <c r="G460" t="s">
        <v>63</v>
      </c>
      <c r="H460" t="s">
        <v>83</v>
      </c>
      <c r="I460" t="s">
        <v>99</v>
      </c>
      <c r="J460" t="s">
        <v>85</v>
      </c>
      <c r="K460" t="s">
        <v>58</v>
      </c>
      <c r="L460" t="s">
        <v>51</v>
      </c>
      <c r="M460" s="46">
        <v>65900</v>
      </c>
      <c r="N460">
        <v>5.8999999999999997E-2</v>
      </c>
      <c r="O460">
        <v>0.75</v>
      </c>
      <c r="P460" t="s">
        <v>59</v>
      </c>
      <c r="R460">
        <v>42</v>
      </c>
      <c r="S460">
        <v>5168.0600000000004</v>
      </c>
      <c r="T460">
        <f>Deals_[[#This Row],[Amount]]*Deals_[[#This Row],[Probability_Pct]]</f>
        <v>49425</v>
      </c>
    </row>
    <row r="461" spans="1:20" x14ac:dyDescent="0.2">
      <c r="A461" t="s">
        <v>895</v>
      </c>
      <c r="B461" s="7">
        <v>45983</v>
      </c>
      <c r="C461" s="7">
        <v>46137</v>
      </c>
      <c r="D461" t="s">
        <v>866</v>
      </c>
      <c r="E461" t="s">
        <v>62</v>
      </c>
      <c r="F461" t="s">
        <v>22</v>
      </c>
      <c r="G461" t="s">
        <v>92</v>
      </c>
      <c r="H461" t="s">
        <v>56</v>
      </c>
      <c r="I461" t="s">
        <v>25</v>
      </c>
      <c r="J461" t="s">
        <v>57</v>
      </c>
      <c r="K461" t="s">
        <v>27</v>
      </c>
      <c r="L461" t="s">
        <v>44</v>
      </c>
      <c r="M461" s="46">
        <v>26000</v>
      </c>
      <c r="N461">
        <v>0.155</v>
      </c>
      <c r="O461">
        <v>0</v>
      </c>
      <c r="P461" t="s">
        <v>29</v>
      </c>
      <c r="Q461" t="s">
        <v>222</v>
      </c>
      <c r="R461">
        <v>154</v>
      </c>
      <c r="S461">
        <v>1830.56</v>
      </c>
      <c r="T461">
        <f>Deals_[[#This Row],[Amount]]*Deals_[[#This Row],[Probability_Pct]]</f>
        <v>0</v>
      </c>
    </row>
    <row r="462" spans="1:20" x14ac:dyDescent="0.2">
      <c r="A462" t="s">
        <v>896</v>
      </c>
      <c r="B462" s="7">
        <v>46107</v>
      </c>
      <c r="C462" s="7">
        <v>46198</v>
      </c>
      <c r="D462" t="s">
        <v>252</v>
      </c>
      <c r="E462" t="s">
        <v>21</v>
      </c>
      <c r="F462" t="s">
        <v>22</v>
      </c>
      <c r="G462" t="s">
        <v>34</v>
      </c>
      <c r="H462" t="s">
        <v>56</v>
      </c>
      <c r="I462" t="s">
        <v>25</v>
      </c>
      <c r="J462" t="s">
        <v>57</v>
      </c>
      <c r="K462" t="s">
        <v>58</v>
      </c>
      <c r="L462" t="s">
        <v>28</v>
      </c>
      <c r="M462" s="46">
        <v>42000</v>
      </c>
      <c r="N462">
        <v>0.23400000000000001</v>
      </c>
      <c r="O462">
        <v>0.7</v>
      </c>
      <c r="P462" t="s">
        <v>59</v>
      </c>
      <c r="R462">
        <v>91</v>
      </c>
      <c r="S462">
        <v>2680.6</v>
      </c>
      <c r="T462">
        <f>Deals_[[#This Row],[Amount]]*Deals_[[#This Row],[Probability_Pct]]</f>
        <v>29399.999999999996</v>
      </c>
    </row>
    <row r="463" spans="1:20" x14ac:dyDescent="0.2">
      <c r="A463" t="s">
        <v>897</v>
      </c>
      <c r="B463" s="7">
        <v>46123</v>
      </c>
      <c r="C463" s="7">
        <v>46166</v>
      </c>
      <c r="D463" t="s">
        <v>898</v>
      </c>
      <c r="E463" t="s">
        <v>68</v>
      </c>
      <c r="F463" t="s">
        <v>48</v>
      </c>
      <c r="G463" t="s">
        <v>23</v>
      </c>
      <c r="H463" t="s">
        <v>41</v>
      </c>
      <c r="I463" t="s">
        <v>84</v>
      </c>
      <c r="J463" t="s">
        <v>26</v>
      </c>
      <c r="K463" t="s">
        <v>37</v>
      </c>
      <c r="L463" t="s">
        <v>44</v>
      </c>
      <c r="M463" s="46">
        <v>19600</v>
      </c>
      <c r="N463">
        <v>8.2000000000000003E-2</v>
      </c>
      <c r="O463">
        <v>0.1</v>
      </c>
      <c r="P463" t="s">
        <v>38</v>
      </c>
      <c r="R463">
        <v>43</v>
      </c>
      <c r="S463">
        <v>1499.65</v>
      </c>
      <c r="T463">
        <f>Deals_[[#This Row],[Amount]]*Deals_[[#This Row],[Probability_Pct]]</f>
        <v>1960</v>
      </c>
    </row>
    <row r="464" spans="1:20" x14ac:dyDescent="0.2">
      <c r="A464" t="s">
        <v>899</v>
      </c>
      <c r="B464" s="7">
        <v>45968</v>
      </c>
      <c r="C464" s="7">
        <v>46062</v>
      </c>
      <c r="D464" t="s">
        <v>900</v>
      </c>
      <c r="E464" t="s">
        <v>68</v>
      </c>
      <c r="F464" t="s">
        <v>74</v>
      </c>
      <c r="G464" t="s">
        <v>55</v>
      </c>
      <c r="H464" t="s">
        <v>95</v>
      </c>
      <c r="I464" t="s">
        <v>25</v>
      </c>
      <c r="J464" t="s">
        <v>85</v>
      </c>
      <c r="K464" t="s">
        <v>50</v>
      </c>
      <c r="L464" t="s">
        <v>28</v>
      </c>
      <c r="M464" s="46">
        <v>336700</v>
      </c>
      <c r="N464">
        <v>0.15</v>
      </c>
      <c r="O464">
        <v>0.95</v>
      </c>
      <c r="P464" t="s">
        <v>29</v>
      </c>
      <c r="R464">
        <v>94</v>
      </c>
      <c r="S464">
        <v>23861.279999999999</v>
      </c>
      <c r="T464">
        <f>Deals_[[#This Row],[Amount]]*Deals_[[#This Row],[Probability_Pct]]</f>
        <v>319865</v>
      </c>
    </row>
    <row r="465" spans="1:20" x14ac:dyDescent="0.2">
      <c r="A465" t="s">
        <v>901</v>
      </c>
      <c r="B465" s="7">
        <v>46172</v>
      </c>
      <c r="C465" s="7">
        <v>46319</v>
      </c>
      <c r="D465" t="s">
        <v>902</v>
      </c>
      <c r="E465" t="s">
        <v>33</v>
      </c>
      <c r="F465" t="s">
        <v>48</v>
      </c>
      <c r="G465" t="s">
        <v>92</v>
      </c>
      <c r="H465" t="s">
        <v>120</v>
      </c>
      <c r="I465" t="s">
        <v>35</v>
      </c>
      <c r="J465" t="s">
        <v>26</v>
      </c>
      <c r="K465" t="s">
        <v>106</v>
      </c>
      <c r="L465" t="s">
        <v>51</v>
      </c>
      <c r="M465" s="46">
        <v>7700</v>
      </c>
      <c r="N465">
        <v>7.2999999999999995E-2</v>
      </c>
      <c r="O465">
        <v>0.2</v>
      </c>
      <c r="P465" t="s">
        <v>38</v>
      </c>
      <c r="R465">
        <v>147</v>
      </c>
      <c r="S465">
        <v>594.54999999999995</v>
      </c>
      <c r="T465">
        <f>Deals_[[#This Row],[Amount]]*Deals_[[#This Row],[Probability_Pct]]</f>
        <v>1540</v>
      </c>
    </row>
    <row r="466" spans="1:20" x14ac:dyDescent="0.2">
      <c r="A466" t="s">
        <v>903</v>
      </c>
      <c r="B466" s="7">
        <v>46262</v>
      </c>
      <c r="C466" s="7">
        <v>46335</v>
      </c>
      <c r="D466" t="s">
        <v>228</v>
      </c>
      <c r="E466" t="s">
        <v>111</v>
      </c>
      <c r="F466" t="s">
        <v>22</v>
      </c>
      <c r="G466" t="s">
        <v>63</v>
      </c>
      <c r="H466" t="s">
        <v>83</v>
      </c>
      <c r="I466" t="s">
        <v>65</v>
      </c>
      <c r="J466" t="s">
        <v>43</v>
      </c>
      <c r="K466" t="s">
        <v>106</v>
      </c>
      <c r="L466" t="s">
        <v>51</v>
      </c>
      <c r="M466" s="46">
        <v>96400</v>
      </c>
      <c r="N466">
        <v>0.17499999999999999</v>
      </c>
      <c r="O466">
        <v>0.2</v>
      </c>
      <c r="P466" t="s">
        <v>38</v>
      </c>
      <c r="R466">
        <v>73</v>
      </c>
      <c r="S466">
        <v>6629.57</v>
      </c>
      <c r="T466">
        <f>Deals_[[#This Row],[Amount]]*Deals_[[#This Row],[Probability_Pct]]</f>
        <v>19280</v>
      </c>
    </row>
    <row r="467" spans="1:20" x14ac:dyDescent="0.2">
      <c r="A467" t="s">
        <v>904</v>
      </c>
      <c r="B467" s="7">
        <v>46074</v>
      </c>
      <c r="C467" s="7">
        <v>46139</v>
      </c>
      <c r="D467" t="s">
        <v>771</v>
      </c>
      <c r="E467" t="s">
        <v>111</v>
      </c>
      <c r="F467" t="s">
        <v>48</v>
      </c>
      <c r="G467" t="s">
        <v>23</v>
      </c>
      <c r="H467" t="s">
        <v>41</v>
      </c>
      <c r="I467" t="s">
        <v>84</v>
      </c>
      <c r="J467" t="s">
        <v>36</v>
      </c>
      <c r="K467" t="s">
        <v>106</v>
      </c>
      <c r="L467" t="s">
        <v>28</v>
      </c>
      <c r="M467" s="46">
        <v>6100</v>
      </c>
      <c r="N467">
        <v>5.0000000000000001E-3</v>
      </c>
      <c r="O467">
        <v>0.25</v>
      </c>
      <c r="P467" t="s">
        <v>38</v>
      </c>
      <c r="R467">
        <v>65</v>
      </c>
      <c r="S467">
        <v>505.74</v>
      </c>
      <c r="T467">
        <f>Deals_[[#This Row],[Amount]]*Deals_[[#This Row],[Probability_Pct]]</f>
        <v>1525</v>
      </c>
    </row>
    <row r="468" spans="1:20" x14ac:dyDescent="0.2">
      <c r="A468" t="s">
        <v>905</v>
      </c>
      <c r="B468" s="7">
        <v>46011</v>
      </c>
      <c r="C468" s="7">
        <v>46157</v>
      </c>
      <c r="D468" t="s">
        <v>906</v>
      </c>
      <c r="E468" t="s">
        <v>21</v>
      </c>
      <c r="F468" t="s">
        <v>48</v>
      </c>
      <c r="G468" t="s">
        <v>92</v>
      </c>
      <c r="H468" t="s">
        <v>56</v>
      </c>
      <c r="I468" t="s">
        <v>42</v>
      </c>
      <c r="J468" t="s">
        <v>26</v>
      </c>
      <c r="K468" t="s">
        <v>37</v>
      </c>
      <c r="L468" t="s">
        <v>28</v>
      </c>
      <c r="M468" s="46">
        <v>6400</v>
      </c>
      <c r="N468">
        <v>3.9E-2</v>
      </c>
      <c r="O468">
        <v>0.1</v>
      </c>
      <c r="P468" t="s">
        <v>38</v>
      </c>
      <c r="R468">
        <v>146</v>
      </c>
      <c r="S468">
        <v>512.37</v>
      </c>
      <c r="T468">
        <f>Deals_[[#This Row],[Amount]]*Deals_[[#This Row],[Probability_Pct]]</f>
        <v>640</v>
      </c>
    </row>
    <row r="469" spans="1:20" x14ac:dyDescent="0.2">
      <c r="A469" t="s">
        <v>907</v>
      </c>
      <c r="B469" s="7">
        <v>46097</v>
      </c>
      <c r="C469" s="7">
        <v>46234</v>
      </c>
      <c r="D469" t="s">
        <v>908</v>
      </c>
      <c r="E469" t="s">
        <v>82</v>
      </c>
      <c r="F469" t="s">
        <v>48</v>
      </c>
      <c r="G469" t="s">
        <v>34</v>
      </c>
      <c r="H469" t="s">
        <v>120</v>
      </c>
      <c r="I469" t="s">
        <v>99</v>
      </c>
      <c r="J469" t="s">
        <v>43</v>
      </c>
      <c r="K469" t="s">
        <v>37</v>
      </c>
      <c r="L469" t="s">
        <v>44</v>
      </c>
      <c r="M469" s="46">
        <v>16900</v>
      </c>
      <c r="N469">
        <v>0.151</v>
      </c>
      <c r="O469">
        <v>0.15</v>
      </c>
      <c r="P469" t="s">
        <v>38</v>
      </c>
      <c r="R469">
        <v>137</v>
      </c>
      <c r="S469">
        <v>1195.1300000000001</v>
      </c>
      <c r="T469">
        <f>Deals_[[#This Row],[Amount]]*Deals_[[#This Row],[Probability_Pct]]</f>
        <v>2535</v>
      </c>
    </row>
    <row r="470" spans="1:20" x14ac:dyDescent="0.2">
      <c r="A470" t="s">
        <v>909</v>
      </c>
      <c r="B470" s="7">
        <v>46254</v>
      </c>
      <c r="C470" s="7">
        <v>46277</v>
      </c>
      <c r="D470" t="s">
        <v>821</v>
      </c>
      <c r="E470" t="s">
        <v>68</v>
      </c>
      <c r="F470" t="s">
        <v>48</v>
      </c>
      <c r="G470" t="s">
        <v>23</v>
      </c>
      <c r="H470" t="s">
        <v>56</v>
      </c>
      <c r="I470" t="s">
        <v>99</v>
      </c>
      <c r="J470" t="s">
        <v>57</v>
      </c>
      <c r="K470" t="s">
        <v>27</v>
      </c>
      <c r="L470" t="s">
        <v>44</v>
      </c>
      <c r="M470" s="46">
        <v>11500</v>
      </c>
      <c r="N470">
        <v>0.127</v>
      </c>
      <c r="O470">
        <v>0</v>
      </c>
      <c r="P470" t="s">
        <v>29</v>
      </c>
      <c r="Q470" t="s">
        <v>30</v>
      </c>
      <c r="R470">
        <v>23</v>
      </c>
      <c r="S470">
        <v>836.63</v>
      </c>
      <c r="T470">
        <f>Deals_[[#This Row],[Amount]]*Deals_[[#This Row],[Probability_Pct]]</f>
        <v>0</v>
      </c>
    </row>
    <row r="471" spans="1:20" x14ac:dyDescent="0.2">
      <c r="A471" t="s">
        <v>910</v>
      </c>
      <c r="B471" s="7">
        <v>46221</v>
      </c>
      <c r="C471" s="7">
        <v>46303</v>
      </c>
      <c r="D471" t="s">
        <v>911</v>
      </c>
      <c r="E471" t="s">
        <v>91</v>
      </c>
      <c r="F471" t="s">
        <v>48</v>
      </c>
      <c r="G471" t="s">
        <v>92</v>
      </c>
      <c r="H471" t="s">
        <v>24</v>
      </c>
      <c r="I471" t="s">
        <v>35</v>
      </c>
      <c r="J471" t="s">
        <v>26</v>
      </c>
      <c r="K471" t="s">
        <v>37</v>
      </c>
      <c r="L471" t="s">
        <v>51</v>
      </c>
      <c r="M471" s="46">
        <v>29300</v>
      </c>
      <c r="N471">
        <v>0.14099999999999999</v>
      </c>
      <c r="O471">
        <v>0.1</v>
      </c>
      <c r="P471" t="s">
        <v>38</v>
      </c>
      <c r="R471">
        <v>82</v>
      </c>
      <c r="S471">
        <v>2097.27</v>
      </c>
      <c r="T471">
        <f>Deals_[[#This Row],[Amount]]*Deals_[[#This Row],[Probability_Pct]]</f>
        <v>2930</v>
      </c>
    </row>
    <row r="472" spans="1:20" x14ac:dyDescent="0.2">
      <c r="A472" t="s">
        <v>912</v>
      </c>
      <c r="B472" s="7">
        <v>46010</v>
      </c>
      <c r="C472" s="7">
        <v>46037</v>
      </c>
      <c r="D472" t="s">
        <v>913</v>
      </c>
      <c r="E472" t="s">
        <v>111</v>
      </c>
      <c r="F472" t="s">
        <v>22</v>
      </c>
      <c r="G472" t="s">
        <v>92</v>
      </c>
      <c r="H472" t="s">
        <v>83</v>
      </c>
      <c r="I472" t="s">
        <v>99</v>
      </c>
      <c r="J472" t="s">
        <v>57</v>
      </c>
      <c r="K472" t="s">
        <v>78</v>
      </c>
      <c r="L472" t="s">
        <v>44</v>
      </c>
      <c r="M472" s="46">
        <v>95600</v>
      </c>
      <c r="N472">
        <v>0.19800000000000001</v>
      </c>
      <c r="O472">
        <v>0.55000000000000004</v>
      </c>
      <c r="P472" t="s">
        <v>79</v>
      </c>
      <c r="R472">
        <v>27</v>
      </c>
      <c r="S472">
        <v>6393.23</v>
      </c>
      <c r="T472">
        <f>Deals_[[#This Row],[Amount]]*Deals_[[#This Row],[Probability_Pct]]</f>
        <v>52580.000000000007</v>
      </c>
    </row>
    <row r="473" spans="1:20" x14ac:dyDescent="0.2">
      <c r="A473" t="s">
        <v>914</v>
      </c>
      <c r="B473" s="7">
        <v>46197</v>
      </c>
      <c r="C473" s="7">
        <v>46331</v>
      </c>
      <c r="D473" t="s">
        <v>915</v>
      </c>
      <c r="E473" t="s">
        <v>82</v>
      </c>
      <c r="F473" t="s">
        <v>48</v>
      </c>
      <c r="G473" t="s">
        <v>23</v>
      </c>
      <c r="H473" t="s">
        <v>120</v>
      </c>
      <c r="I473" t="s">
        <v>65</v>
      </c>
      <c r="J473" t="s">
        <v>36</v>
      </c>
      <c r="K473" t="s">
        <v>88</v>
      </c>
      <c r="L473" t="s">
        <v>51</v>
      </c>
      <c r="M473" s="46">
        <v>27600</v>
      </c>
      <c r="N473">
        <v>6.9000000000000006E-2</v>
      </c>
      <c r="O473">
        <v>0.3</v>
      </c>
      <c r="P473" t="s">
        <v>38</v>
      </c>
      <c r="R473">
        <v>134</v>
      </c>
      <c r="S473">
        <v>2142.19</v>
      </c>
      <c r="T473">
        <f>Deals_[[#This Row],[Amount]]*Deals_[[#This Row],[Probability_Pct]]</f>
        <v>8280</v>
      </c>
    </row>
    <row r="474" spans="1:20" x14ac:dyDescent="0.2">
      <c r="A474" t="s">
        <v>916</v>
      </c>
      <c r="B474" s="7">
        <v>45977</v>
      </c>
      <c r="C474" s="7">
        <v>46049</v>
      </c>
      <c r="D474" t="s">
        <v>917</v>
      </c>
      <c r="E474" t="s">
        <v>62</v>
      </c>
      <c r="F474" t="s">
        <v>48</v>
      </c>
      <c r="G474" t="s">
        <v>55</v>
      </c>
      <c r="H474" t="s">
        <v>56</v>
      </c>
      <c r="I474" t="s">
        <v>42</v>
      </c>
      <c r="J474" t="s">
        <v>85</v>
      </c>
      <c r="K474" t="s">
        <v>58</v>
      </c>
      <c r="L474" t="s">
        <v>28</v>
      </c>
      <c r="M474" s="46">
        <v>7600</v>
      </c>
      <c r="N474">
        <v>0.127</v>
      </c>
      <c r="O474">
        <v>0.7</v>
      </c>
      <c r="P474" t="s">
        <v>59</v>
      </c>
      <c r="R474">
        <v>72</v>
      </c>
      <c r="S474">
        <v>553.02</v>
      </c>
      <c r="T474">
        <f>Deals_[[#This Row],[Amount]]*Deals_[[#This Row],[Probability_Pct]]</f>
        <v>5320</v>
      </c>
    </row>
    <row r="475" spans="1:20" x14ac:dyDescent="0.2">
      <c r="A475" t="s">
        <v>918</v>
      </c>
      <c r="B475" s="7">
        <v>46197</v>
      </c>
      <c r="C475" s="7">
        <v>46277</v>
      </c>
      <c r="D475" t="s">
        <v>108</v>
      </c>
      <c r="E475" t="s">
        <v>91</v>
      </c>
      <c r="F475" t="s">
        <v>74</v>
      </c>
      <c r="G475" t="s">
        <v>34</v>
      </c>
      <c r="H475" t="s">
        <v>41</v>
      </c>
      <c r="I475" t="s">
        <v>25</v>
      </c>
      <c r="J475" t="s">
        <v>85</v>
      </c>
      <c r="K475" t="s">
        <v>27</v>
      </c>
      <c r="L475" t="s">
        <v>51</v>
      </c>
      <c r="M475" s="46">
        <v>296700</v>
      </c>
      <c r="N475">
        <v>0.124</v>
      </c>
      <c r="O475">
        <v>0.05</v>
      </c>
      <c r="P475" t="s">
        <v>29</v>
      </c>
      <c r="Q475" t="s">
        <v>188</v>
      </c>
      <c r="R475">
        <v>80</v>
      </c>
      <c r="S475">
        <v>21650.74</v>
      </c>
      <c r="T475">
        <f>Deals_[[#This Row],[Amount]]*Deals_[[#This Row],[Probability_Pct]]</f>
        <v>14835</v>
      </c>
    </row>
    <row r="476" spans="1:20" x14ac:dyDescent="0.2">
      <c r="A476" t="s">
        <v>919</v>
      </c>
      <c r="B476" s="7">
        <v>46001</v>
      </c>
      <c r="C476" s="7">
        <v>46117</v>
      </c>
      <c r="D476" t="s">
        <v>198</v>
      </c>
      <c r="E476" t="s">
        <v>68</v>
      </c>
      <c r="F476" t="s">
        <v>48</v>
      </c>
      <c r="G476" t="s">
        <v>92</v>
      </c>
      <c r="H476" t="s">
        <v>120</v>
      </c>
      <c r="I476" t="s">
        <v>99</v>
      </c>
      <c r="J476" t="s">
        <v>57</v>
      </c>
      <c r="K476" t="s">
        <v>37</v>
      </c>
      <c r="L476" t="s">
        <v>44</v>
      </c>
      <c r="M476" s="46">
        <v>29000</v>
      </c>
      <c r="N476">
        <v>0.154</v>
      </c>
      <c r="O476">
        <v>0.15</v>
      </c>
      <c r="P476" t="s">
        <v>38</v>
      </c>
      <c r="R476">
        <v>116</v>
      </c>
      <c r="S476">
        <v>2044.54</v>
      </c>
      <c r="T476">
        <f>Deals_[[#This Row],[Amount]]*Deals_[[#This Row],[Probability_Pct]]</f>
        <v>4350</v>
      </c>
    </row>
    <row r="477" spans="1:20" x14ac:dyDescent="0.2">
      <c r="A477" t="s">
        <v>920</v>
      </c>
      <c r="B477" s="7">
        <v>46073</v>
      </c>
      <c r="C477" s="7">
        <v>46114</v>
      </c>
      <c r="D477" t="s">
        <v>921</v>
      </c>
      <c r="E477" t="s">
        <v>33</v>
      </c>
      <c r="F477" t="s">
        <v>48</v>
      </c>
      <c r="G477" t="s">
        <v>92</v>
      </c>
      <c r="H477" t="s">
        <v>77</v>
      </c>
      <c r="I477" t="s">
        <v>35</v>
      </c>
      <c r="J477" t="s">
        <v>36</v>
      </c>
      <c r="K477" t="s">
        <v>37</v>
      </c>
      <c r="L477" t="s">
        <v>44</v>
      </c>
      <c r="M477" s="46">
        <v>20100</v>
      </c>
      <c r="N477">
        <v>6.0000000000000001E-3</v>
      </c>
      <c r="O477">
        <v>0.1</v>
      </c>
      <c r="P477" t="s">
        <v>38</v>
      </c>
      <c r="R477">
        <v>41</v>
      </c>
      <c r="S477">
        <v>1665.25</v>
      </c>
      <c r="T477">
        <f>Deals_[[#This Row],[Amount]]*Deals_[[#This Row],[Probability_Pct]]</f>
        <v>2010</v>
      </c>
    </row>
    <row r="478" spans="1:20" x14ac:dyDescent="0.2">
      <c r="A478" t="s">
        <v>922</v>
      </c>
      <c r="B478" s="7">
        <v>45946</v>
      </c>
      <c r="C478" s="7">
        <v>46068</v>
      </c>
      <c r="D478" t="s">
        <v>923</v>
      </c>
      <c r="E478" t="s">
        <v>68</v>
      </c>
      <c r="F478" t="s">
        <v>22</v>
      </c>
      <c r="G478" t="s">
        <v>34</v>
      </c>
      <c r="H478" t="s">
        <v>24</v>
      </c>
      <c r="I478" t="s">
        <v>99</v>
      </c>
      <c r="J478" t="s">
        <v>36</v>
      </c>
      <c r="K478" t="s">
        <v>88</v>
      </c>
      <c r="L478" t="s">
        <v>51</v>
      </c>
      <c r="M478" s="46">
        <v>66100</v>
      </c>
      <c r="N478">
        <v>4.1000000000000002E-2</v>
      </c>
      <c r="O478">
        <v>0.4</v>
      </c>
      <c r="P478" t="s">
        <v>38</v>
      </c>
      <c r="R478">
        <v>122</v>
      </c>
      <c r="S478">
        <v>5281.03</v>
      </c>
      <c r="T478">
        <f>Deals_[[#This Row],[Amount]]*Deals_[[#This Row],[Probability_Pct]]</f>
        <v>26440</v>
      </c>
    </row>
    <row r="479" spans="1:20" x14ac:dyDescent="0.2">
      <c r="A479" t="s">
        <v>924</v>
      </c>
      <c r="B479" s="7">
        <v>46202</v>
      </c>
      <c r="C479" s="7">
        <v>46279</v>
      </c>
      <c r="D479" t="s">
        <v>925</v>
      </c>
      <c r="E479" t="s">
        <v>54</v>
      </c>
      <c r="F479" t="s">
        <v>48</v>
      </c>
      <c r="G479" t="s">
        <v>34</v>
      </c>
      <c r="H479" t="s">
        <v>98</v>
      </c>
      <c r="I479" t="s">
        <v>35</v>
      </c>
      <c r="J479" t="s">
        <v>85</v>
      </c>
      <c r="K479" t="s">
        <v>88</v>
      </c>
      <c r="L479" t="s">
        <v>44</v>
      </c>
      <c r="M479" s="46">
        <v>11900</v>
      </c>
      <c r="N479">
        <v>6.7000000000000004E-2</v>
      </c>
      <c r="O479">
        <v>0.35</v>
      </c>
      <c r="P479" t="s">
        <v>38</v>
      </c>
      <c r="R479">
        <v>77</v>
      </c>
      <c r="S479">
        <v>925.64</v>
      </c>
      <c r="T479">
        <f>Deals_[[#This Row],[Amount]]*Deals_[[#This Row],[Probability_Pct]]</f>
        <v>4165</v>
      </c>
    </row>
    <row r="480" spans="1:20" x14ac:dyDescent="0.2">
      <c r="A480" t="s">
        <v>926</v>
      </c>
      <c r="B480" s="7">
        <v>46076</v>
      </c>
      <c r="C480" s="7">
        <v>46194</v>
      </c>
      <c r="D480" t="s">
        <v>254</v>
      </c>
      <c r="E480" t="s">
        <v>91</v>
      </c>
      <c r="F480" t="s">
        <v>22</v>
      </c>
      <c r="G480" t="s">
        <v>55</v>
      </c>
      <c r="H480" t="s">
        <v>137</v>
      </c>
      <c r="I480" t="s">
        <v>35</v>
      </c>
      <c r="J480" t="s">
        <v>26</v>
      </c>
      <c r="K480" t="s">
        <v>88</v>
      </c>
      <c r="L480" t="s">
        <v>28</v>
      </c>
      <c r="M480" s="46">
        <v>97100</v>
      </c>
      <c r="N480">
        <v>0.215</v>
      </c>
      <c r="O480">
        <v>0.35</v>
      </c>
      <c r="P480" t="s">
        <v>38</v>
      </c>
      <c r="R480">
        <v>118</v>
      </c>
      <c r="S480">
        <v>6350.9</v>
      </c>
      <c r="T480">
        <f>Deals_[[#This Row],[Amount]]*Deals_[[#This Row],[Probability_Pct]]</f>
        <v>33985</v>
      </c>
    </row>
    <row r="481" spans="1:20" x14ac:dyDescent="0.2">
      <c r="A481" t="s">
        <v>927</v>
      </c>
      <c r="B481" s="7">
        <v>46035</v>
      </c>
      <c r="C481" s="7">
        <v>46102</v>
      </c>
      <c r="D481" t="s">
        <v>410</v>
      </c>
      <c r="E481" t="s">
        <v>62</v>
      </c>
      <c r="F481" t="s">
        <v>48</v>
      </c>
      <c r="G481" t="s">
        <v>63</v>
      </c>
      <c r="H481" t="s">
        <v>137</v>
      </c>
      <c r="I481" t="s">
        <v>65</v>
      </c>
      <c r="J481" t="s">
        <v>43</v>
      </c>
      <c r="K481" t="s">
        <v>106</v>
      </c>
      <c r="L481" t="s">
        <v>44</v>
      </c>
      <c r="M481" s="46">
        <v>17300</v>
      </c>
      <c r="N481">
        <v>8.0000000000000002E-3</v>
      </c>
      <c r="O481">
        <v>0.15</v>
      </c>
      <c r="P481" t="s">
        <v>38</v>
      </c>
      <c r="R481">
        <v>67</v>
      </c>
      <c r="S481">
        <v>1429.41</v>
      </c>
      <c r="T481">
        <f>Deals_[[#This Row],[Amount]]*Deals_[[#This Row],[Probability_Pct]]</f>
        <v>2595</v>
      </c>
    </row>
    <row r="482" spans="1:20" x14ac:dyDescent="0.2">
      <c r="A482" t="s">
        <v>928</v>
      </c>
      <c r="B482" s="7">
        <v>46207</v>
      </c>
      <c r="C482" s="7">
        <v>46263</v>
      </c>
      <c r="D482" t="s">
        <v>829</v>
      </c>
      <c r="E482" t="s">
        <v>91</v>
      </c>
      <c r="F482" t="s">
        <v>48</v>
      </c>
      <c r="G482" t="s">
        <v>92</v>
      </c>
      <c r="H482" t="s">
        <v>137</v>
      </c>
      <c r="I482" t="s">
        <v>84</v>
      </c>
      <c r="J482" t="s">
        <v>43</v>
      </c>
      <c r="K482" t="s">
        <v>58</v>
      </c>
      <c r="L482" t="s">
        <v>44</v>
      </c>
      <c r="M482" s="46">
        <v>29900</v>
      </c>
      <c r="N482">
        <v>0.105</v>
      </c>
      <c r="O482">
        <v>0.7</v>
      </c>
      <c r="P482" t="s">
        <v>59</v>
      </c>
      <c r="R482">
        <v>56</v>
      </c>
      <c r="S482">
        <v>2230.4899999999998</v>
      </c>
      <c r="T482">
        <f>Deals_[[#This Row],[Amount]]*Deals_[[#This Row],[Probability_Pct]]</f>
        <v>20930</v>
      </c>
    </row>
    <row r="483" spans="1:20" x14ac:dyDescent="0.2">
      <c r="A483" t="s">
        <v>929</v>
      </c>
      <c r="B483" s="7">
        <v>45961</v>
      </c>
      <c r="C483" s="7">
        <v>46100</v>
      </c>
      <c r="D483" t="s">
        <v>139</v>
      </c>
      <c r="E483" t="s">
        <v>111</v>
      </c>
      <c r="F483" t="s">
        <v>48</v>
      </c>
      <c r="G483" t="s">
        <v>55</v>
      </c>
      <c r="H483" t="s">
        <v>95</v>
      </c>
      <c r="I483" t="s">
        <v>65</v>
      </c>
      <c r="J483" t="s">
        <v>26</v>
      </c>
      <c r="K483" t="s">
        <v>50</v>
      </c>
      <c r="L483" t="s">
        <v>28</v>
      </c>
      <c r="M483" s="46">
        <v>20000</v>
      </c>
      <c r="N483">
        <v>9.7000000000000003E-2</v>
      </c>
      <c r="O483">
        <v>1</v>
      </c>
      <c r="P483" t="s">
        <v>29</v>
      </c>
      <c r="R483">
        <v>139</v>
      </c>
      <c r="S483">
        <v>1504.38</v>
      </c>
      <c r="T483">
        <f>Deals_[[#This Row],[Amount]]*Deals_[[#This Row],[Probability_Pct]]</f>
        <v>20000</v>
      </c>
    </row>
    <row r="484" spans="1:20" x14ac:dyDescent="0.2">
      <c r="A484" t="s">
        <v>930</v>
      </c>
      <c r="B484" s="7">
        <v>46168</v>
      </c>
      <c r="C484" s="7">
        <v>46324</v>
      </c>
      <c r="D484" t="s">
        <v>931</v>
      </c>
      <c r="E484" t="s">
        <v>68</v>
      </c>
      <c r="F484" t="s">
        <v>74</v>
      </c>
      <c r="G484" t="s">
        <v>55</v>
      </c>
      <c r="H484" t="s">
        <v>69</v>
      </c>
      <c r="I484" t="s">
        <v>25</v>
      </c>
      <c r="J484" t="s">
        <v>43</v>
      </c>
      <c r="K484" t="s">
        <v>78</v>
      </c>
      <c r="L484" t="s">
        <v>28</v>
      </c>
      <c r="M484" s="46">
        <v>266500</v>
      </c>
      <c r="N484">
        <v>0.18</v>
      </c>
      <c r="O484">
        <v>0.55000000000000004</v>
      </c>
      <c r="P484" t="s">
        <v>79</v>
      </c>
      <c r="R484">
        <v>156</v>
      </c>
      <c r="S484">
        <v>18216.419999999998</v>
      </c>
      <c r="T484">
        <f>Deals_[[#This Row],[Amount]]*Deals_[[#This Row],[Probability_Pct]]</f>
        <v>146575</v>
      </c>
    </row>
    <row r="485" spans="1:20" x14ac:dyDescent="0.2">
      <c r="A485" t="s">
        <v>932</v>
      </c>
      <c r="B485" s="7">
        <v>46115</v>
      </c>
      <c r="C485" s="7">
        <v>46241</v>
      </c>
      <c r="D485" t="s">
        <v>500</v>
      </c>
      <c r="E485" t="s">
        <v>91</v>
      </c>
      <c r="F485" t="s">
        <v>22</v>
      </c>
      <c r="G485" t="s">
        <v>55</v>
      </c>
      <c r="H485" t="s">
        <v>83</v>
      </c>
      <c r="I485" t="s">
        <v>42</v>
      </c>
      <c r="J485" t="s">
        <v>43</v>
      </c>
      <c r="K485" t="s">
        <v>88</v>
      </c>
      <c r="L485" t="s">
        <v>44</v>
      </c>
      <c r="M485" s="46">
        <v>98600</v>
      </c>
      <c r="N485">
        <v>0.13600000000000001</v>
      </c>
      <c r="O485">
        <v>0.4</v>
      </c>
      <c r="P485" t="s">
        <v>38</v>
      </c>
      <c r="R485">
        <v>126</v>
      </c>
      <c r="S485">
        <v>7102.94</v>
      </c>
      <c r="T485">
        <f>Deals_[[#This Row],[Amount]]*Deals_[[#This Row],[Probability_Pct]]</f>
        <v>39440</v>
      </c>
    </row>
    <row r="486" spans="1:20" x14ac:dyDescent="0.2">
      <c r="A486" t="s">
        <v>933</v>
      </c>
      <c r="B486" s="7">
        <v>46206</v>
      </c>
      <c r="C486" s="7">
        <v>46301</v>
      </c>
      <c r="D486" t="s">
        <v>890</v>
      </c>
      <c r="E486" t="s">
        <v>33</v>
      </c>
      <c r="F486" t="s">
        <v>48</v>
      </c>
      <c r="G486" t="s">
        <v>23</v>
      </c>
      <c r="H486" t="s">
        <v>41</v>
      </c>
      <c r="I486" t="s">
        <v>35</v>
      </c>
      <c r="J486" t="s">
        <v>26</v>
      </c>
      <c r="K486" t="s">
        <v>78</v>
      </c>
      <c r="L486" t="s">
        <v>51</v>
      </c>
      <c r="M486" s="46">
        <v>26200</v>
      </c>
      <c r="N486">
        <v>0.112</v>
      </c>
      <c r="O486">
        <v>0.5</v>
      </c>
      <c r="P486" t="s">
        <v>79</v>
      </c>
      <c r="R486">
        <v>95</v>
      </c>
      <c r="S486">
        <v>1937.82</v>
      </c>
      <c r="T486">
        <f>Deals_[[#This Row],[Amount]]*Deals_[[#This Row],[Probability_Pct]]</f>
        <v>13100</v>
      </c>
    </row>
    <row r="487" spans="1:20" x14ac:dyDescent="0.2">
      <c r="A487" t="s">
        <v>934</v>
      </c>
      <c r="B487" s="7">
        <v>46168</v>
      </c>
      <c r="C487" s="7">
        <v>46256</v>
      </c>
      <c r="D487" t="s">
        <v>94</v>
      </c>
      <c r="E487" t="s">
        <v>54</v>
      </c>
      <c r="F487" t="s">
        <v>48</v>
      </c>
      <c r="G487" t="s">
        <v>63</v>
      </c>
      <c r="H487" t="s">
        <v>41</v>
      </c>
      <c r="I487" t="s">
        <v>99</v>
      </c>
      <c r="J487" t="s">
        <v>85</v>
      </c>
      <c r="K487" t="s">
        <v>27</v>
      </c>
      <c r="L487" t="s">
        <v>44</v>
      </c>
      <c r="M487" s="46">
        <v>20200</v>
      </c>
      <c r="N487">
        <v>0.17299999999999999</v>
      </c>
      <c r="O487">
        <v>0</v>
      </c>
      <c r="P487" t="s">
        <v>29</v>
      </c>
      <c r="Q487" t="s">
        <v>45</v>
      </c>
      <c r="R487">
        <v>88</v>
      </c>
      <c r="S487">
        <v>1392.32</v>
      </c>
      <c r="T487">
        <f>Deals_[[#This Row],[Amount]]*Deals_[[#This Row],[Probability_Pct]]</f>
        <v>0</v>
      </c>
    </row>
    <row r="488" spans="1:20" x14ac:dyDescent="0.2">
      <c r="A488" t="s">
        <v>935</v>
      </c>
      <c r="B488" s="7">
        <v>46144</v>
      </c>
      <c r="C488" s="7">
        <v>46233</v>
      </c>
      <c r="D488" t="s">
        <v>936</v>
      </c>
      <c r="E488" t="s">
        <v>111</v>
      </c>
      <c r="F488" t="s">
        <v>22</v>
      </c>
      <c r="G488" t="s">
        <v>34</v>
      </c>
      <c r="H488" t="s">
        <v>98</v>
      </c>
      <c r="I488" t="s">
        <v>42</v>
      </c>
      <c r="J488" t="s">
        <v>43</v>
      </c>
      <c r="K488" t="s">
        <v>88</v>
      </c>
      <c r="L488" t="s">
        <v>44</v>
      </c>
      <c r="M488" s="46">
        <v>93000</v>
      </c>
      <c r="N488">
        <v>0.21199999999999999</v>
      </c>
      <c r="O488">
        <v>0.35</v>
      </c>
      <c r="P488" t="s">
        <v>38</v>
      </c>
      <c r="R488">
        <v>89</v>
      </c>
      <c r="S488">
        <v>6107.39</v>
      </c>
      <c r="T488">
        <f>Deals_[[#This Row],[Amount]]*Deals_[[#This Row],[Probability_Pct]]</f>
        <v>32549.999999999996</v>
      </c>
    </row>
    <row r="489" spans="1:20" x14ac:dyDescent="0.2">
      <c r="A489" t="s">
        <v>937</v>
      </c>
      <c r="B489" s="7">
        <v>46276</v>
      </c>
      <c r="C489" s="7">
        <v>46277</v>
      </c>
      <c r="D489" t="s">
        <v>265</v>
      </c>
      <c r="E489" t="s">
        <v>21</v>
      </c>
      <c r="F489" t="s">
        <v>48</v>
      </c>
      <c r="G489" t="s">
        <v>55</v>
      </c>
      <c r="H489" t="s">
        <v>69</v>
      </c>
      <c r="I489" t="s">
        <v>65</v>
      </c>
      <c r="J489" t="s">
        <v>43</v>
      </c>
      <c r="K489" t="s">
        <v>50</v>
      </c>
      <c r="L489" t="s">
        <v>28</v>
      </c>
      <c r="M489" s="46">
        <v>17600</v>
      </c>
      <c r="N489">
        <v>0.114</v>
      </c>
      <c r="O489">
        <v>0.95</v>
      </c>
      <c r="P489" t="s">
        <v>29</v>
      </c>
      <c r="R489">
        <v>1</v>
      </c>
      <c r="S489">
        <v>1298.97</v>
      </c>
      <c r="T489">
        <f>Deals_[[#This Row],[Amount]]*Deals_[[#This Row],[Probability_Pct]]</f>
        <v>16720</v>
      </c>
    </row>
    <row r="490" spans="1:20" x14ac:dyDescent="0.2">
      <c r="A490" t="s">
        <v>938</v>
      </c>
      <c r="B490" s="7">
        <v>46092</v>
      </c>
      <c r="C490" s="7">
        <v>46145</v>
      </c>
      <c r="D490" t="s">
        <v>173</v>
      </c>
      <c r="E490" t="s">
        <v>68</v>
      </c>
      <c r="F490" t="s">
        <v>48</v>
      </c>
      <c r="G490" t="s">
        <v>92</v>
      </c>
      <c r="H490" t="s">
        <v>120</v>
      </c>
      <c r="I490" t="s">
        <v>25</v>
      </c>
      <c r="J490" t="s">
        <v>85</v>
      </c>
      <c r="K490" t="s">
        <v>106</v>
      </c>
      <c r="L490" t="s">
        <v>51</v>
      </c>
      <c r="M490" s="46">
        <v>21900</v>
      </c>
      <c r="N490">
        <v>0.189</v>
      </c>
      <c r="O490">
        <v>0.25</v>
      </c>
      <c r="P490" t="s">
        <v>38</v>
      </c>
      <c r="R490">
        <v>53</v>
      </c>
      <c r="S490">
        <v>1480.7</v>
      </c>
      <c r="T490">
        <f>Deals_[[#This Row],[Amount]]*Deals_[[#This Row],[Probability_Pct]]</f>
        <v>5475</v>
      </c>
    </row>
    <row r="491" spans="1:20" x14ac:dyDescent="0.2">
      <c r="A491" t="s">
        <v>939</v>
      </c>
      <c r="B491" s="7">
        <v>46078</v>
      </c>
      <c r="C491" s="7">
        <v>46114</v>
      </c>
      <c r="D491" t="s">
        <v>940</v>
      </c>
      <c r="E491" t="s">
        <v>91</v>
      </c>
      <c r="F491" t="s">
        <v>48</v>
      </c>
      <c r="G491" t="s">
        <v>63</v>
      </c>
      <c r="H491" t="s">
        <v>24</v>
      </c>
      <c r="I491" t="s">
        <v>35</v>
      </c>
      <c r="J491" t="s">
        <v>36</v>
      </c>
      <c r="K491" t="s">
        <v>78</v>
      </c>
      <c r="L491" t="s">
        <v>44</v>
      </c>
      <c r="M491" s="46">
        <v>19800</v>
      </c>
      <c r="N491">
        <v>6.8000000000000005E-2</v>
      </c>
      <c r="O491">
        <v>0.55000000000000004</v>
      </c>
      <c r="P491" t="s">
        <v>79</v>
      </c>
      <c r="R491">
        <v>36</v>
      </c>
      <c r="S491">
        <v>1537.5</v>
      </c>
      <c r="T491">
        <f>Deals_[[#This Row],[Amount]]*Deals_[[#This Row],[Probability_Pct]]</f>
        <v>10890</v>
      </c>
    </row>
    <row r="492" spans="1:20" x14ac:dyDescent="0.2">
      <c r="A492" t="s">
        <v>941</v>
      </c>
      <c r="B492" s="7">
        <v>45981</v>
      </c>
      <c r="C492" s="7">
        <v>46045</v>
      </c>
      <c r="D492" t="s">
        <v>942</v>
      </c>
      <c r="E492" t="s">
        <v>54</v>
      </c>
      <c r="F492" t="s">
        <v>48</v>
      </c>
      <c r="G492" t="s">
        <v>55</v>
      </c>
      <c r="H492" t="s">
        <v>69</v>
      </c>
      <c r="I492" t="s">
        <v>25</v>
      </c>
      <c r="J492" t="s">
        <v>43</v>
      </c>
      <c r="K492" t="s">
        <v>37</v>
      </c>
      <c r="L492" t="s">
        <v>51</v>
      </c>
      <c r="M492" s="46">
        <v>8400</v>
      </c>
      <c r="N492">
        <v>0.124</v>
      </c>
      <c r="O492">
        <v>0.15</v>
      </c>
      <c r="P492" t="s">
        <v>38</v>
      </c>
      <c r="R492">
        <v>64</v>
      </c>
      <c r="S492">
        <v>613.14</v>
      </c>
      <c r="T492">
        <f>Deals_[[#This Row],[Amount]]*Deals_[[#This Row],[Probability_Pct]]</f>
        <v>1260</v>
      </c>
    </row>
    <row r="493" spans="1:20" x14ac:dyDescent="0.2">
      <c r="A493" t="s">
        <v>943</v>
      </c>
      <c r="B493" s="7">
        <v>46157</v>
      </c>
      <c r="C493" s="7">
        <v>46251</v>
      </c>
      <c r="D493" t="s">
        <v>291</v>
      </c>
      <c r="E493" t="s">
        <v>33</v>
      </c>
      <c r="F493" t="s">
        <v>22</v>
      </c>
      <c r="G493" t="s">
        <v>63</v>
      </c>
      <c r="H493" t="s">
        <v>137</v>
      </c>
      <c r="I493" t="s">
        <v>25</v>
      </c>
      <c r="J493" t="s">
        <v>26</v>
      </c>
      <c r="K493" t="s">
        <v>58</v>
      </c>
      <c r="L493" t="s">
        <v>44</v>
      </c>
      <c r="M493" s="46">
        <v>90700</v>
      </c>
      <c r="N493">
        <v>0.23799999999999999</v>
      </c>
      <c r="O493">
        <v>0.75</v>
      </c>
      <c r="P493" t="s">
        <v>59</v>
      </c>
      <c r="R493">
        <v>94</v>
      </c>
      <c r="S493">
        <v>5762.56</v>
      </c>
      <c r="T493">
        <f>Deals_[[#This Row],[Amount]]*Deals_[[#This Row],[Probability_Pct]]</f>
        <v>68025</v>
      </c>
    </row>
    <row r="494" spans="1:20" x14ac:dyDescent="0.2">
      <c r="A494" t="s">
        <v>944</v>
      </c>
      <c r="B494" s="7">
        <v>45999</v>
      </c>
      <c r="C494" s="7">
        <v>46056</v>
      </c>
      <c r="D494" t="s">
        <v>97</v>
      </c>
      <c r="E494" t="s">
        <v>111</v>
      </c>
      <c r="F494" t="s">
        <v>48</v>
      </c>
      <c r="G494" t="s">
        <v>63</v>
      </c>
      <c r="H494" t="s">
        <v>24</v>
      </c>
      <c r="I494" t="s">
        <v>99</v>
      </c>
      <c r="J494" t="s">
        <v>57</v>
      </c>
      <c r="K494" t="s">
        <v>27</v>
      </c>
      <c r="L494" t="s">
        <v>51</v>
      </c>
      <c r="M494" s="46">
        <v>16800</v>
      </c>
      <c r="N494">
        <v>0.04</v>
      </c>
      <c r="O494">
        <v>0</v>
      </c>
      <c r="P494" t="s">
        <v>29</v>
      </c>
      <c r="Q494" t="s">
        <v>209</v>
      </c>
      <c r="R494">
        <v>57</v>
      </c>
      <c r="S494">
        <v>1344.14</v>
      </c>
      <c r="T494">
        <f>Deals_[[#This Row],[Amount]]*Deals_[[#This Row],[Probability_Pct]]</f>
        <v>0</v>
      </c>
    </row>
    <row r="495" spans="1:20" x14ac:dyDescent="0.2">
      <c r="A495" t="s">
        <v>945</v>
      </c>
      <c r="B495" s="7">
        <v>46062</v>
      </c>
      <c r="C495" s="7">
        <v>46167</v>
      </c>
      <c r="D495" t="s">
        <v>206</v>
      </c>
      <c r="E495" t="s">
        <v>62</v>
      </c>
      <c r="F495" t="s">
        <v>48</v>
      </c>
      <c r="G495" t="s">
        <v>34</v>
      </c>
      <c r="H495" t="s">
        <v>83</v>
      </c>
      <c r="I495" t="s">
        <v>42</v>
      </c>
      <c r="J495" t="s">
        <v>26</v>
      </c>
      <c r="K495" t="s">
        <v>58</v>
      </c>
      <c r="L495" t="s">
        <v>44</v>
      </c>
      <c r="M495" s="46">
        <v>20100</v>
      </c>
      <c r="N495">
        <v>4.5999999999999999E-2</v>
      </c>
      <c r="O495">
        <v>0.75</v>
      </c>
      <c r="P495" t="s">
        <v>59</v>
      </c>
      <c r="R495">
        <v>105</v>
      </c>
      <c r="S495">
        <v>1597.72</v>
      </c>
      <c r="T495">
        <f>Deals_[[#This Row],[Amount]]*Deals_[[#This Row],[Probability_Pct]]</f>
        <v>15075</v>
      </c>
    </row>
    <row r="496" spans="1:20" x14ac:dyDescent="0.2">
      <c r="A496" t="s">
        <v>946</v>
      </c>
      <c r="B496" s="7">
        <v>46114</v>
      </c>
      <c r="C496" s="7">
        <v>46149</v>
      </c>
      <c r="D496" t="s">
        <v>947</v>
      </c>
      <c r="E496" t="s">
        <v>82</v>
      </c>
      <c r="F496" t="s">
        <v>22</v>
      </c>
      <c r="G496" t="s">
        <v>23</v>
      </c>
      <c r="H496" t="s">
        <v>64</v>
      </c>
      <c r="I496" t="s">
        <v>84</v>
      </c>
      <c r="J496" t="s">
        <v>36</v>
      </c>
      <c r="K496" t="s">
        <v>78</v>
      </c>
      <c r="L496" t="s">
        <v>28</v>
      </c>
      <c r="M496" s="46">
        <v>58000</v>
      </c>
      <c r="N496">
        <v>0.23499999999999999</v>
      </c>
      <c r="O496">
        <v>0.55000000000000004</v>
      </c>
      <c r="P496" t="s">
        <v>79</v>
      </c>
      <c r="R496">
        <v>35</v>
      </c>
      <c r="S496">
        <v>3697.41</v>
      </c>
      <c r="T496">
        <f>Deals_[[#This Row],[Amount]]*Deals_[[#This Row],[Probability_Pct]]</f>
        <v>31900.000000000004</v>
      </c>
    </row>
    <row r="497" spans="1:20" x14ac:dyDescent="0.2">
      <c r="A497" t="s">
        <v>948</v>
      </c>
      <c r="B497" s="7">
        <v>46123</v>
      </c>
      <c r="C497" s="7">
        <v>46203</v>
      </c>
      <c r="D497" t="s">
        <v>949</v>
      </c>
      <c r="E497" t="s">
        <v>91</v>
      </c>
      <c r="F497" t="s">
        <v>74</v>
      </c>
      <c r="G497" t="s">
        <v>23</v>
      </c>
      <c r="H497" t="s">
        <v>137</v>
      </c>
      <c r="I497" t="s">
        <v>84</v>
      </c>
      <c r="J497" t="s">
        <v>57</v>
      </c>
      <c r="K497" t="s">
        <v>78</v>
      </c>
      <c r="L497" t="s">
        <v>51</v>
      </c>
      <c r="M497" s="46">
        <v>99700</v>
      </c>
      <c r="N497">
        <v>0.217</v>
      </c>
      <c r="O497">
        <v>0.55000000000000004</v>
      </c>
      <c r="P497" t="s">
        <v>79</v>
      </c>
      <c r="R497">
        <v>80</v>
      </c>
      <c r="S497">
        <v>6504.74</v>
      </c>
      <c r="T497">
        <f>Deals_[[#This Row],[Amount]]*Deals_[[#This Row],[Probability_Pct]]</f>
        <v>54835.000000000007</v>
      </c>
    </row>
    <row r="498" spans="1:20" x14ac:dyDescent="0.2">
      <c r="A498" t="s">
        <v>950</v>
      </c>
      <c r="B498" s="7">
        <v>46051</v>
      </c>
      <c r="C498" s="7">
        <v>46158</v>
      </c>
      <c r="D498" t="s">
        <v>496</v>
      </c>
      <c r="E498" t="s">
        <v>68</v>
      </c>
      <c r="F498" t="s">
        <v>74</v>
      </c>
      <c r="G498" t="s">
        <v>23</v>
      </c>
      <c r="H498" t="s">
        <v>41</v>
      </c>
      <c r="I498" t="s">
        <v>99</v>
      </c>
      <c r="J498" t="s">
        <v>43</v>
      </c>
      <c r="K498" t="s">
        <v>37</v>
      </c>
      <c r="L498" t="s">
        <v>44</v>
      </c>
      <c r="M498" s="46">
        <v>125700</v>
      </c>
      <c r="N498">
        <v>0.14199999999999999</v>
      </c>
      <c r="O498">
        <v>0.1</v>
      </c>
      <c r="P498" t="s">
        <v>38</v>
      </c>
      <c r="R498">
        <v>107</v>
      </c>
      <c r="S498">
        <v>8986.66</v>
      </c>
      <c r="T498">
        <f>Deals_[[#This Row],[Amount]]*Deals_[[#This Row],[Probability_Pct]]</f>
        <v>12570</v>
      </c>
    </row>
    <row r="499" spans="1:20" x14ac:dyDescent="0.2">
      <c r="A499" t="s">
        <v>951</v>
      </c>
      <c r="B499" s="7">
        <v>46227</v>
      </c>
      <c r="C499" s="7">
        <v>46278</v>
      </c>
      <c r="D499" t="s">
        <v>215</v>
      </c>
      <c r="E499" t="s">
        <v>82</v>
      </c>
      <c r="F499" t="s">
        <v>22</v>
      </c>
      <c r="G499" t="s">
        <v>63</v>
      </c>
      <c r="H499" t="s">
        <v>24</v>
      </c>
      <c r="I499" t="s">
        <v>25</v>
      </c>
      <c r="J499" t="s">
        <v>57</v>
      </c>
      <c r="K499" t="s">
        <v>78</v>
      </c>
      <c r="L499" t="s">
        <v>51</v>
      </c>
      <c r="M499" s="46">
        <v>92700</v>
      </c>
      <c r="N499">
        <v>0.16700000000000001</v>
      </c>
      <c r="O499">
        <v>0.55000000000000004</v>
      </c>
      <c r="P499" t="s">
        <v>79</v>
      </c>
      <c r="R499">
        <v>51</v>
      </c>
      <c r="S499">
        <v>6435.86</v>
      </c>
      <c r="T499">
        <f>Deals_[[#This Row],[Amount]]*Deals_[[#This Row],[Probability_Pct]]</f>
        <v>50985.000000000007</v>
      </c>
    </row>
    <row r="500" spans="1:20" x14ac:dyDescent="0.2">
      <c r="A500" t="s">
        <v>952</v>
      </c>
      <c r="B500" s="7">
        <v>45965</v>
      </c>
      <c r="C500" s="7">
        <v>45993</v>
      </c>
      <c r="D500" t="s">
        <v>953</v>
      </c>
      <c r="E500" t="s">
        <v>54</v>
      </c>
      <c r="F500" t="s">
        <v>48</v>
      </c>
      <c r="G500" t="s">
        <v>23</v>
      </c>
      <c r="H500" t="s">
        <v>137</v>
      </c>
      <c r="I500" t="s">
        <v>35</v>
      </c>
      <c r="J500" t="s">
        <v>26</v>
      </c>
      <c r="K500" t="s">
        <v>78</v>
      </c>
      <c r="L500" t="s">
        <v>44</v>
      </c>
      <c r="M500" s="46">
        <v>15000</v>
      </c>
      <c r="N500">
        <v>3.7999999999999999E-2</v>
      </c>
      <c r="O500">
        <v>0.5</v>
      </c>
      <c r="P500" t="s">
        <v>79</v>
      </c>
      <c r="R500">
        <v>28</v>
      </c>
      <c r="S500">
        <v>1202.3</v>
      </c>
      <c r="T500">
        <f>Deals_[[#This Row],[Amount]]*Deals_[[#This Row],[Probability_Pct]]</f>
        <v>7500</v>
      </c>
    </row>
    <row r="501" spans="1:20" x14ac:dyDescent="0.2">
      <c r="A501" t="s">
        <v>954</v>
      </c>
      <c r="B501" s="7">
        <v>46189</v>
      </c>
      <c r="C501" s="7">
        <v>46327</v>
      </c>
      <c r="D501" t="s">
        <v>955</v>
      </c>
      <c r="E501" t="s">
        <v>62</v>
      </c>
      <c r="F501" t="s">
        <v>22</v>
      </c>
      <c r="G501" t="s">
        <v>63</v>
      </c>
      <c r="H501" t="s">
        <v>77</v>
      </c>
      <c r="I501" t="s">
        <v>35</v>
      </c>
      <c r="J501" t="s">
        <v>43</v>
      </c>
      <c r="K501" t="s">
        <v>88</v>
      </c>
      <c r="L501" t="s">
        <v>44</v>
      </c>
      <c r="M501" s="46">
        <v>26800</v>
      </c>
      <c r="N501">
        <v>0.109</v>
      </c>
      <c r="O501">
        <v>0.35</v>
      </c>
      <c r="P501" t="s">
        <v>38</v>
      </c>
      <c r="R501">
        <v>138</v>
      </c>
      <c r="S501">
        <v>1990.02</v>
      </c>
      <c r="T501">
        <f>Deals_[[#This Row],[Amount]]*Deals_[[#This Row],[Probability_Pct]]</f>
        <v>9380</v>
      </c>
    </row>
    <row r="502" spans="1:20" x14ac:dyDescent="0.2">
      <c r="A502" t="s">
        <v>956</v>
      </c>
      <c r="B502" s="7">
        <v>46160</v>
      </c>
      <c r="C502" s="7">
        <v>46311</v>
      </c>
      <c r="D502" t="s">
        <v>957</v>
      </c>
      <c r="E502" t="s">
        <v>54</v>
      </c>
      <c r="F502" t="s">
        <v>48</v>
      </c>
      <c r="G502" t="s">
        <v>23</v>
      </c>
      <c r="H502" t="s">
        <v>41</v>
      </c>
      <c r="I502" t="s">
        <v>35</v>
      </c>
      <c r="J502" t="s">
        <v>57</v>
      </c>
      <c r="K502" t="s">
        <v>106</v>
      </c>
      <c r="L502" t="s">
        <v>44</v>
      </c>
      <c r="M502" s="46">
        <v>12400</v>
      </c>
      <c r="N502">
        <v>0.06</v>
      </c>
      <c r="O502">
        <v>0.25</v>
      </c>
      <c r="P502" t="s">
        <v>38</v>
      </c>
      <c r="R502">
        <v>151</v>
      </c>
      <c r="S502">
        <v>970.96</v>
      </c>
      <c r="T502">
        <f>Deals_[[#This Row],[Amount]]*Deals_[[#This Row],[Probability_Pct]]</f>
        <v>3100</v>
      </c>
    </row>
    <row r="503" spans="1:20" x14ac:dyDescent="0.2">
      <c r="A503" t="s">
        <v>958</v>
      </c>
      <c r="B503" s="7">
        <v>46159</v>
      </c>
      <c r="C503" s="7">
        <v>46281</v>
      </c>
      <c r="D503" t="s">
        <v>959</v>
      </c>
      <c r="E503" t="s">
        <v>62</v>
      </c>
      <c r="F503" t="s">
        <v>22</v>
      </c>
      <c r="G503" t="s">
        <v>23</v>
      </c>
      <c r="H503" t="s">
        <v>98</v>
      </c>
      <c r="I503" t="s">
        <v>42</v>
      </c>
      <c r="J503" t="s">
        <v>43</v>
      </c>
      <c r="K503" t="s">
        <v>58</v>
      </c>
      <c r="L503" t="s">
        <v>44</v>
      </c>
      <c r="M503" s="46">
        <v>54100</v>
      </c>
      <c r="N503">
        <v>0.108</v>
      </c>
      <c r="O503">
        <v>0.7</v>
      </c>
      <c r="P503" t="s">
        <v>59</v>
      </c>
      <c r="R503">
        <v>122</v>
      </c>
      <c r="S503">
        <v>4022.99</v>
      </c>
      <c r="T503">
        <f>Deals_[[#This Row],[Amount]]*Deals_[[#This Row],[Probability_Pct]]</f>
        <v>37870</v>
      </c>
    </row>
    <row r="504" spans="1:20" x14ac:dyDescent="0.2">
      <c r="A504" t="s">
        <v>960</v>
      </c>
      <c r="B504" s="7">
        <v>45986</v>
      </c>
      <c r="C504" s="7">
        <v>46081</v>
      </c>
      <c r="D504" t="s">
        <v>961</v>
      </c>
      <c r="E504" t="s">
        <v>91</v>
      </c>
      <c r="F504" t="s">
        <v>22</v>
      </c>
      <c r="G504" t="s">
        <v>34</v>
      </c>
      <c r="H504" t="s">
        <v>77</v>
      </c>
      <c r="I504" t="s">
        <v>25</v>
      </c>
      <c r="J504" t="s">
        <v>85</v>
      </c>
      <c r="K504" t="s">
        <v>50</v>
      </c>
      <c r="L504" t="s">
        <v>28</v>
      </c>
      <c r="M504" s="46">
        <v>69200</v>
      </c>
      <c r="N504">
        <v>0.21299999999999999</v>
      </c>
      <c r="O504">
        <v>1</v>
      </c>
      <c r="P504" t="s">
        <v>29</v>
      </c>
      <c r="R504">
        <v>95</v>
      </c>
      <c r="S504">
        <v>4540.54</v>
      </c>
      <c r="T504">
        <f>Deals_[[#This Row],[Amount]]*Deals_[[#This Row],[Probability_Pct]]</f>
        <v>69200</v>
      </c>
    </row>
    <row r="505" spans="1:20" x14ac:dyDescent="0.2">
      <c r="A505" t="s">
        <v>962</v>
      </c>
      <c r="B505" s="7">
        <v>46014</v>
      </c>
      <c r="C505" s="7">
        <v>46084</v>
      </c>
      <c r="D505" t="s">
        <v>963</v>
      </c>
      <c r="E505" t="s">
        <v>68</v>
      </c>
      <c r="F505" t="s">
        <v>22</v>
      </c>
      <c r="G505" t="s">
        <v>34</v>
      </c>
      <c r="H505" t="s">
        <v>64</v>
      </c>
      <c r="I505" t="s">
        <v>65</v>
      </c>
      <c r="J505" t="s">
        <v>57</v>
      </c>
      <c r="K505" t="s">
        <v>27</v>
      </c>
      <c r="L505" t="s">
        <v>28</v>
      </c>
      <c r="M505" s="46">
        <v>37700</v>
      </c>
      <c r="N505">
        <v>0.22700000000000001</v>
      </c>
      <c r="O505">
        <v>0</v>
      </c>
      <c r="P505" t="s">
        <v>29</v>
      </c>
      <c r="Q505" t="s">
        <v>152</v>
      </c>
      <c r="R505">
        <v>70</v>
      </c>
      <c r="S505">
        <v>2429.6999999999998</v>
      </c>
      <c r="T505">
        <f>Deals_[[#This Row],[Amount]]*Deals_[[#This Row],[Probability_Pct]]</f>
        <v>0</v>
      </c>
    </row>
    <row r="506" spans="1:20" x14ac:dyDescent="0.2">
      <c r="A506" t="s">
        <v>964</v>
      </c>
      <c r="B506" s="7">
        <v>46099</v>
      </c>
      <c r="C506" s="7">
        <v>46229</v>
      </c>
      <c r="D506" t="s">
        <v>965</v>
      </c>
      <c r="E506" t="s">
        <v>111</v>
      </c>
      <c r="F506" t="s">
        <v>48</v>
      </c>
      <c r="G506" t="s">
        <v>55</v>
      </c>
      <c r="H506" t="s">
        <v>56</v>
      </c>
      <c r="I506" t="s">
        <v>99</v>
      </c>
      <c r="J506" t="s">
        <v>26</v>
      </c>
      <c r="K506" t="s">
        <v>58</v>
      </c>
      <c r="L506" t="s">
        <v>51</v>
      </c>
      <c r="M506" s="46">
        <v>23100</v>
      </c>
      <c r="N506">
        <v>2.4E-2</v>
      </c>
      <c r="O506">
        <v>0.7</v>
      </c>
      <c r="P506" t="s">
        <v>59</v>
      </c>
      <c r="R506">
        <v>130</v>
      </c>
      <c r="S506">
        <v>1879.68</v>
      </c>
      <c r="T506">
        <f>Deals_[[#This Row],[Amount]]*Deals_[[#This Row],[Probability_Pct]]</f>
        <v>16169.999999999998</v>
      </c>
    </row>
    <row r="507" spans="1:20" x14ac:dyDescent="0.2">
      <c r="A507" t="s">
        <v>966</v>
      </c>
      <c r="B507" s="7">
        <v>46005</v>
      </c>
      <c r="C507" s="7">
        <v>46173</v>
      </c>
      <c r="D507" t="s">
        <v>71</v>
      </c>
      <c r="E507" t="s">
        <v>68</v>
      </c>
      <c r="F507" t="s">
        <v>48</v>
      </c>
      <c r="G507" t="s">
        <v>55</v>
      </c>
      <c r="H507" t="s">
        <v>24</v>
      </c>
      <c r="I507" t="s">
        <v>84</v>
      </c>
      <c r="J507" t="s">
        <v>36</v>
      </c>
      <c r="K507" t="s">
        <v>50</v>
      </c>
      <c r="L507" t="s">
        <v>51</v>
      </c>
      <c r="M507" s="46">
        <v>10800</v>
      </c>
      <c r="N507">
        <v>6.0999999999999999E-2</v>
      </c>
      <c r="O507">
        <v>0.95</v>
      </c>
      <c r="P507" t="s">
        <v>29</v>
      </c>
      <c r="R507">
        <v>168</v>
      </c>
      <c r="S507">
        <v>845.01</v>
      </c>
      <c r="T507">
        <f>Deals_[[#This Row],[Amount]]*Deals_[[#This Row],[Probability_Pct]]</f>
        <v>10260</v>
      </c>
    </row>
    <row r="508" spans="1:20" x14ac:dyDescent="0.2">
      <c r="A508" t="s">
        <v>967</v>
      </c>
      <c r="B508" s="7">
        <v>46164</v>
      </c>
      <c r="C508" s="7">
        <v>46303</v>
      </c>
      <c r="D508" t="s">
        <v>968</v>
      </c>
      <c r="E508" t="s">
        <v>91</v>
      </c>
      <c r="F508" t="s">
        <v>74</v>
      </c>
      <c r="G508" t="s">
        <v>92</v>
      </c>
      <c r="H508" t="s">
        <v>98</v>
      </c>
      <c r="I508" t="s">
        <v>99</v>
      </c>
      <c r="J508" t="s">
        <v>85</v>
      </c>
      <c r="K508" t="s">
        <v>106</v>
      </c>
      <c r="L508" t="s">
        <v>28</v>
      </c>
      <c r="M508" s="46">
        <v>326100</v>
      </c>
      <c r="N508">
        <v>0.21</v>
      </c>
      <c r="O508">
        <v>0.15</v>
      </c>
      <c r="P508" t="s">
        <v>38</v>
      </c>
      <c r="R508">
        <v>139</v>
      </c>
      <c r="S508">
        <v>21480.42</v>
      </c>
      <c r="T508">
        <f>Deals_[[#This Row],[Amount]]*Deals_[[#This Row],[Probability_Pct]]</f>
        <v>48915</v>
      </c>
    </row>
    <row r="509" spans="1:20" x14ac:dyDescent="0.2">
      <c r="A509" t="s">
        <v>969</v>
      </c>
      <c r="B509" s="7">
        <v>46057</v>
      </c>
      <c r="C509" s="7">
        <v>46190</v>
      </c>
      <c r="D509" t="s">
        <v>970</v>
      </c>
      <c r="E509" t="s">
        <v>82</v>
      </c>
      <c r="F509" t="s">
        <v>22</v>
      </c>
      <c r="G509" t="s">
        <v>63</v>
      </c>
      <c r="H509" t="s">
        <v>49</v>
      </c>
      <c r="I509" t="s">
        <v>42</v>
      </c>
      <c r="J509" t="s">
        <v>36</v>
      </c>
      <c r="K509" t="s">
        <v>37</v>
      </c>
      <c r="L509" t="s">
        <v>44</v>
      </c>
      <c r="M509" s="46">
        <v>59700</v>
      </c>
      <c r="N509">
        <v>0.113</v>
      </c>
      <c r="O509">
        <v>0.1</v>
      </c>
      <c r="P509" t="s">
        <v>38</v>
      </c>
      <c r="R509">
        <v>133</v>
      </c>
      <c r="S509">
        <v>4412.3100000000004</v>
      </c>
      <c r="T509">
        <f>Deals_[[#This Row],[Amount]]*Deals_[[#This Row],[Probability_Pct]]</f>
        <v>5970</v>
      </c>
    </row>
    <row r="510" spans="1:20" x14ac:dyDescent="0.2">
      <c r="A510" t="s">
        <v>971</v>
      </c>
      <c r="B510" s="7">
        <v>46217</v>
      </c>
      <c r="C510" s="7">
        <v>46310</v>
      </c>
      <c r="D510" t="s">
        <v>972</v>
      </c>
      <c r="E510" t="s">
        <v>82</v>
      </c>
      <c r="F510" t="s">
        <v>22</v>
      </c>
      <c r="G510" t="s">
        <v>63</v>
      </c>
      <c r="H510" t="s">
        <v>41</v>
      </c>
      <c r="I510" t="s">
        <v>84</v>
      </c>
      <c r="J510" t="s">
        <v>26</v>
      </c>
      <c r="K510" t="s">
        <v>37</v>
      </c>
      <c r="L510" t="s">
        <v>51</v>
      </c>
      <c r="M510" s="46">
        <v>59200</v>
      </c>
      <c r="N510">
        <v>0.23100000000000001</v>
      </c>
      <c r="O510">
        <v>0.05</v>
      </c>
      <c r="P510" t="s">
        <v>38</v>
      </c>
      <c r="R510">
        <v>93</v>
      </c>
      <c r="S510">
        <v>3794.99</v>
      </c>
      <c r="T510">
        <f>Deals_[[#This Row],[Amount]]*Deals_[[#This Row],[Probability_Pct]]</f>
        <v>2960</v>
      </c>
    </row>
    <row r="511" spans="1:20" x14ac:dyDescent="0.2">
      <c r="A511" t="s">
        <v>973</v>
      </c>
      <c r="B511" s="7">
        <v>45952</v>
      </c>
      <c r="C511" s="7">
        <v>46044</v>
      </c>
      <c r="D511" t="s">
        <v>974</v>
      </c>
      <c r="E511" t="s">
        <v>33</v>
      </c>
      <c r="F511" t="s">
        <v>74</v>
      </c>
      <c r="G511" t="s">
        <v>23</v>
      </c>
      <c r="H511" t="s">
        <v>83</v>
      </c>
      <c r="I511" t="s">
        <v>99</v>
      </c>
      <c r="J511" t="s">
        <v>43</v>
      </c>
      <c r="K511" t="s">
        <v>106</v>
      </c>
      <c r="L511" t="s">
        <v>28</v>
      </c>
      <c r="M511" s="46">
        <v>143500</v>
      </c>
      <c r="N511">
        <v>0.21299999999999999</v>
      </c>
      <c r="O511">
        <v>0.2</v>
      </c>
      <c r="P511" t="s">
        <v>38</v>
      </c>
      <c r="R511">
        <v>92</v>
      </c>
      <c r="S511">
        <v>9413.83</v>
      </c>
      <c r="T511">
        <f>Deals_[[#This Row],[Amount]]*Deals_[[#This Row],[Probability_Pct]]</f>
        <v>28700</v>
      </c>
    </row>
    <row r="512" spans="1:20" x14ac:dyDescent="0.2">
      <c r="A512" t="s">
        <v>975</v>
      </c>
      <c r="B512" s="7">
        <v>46026</v>
      </c>
      <c r="C512" s="7">
        <v>46150</v>
      </c>
      <c r="D512" t="s">
        <v>798</v>
      </c>
      <c r="E512" t="s">
        <v>91</v>
      </c>
      <c r="F512" t="s">
        <v>48</v>
      </c>
      <c r="G512" t="s">
        <v>34</v>
      </c>
      <c r="H512" t="s">
        <v>98</v>
      </c>
      <c r="I512" t="s">
        <v>25</v>
      </c>
      <c r="J512" t="s">
        <v>43</v>
      </c>
      <c r="K512" t="s">
        <v>37</v>
      </c>
      <c r="L512" t="s">
        <v>28</v>
      </c>
      <c r="M512" s="46">
        <v>19200</v>
      </c>
      <c r="N512">
        <v>0.13600000000000001</v>
      </c>
      <c r="O512">
        <v>0.1</v>
      </c>
      <c r="P512" t="s">
        <v>38</v>
      </c>
      <c r="R512">
        <v>124</v>
      </c>
      <c r="S512">
        <v>1382.29</v>
      </c>
      <c r="T512">
        <f>Deals_[[#This Row],[Amount]]*Deals_[[#This Row],[Probability_Pct]]</f>
        <v>1920</v>
      </c>
    </row>
    <row r="513" spans="1:20" x14ac:dyDescent="0.2">
      <c r="A513" t="s">
        <v>976</v>
      </c>
      <c r="B513" s="7">
        <v>46277</v>
      </c>
      <c r="C513" s="7">
        <v>46289</v>
      </c>
      <c r="D513" t="s">
        <v>977</v>
      </c>
      <c r="E513" t="s">
        <v>68</v>
      </c>
      <c r="F513" t="s">
        <v>22</v>
      </c>
      <c r="G513" t="s">
        <v>23</v>
      </c>
      <c r="H513" t="s">
        <v>41</v>
      </c>
      <c r="I513" t="s">
        <v>84</v>
      </c>
      <c r="J513" t="s">
        <v>36</v>
      </c>
      <c r="K513" t="s">
        <v>78</v>
      </c>
      <c r="L513" t="s">
        <v>44</v>
      </c>
      <c r="M513" s="46">
        <v>60000</v>
      </c>
      <c r="N513">
        <v>0.05</v>
      </c>
      <c r="O513">
        <v>0.5</v>
      </c>
      <c r="P513" t="s">
        <v>79</v>
      </c>
      <c r="R513">
        <v>12</v>
      </c>
      <c r="S513">
        <v>4749.7299999999996</v>
      </c>
      <c r="T513">
        <f>Deals_[[#This Row],[Amount]]*Deals_[[#This Row],[Probability_Pct]]</f>
        <v>30000</v>
      </c>
    </row>
    <row r="514" spans="1:20" x14ac:dyDescent="0.2">
      <c r="A514" t="s">
        <v>978</v>
      </c>
      <c r="B514" s="7">
        <v>46195</v>
      </c>
      <c r="C514" s="7">
        <v>46262</v>
      </c>
      <c r="D514" t="s">
        <v>979</v>
      </c>
      <c r="E514" t="s">
        <v>68</v>
      </c>
      <c r="F514" t="s">
        <v>22</v>
      </c>
      <c r="G514" t="s">
        <v>55</v>
      </c>
      <c r="H514" t="s">
        <v>49</v>
      </c>
      <c r="I514" t="s">
        <v>35</v>
      </c>
      <c r="J514" t="s">
        <v>36</v>
      </c>
      <c r="K514" t="s">
        <v>88</v>
      </c>
      <c r="L514" t="s">
        <v>51</v>
      </c>
      <c r="M514" s="46">
        <v>32700</v>
      </c>
      <c r="N514">
        <v>2.7E-2</v>
      </c>
      <c r="O514">
        <v>0.4</v>
      </c>
      <c r="P514" t="s">
        <v>38</v>
      </c>
      <c r="R514">
        <v>67</v>
      </c>
      <c r="S514">
        <v>2652.55</v>
      </c>
      <c r="T514">
        <f>Deals_[[#This Row],[Amount]]*Deals_[[#This Row],[Probability_Pct]]</f>
        <v>13080</v>
      </c>
    </row>
    <row r="515" spans="1:20" x14ac:dyDescent="0.2">
      <c r="A515" t="s">
        <v>980</v>
      </c>
      <c r="B515" s="7">
        <v>46242</v>
      </c>
      <c r="C515" s="7">
        <v>46309</v>
      </c>
      <c r="D515" t="s">
        <v>316</v>
      </c>
      <c r="E515" t="s">
        <v>91</v>
      </c>
      <c r="F515" t="s">
        <v>22</v>
      </c>
      <c r="G515" t="s">
        <v>63</v>
      </c>
      <c r="H515" t="s">
        <v>98</v>
      </c>
      <c r="I515" t="s">
        <v>35</v>
      </c>
      <c r="J515" t="s">
        <v>36</v>
      </c>
      <c r="K515" t="s">
        <v>88</v>
      </c>
      <c r="L515" t="s">
        <v>28</v>
      </c>
      <c r="M515" s="46">
        <v>40000</v>
      </c>
      <c r="N515">
        <v>8.4000000000000005E-2</v>
      </c>
      <c r="O515">
        <v>0.35</v>
      </c>
      <c r="P515" t="s">
        <v>38</v>
      </c>
      <c r="R515">
        <v>67</v>
      </c>
      <c r="S515">
        <v>3052.36</v>
      </c>
      <c r="T515">
        <f>Deals_[[#This Row],[Amount]]*Deals_[[#This Row],[Probability_Pct]]</f>
        <v>14000</v>
      </c>
    </row>
    <row r="516" spans="1:20" x14ac:dyDescent="0.2">
      <c r="A516" t="s">
        <v>981</v>
      </c>
      <c r="B516" s="7">
        <v>46012</v>
      </c>
      <c r="C516" s="7">
        <v>46084</v>
      </c>
      <c r="D516" t="s">
        <v>982</v>
      </c>
      <c r="E516" t="s">
        <v>33</v>
      </c>
      <c r="F516" t="s">
        <v>22</v>
      </c>
      <c r="G516" t="s">
        <v>55</v>
      </c>
      <c r="H516" t="s">
        <v>41</v>
      </c>
      <c r="I516" t="s">
        <v>25</v>
      </c>
      <c r="J516" t="s">
        <v>26</v>
      </c>
      <c r="K516" t="s">
        <v>50</v>
      </c>
      <c r="L516" t="s">
        <v>44</v>
      </c>
      <c r="M516" s="46">
        <v>90200</v>
      </c>
      <c r="N516">
        <v>0.13700000000000001</v>
      </c>
      <c r="O516">
        <v>1</v>
      </c>
      <c r="P516" t="s">
        <v>29</v>
      </c>
      <c r="R516">
        <v>72</v>
      </c>
      <c r="S516">
        <v>6486.98</v>
      </c>
      <c r="T516">
        <f>Deals_[[#This Row],[Amount]]*Deals_[[#This Row],[Probability_Pct]]</f>
        <v>90200</v>
      </c>
    </row>
    <row r="517" spans="1:20" x14ac:dyDescent="0.2">
      <c r="A517" t="s">
        <v>983</v>
      </c>
      <c r="B517" s="7">
        <v>46271</v>
      </c>
      <c r="C517" s="7">
        <v>46337</v>
      </c>
      <c r="D517" t="s">
        <v>846</v>
      </c>
      <c r="E517" t="s">
        <v>33</v>
      </c>
      <c r="F517" t="s">
        <v>48</v>
      </c>
      <c r="G517" t="s">
        <v>34</v>
      </c>
      <c r="H517" t="s">
        <v>120</v>
      </c>
      <c r="I517" t="s">
        <v>35</v>
      </c>
      <c r="J517" t="s">
        <v>36</v>
      </c>
      <c r="K517" t="s">
        <v>58</v>
      </c>
      <c r="L517" t="s">
        <v>44</v>
      </c>
      <c r="M517" s="46">
        <v>20000</v>
      </c>
      <c r="N517">
        <v>0.19800000000000001</v>
      </c>
      <c r="O517">
        <v>0.75</v>
      </c>
      <c r="P517" t="s">
        <v>59</v>
      </c>
      <c r="R517">
        <v>66</v>
      </c>
      <c r="S517">
        <v>1336.61</v>
      </c>
      <c r="T517">
        <f>Deals_[[#This Row],[Amount]]*Deals_[[#This Row],[Probability_Pct]]</f>
        <v>15000</v>
      </c>
    </row>
    <row r="518" spans="1:20" x14ac:dyDescent="0.2">
      <c r="A518" t="s">
        <v>984</v>
      </c>
      <c r="B518" s="7">
        <v>46275</v>
      </c>
      <c r="C518" s="7">
        <v>46277</v>
      </c>
      <c r="D518" t="s">
        <v>515</v>
      </c>
      <c r="E518" t="s">
        <v>82</v>
      </c>
      <c r="F518" t="s">
        <v>48</v>
      </c>
      <c r="G518" t="s">
        <v>23</v>
      </c>
      <c r="H518" t="s">
        <v>98</v>
      </c>
      <c r="I518" t="s">
        <v>84</v>
      </c>
      <c r="J518" t="s">
        <v>57</v>
      </c>
      <c r="K518" t="s">
        <v>50</v>
      </c>
      <c r="L518" t="s">
        <v>44</v>
      </c>
      <c r="M518" s="46">
        <v>7700</v>
      </c>
      <c r="N518">
        <v>6.7000000000000004E-2</v>
      </c>
      <c r="O518">
        <v>1</v>
      </c>
      <c r="P518" t="s">
        <v>29</v>
      </c>
      <c r="R518">
        <v>2</v>
      </c>
      <c r="S518">
        <v>598.67999999999995</v>
      </c>
      <c r="T518">
        <f>Deals_[[#This Row],[Amount]]*Deals_[[#This Row],[Probability_Pct]]</f>
        <v>7700</v>
      </c>
    </row>
    <row r="519" spans="1:20" x14ac:dyDescent="0.2">
      <c r="A519" t="s">
        <v>985</v>
      </c>
      <c r="B519" s="7">
        <v>46257</v>
      </c>
      <c r="C519" s="7">
        <v>46279</v>
      </c>
      <c r="D519" t="s">
        <v>986</v>
      </c>
      <c r="E519" t="s">
        <v>82</v>
      </c>
      <c r="F519" t="s">
        <v>22</v>
      </c>
      <c r="G519" t="s">
        <v>55</v>
      </c>
      <c r="H519" t="s">
        <v>69</v>
      </c>
      <c r="I519" t="s">
        <v>84</v>
      </c>
      <c r="J519" t="s">
        <v>57</v>
      </c>
      <c r="K519" t="s">
        <v>106</v>
      </c>
      <c r="L519" t="s">
        <v>44</v>
      </c>
      <c r="M519" s="46">
        <v>77300</v>
      </c>
      <c r="N519">
        <v>0.191</v>
      </c>
      <c r="O519">
        <v>0.2</v>
      </c>
      <c r="P519" t="s">
        <v>38</v>
      </c>
      <c r="R519">
        <v>22</v>
      </c>
      <c r="S519">
        <v>5209.95</v>
      </c>
      <c r="T519">
        <f>Deals_[[#This Row],[Amount]]*Deals_[[#This Row],[Probability_Pct]]</f>
        <v>15460</v>
      </c>
    </row>
    <row r="520" spans="1:20" x14ac:dyDescent="0.2">
      <c r="A520" t="s">
        <v>987</v>
      </c>
      <c r="B520" s="7">
        <v>45998</v>
      </c>
      <c r="C520" s="7">
        <v>46161</v>
      </c>
      <c r="D520" t="s">
        <v>988</v>
      </c>
      <c r="E520" t="s">
        <v>33</v>
      </c>
      <c r="F520" t="s">
        <v>22</v>
      </c>
      <c r="G520" t="s">
        <v>55</v>
      </c>
      <c r="H520" t="s">
        <v>41</v>
      </c>
      <c r="I520" t="s">
        <v>65</v>
      </c>
      <c r="J520" t="s">
        <v>43</v>
      </c>
      <c r="K520" t="s">
        <v>50</v>
      </c>
      <c r="L520" t="s">
        <v>44</v>
      </c>
      <c r="M520" s="46">
        <v>35500</v>
      </c>
      <c r="N520">
        <v>0.154</v>
      </c>
      <c r="O520">
        <v>0.95</v>
      </c>
      <c r="P520" t="s">
        <v>29</v>
      </c>
      <c r="R520">
        <v>163</v>
      </c>
      <c r="S520">
        <v>2503.75</v>
      </c>
      <c r="T520">
        <f>Deals_[[#This Row],[Amount]]*Deals_[[#This Row],[Probability_Pct]]</f>
        <v>33725</v>
      </c>
    </row>
    <row r="521" spans="1:20" x14ac:dyDescent="0.2">
      <c r="A521" t="s">
        <v>989</v>
      </c>
      <c r="B521" s="7">
        <v>46015</v>
      </c>
      <c r="C521" s="7">
        <v>46116</v>
      </c>
      <c r="D521" t="s">
        <v>972</v>
      </c>
      <c r="E521" t="s">
        <v>91</v>
      </c>
      <c r="F521" t="s">
        <v>74</v>
      </c>
      <c r="G521" t="s">
        <v>63</v>
      </c>
      <c r="H521" t="s">
        <v>77</v>
      </c>
      <c r="I521" t="s">
        <v>35</v>
      </c>
      <c r="J521" t="s">
        <v>36</v>
      </c>
      <c r="K521" t="s">
        <v>37</v>
      </c>
      <c r="L521" t="s">
        <v>44</v>
      </c>
      <c r="M521" s="46">
        <v>228600</v>
      </c>
      <c r="N521">
        <v>0.115</v>
      </c>
      <c r="O521">
        <v>0.15</v>
      </c>
      <c r="P521" t="s">
        <v>38</v>
      </c>
      <c r="R521">
        <v>101</v>
      </c>
      <c r="S521">
        <v>16858.79</v>
      </c>
      <c r="T521">
        <f>Deals_[[#This Row],[Amount]]*Deals_[[#This Row],[Probability_Pct]]</f>
        <v>34290</v>
      </c>
    </row>
    <row r="522" spans="1:20" x14ac:dyDescent="0.2">
      <c r="A522" t="s">
        <v>990</v>
      </c>
      <c r="B522" s="7">
        <v>46025</v>
      </c>
      <c r="C522" s="7">
        <v>46103</v>
      </c>
      <c r="D522" t="s">
        <v>991</v>
      </c>
      <c r="E522" t="s">
        <v>62</v>
      </c>
      <c r="F522" t="s">
        <v>48</v>
      </c>
      <c r="G522" t="s">
        <v>23</v>
      </c>
      <c r="H522" t="s">
        <v>137</v>
      </c>
      <c r="I522" t="s">
        <v>99</v>
      </c>
      <c r="J522" t="s">
        <v>36</v>
      </c>
      <c r="K522" t="s">
        <v>78</v>
      </c>
      <c r="L522" t="s">
        <v>44</v>
      </c>
      <c r="M522" s="46">
        <v>23100</v>
      </c>
      <c r="N522">
        <v>0.16700000000000001</v>
      </c>
      <c r="O522">
        <v>0.5</v>
      </c>
      <c r="P522" t="s">
        <v>79</v>
      </c>
      <c r="R522">
        <v>78</v>
      </c>
      <c r="S522">
        <v>1604.46</v>
      </c>
      <c r="T522">
        <f>Deals_[[#This Row],[Amount]]*Deals_[[#This Row],[Probability_Pct]]</f>
        <v>11550</v>
      </c>
    </row>
    <row r="523" spans="1:20" x14ac:dyDescent="0.2">
      <c r="A523" t="s">
        <v>992</v>
      </c>
      <c r="B523" s="7">
        <v>46167</v>
      </c>
      <c r="C523" s="7">
        <v>46323</v>
      </c>
      <c r="D523" t="s">
        <v>993</v>
      </c>
      <c r="E523" t="s">
        <v>111</v>
      </c>
      <c r="F523" t="s">
        <v>74</v>
      </c>
      <c r="G523" t="s">
        <v>63</v>
      </c>
      <c r="H523" t="s">
        <v>69</v>
      </c>
      <c r="I523" t="s">
        <v>35</v>
      </c>
      <c r="J523" t="s">
        <v>85</v>
      </c>
      <c r="K523" t="s">
        <v>58</v>
      </c>
      <c r="L523" t="s">
        <v>51</v>
      </c>
      <c r="M523" s="46">
        <v>188000</v>
      </c>
      <c r="N523">
        <v>0.19800000000000001</v>
      </c>
      <c r="O523">
        <v>0.8</v>
      </c>
      <c r="P523" t="s">
        <v>59</v>
      </c>
      <c r="R523">
        <v>156</v>
      </c>
      <c r="S523">
        <v>12565.26</v>
      </c>
      <c r="T523">
        <f>Deals_[[#This Row],[Amount]]*Deals_[[#This Row],[Probability_Pct]]</f>
        <v>150400</v>
      </c>
    </row>
    <row r="524" spans="1:20" x14ac:dyDescent="0.2">
      <c r="A524" t="s">
        <v>994</v>
      </c>
      <c r="B524" s="7">
        <v>46272</v>
      </c>
      <c r="C524" s="7">
        <v>46292</v>
      </c>
      <c r="D524" t="s">
        <v>995</v>
      </c>
      <c r="E524" t="s">
        <v>62</v>
      </c>
      <c r="F524" t="s">
        <v>22</v>
      </c>
      <c r="G524" t="s">
        <v>34</v>
      </c>
      <c r="H524" t="s">
        <v>137</v>
      </c>
      <c r="I524" t="s">
        <v>35</v>
      </c>
      <c r="J524" t="s">
        <v>26</v>
      </c>
      <c r="K524" t="s">
        <v>88</v>
      </c>
      <c r="L524" t="s">
        <v>51</v>
      </c>
      <c r="M524" s="46">
        <v>72000</v>
      </c>
      <c r="N524">
        <v>7.2999999999999995E-2</v>
      </c>
      <c r="O524">
        <v>0.35</v>
      </c>
      <c r="P524" t="s">
        <v>38</v>
      </c>
      <c r="R524">
        <v>20</v>
      </c>
      <c r="S524">
        <v>5563.96</v>
      </c>
      <c r="T524">
        <f>Deals_[[#This Row],[Amount]]*Deals_[[#This Row],[Probability_Pct]]</f>
        <v>25200</v>
      </c>
    </row>
    <row r="525" spans="1:20" x14ac:dyDescent="0.2">
      <c r="A525" t="s">
        <v>996</v>
      </c>
      <c r="B525" s="7">
        <v>45971</v>
      </c>
      <c r="C525" s="7">
        <v>45998</v>
      </c>
      <c r="D525" t="s">
        <v>997</v>
      </c>
      <c r="E525" t="s">
        <v>54</v>
      </c>
      <c r="F525" t="s">
        <v>22</v>
      </c>
      <c r="G525" t="s">
        <v>92</v>
      </c>
      <c r="H525" t="s">
        <v>77</v>
      </c>
      <c r="I525" t="s">
        <v>99</v>
      </c>
      <c r="J525" t="s">
        <v>57</v>
      </c>
      <c r="K525" t="s">
        <v>88</v>
      </c>
      <c r="L525" t="s">
        <v>28</v>
      </c>
      <c r="M525" s="46">
        <v>92300</v>
      </c>
      <c r="N525">
        <v>0.187</v>
      </c>
      <c r="O525">
        <v>0.3</v>
      </c>
      <c r="P525" t="s">
        <v>38</v>
      </c>
      <c r="R525">
        <v>27</v>
      </c>
      <c r="S525">
        <v>6253.86</v>
      </c>
      <c r="T525">
        <f>Deals_[[#This Row],[Amount]]*Deals_[[#This Row],[Probability_Pct]]</f>
        <v>27690</v>
      </c>
    </row>
    <row r="526" spans="1:20" x14ac:dyDescent="0.2">
      <c r="A526" t="s">
        <v>998</v>
      </c>
      <c r="B526" s="7">
        <v>46012</v>
      </c>
      <c r="C526" s="7">
        <v>46091</v>
      </c>
      <c r="D526" t="s">
        <v>999</v>
      </c>
      <c r="E526" t="s">
        <v>82</v>
      </c>
      <c r="F526" t="s">
        <v>22</v>
      </c>
      <c r="G526" t="s">
        <v>92</v>
      </c>
      <c r="H526" t="s">
        <v>77</v>
      </c>
      <c r="I526" t="s">
        <v>65</v>
      </c>
      <c r="J526" t="s">
        <v>36</v>
      </c>
      <c r="K526" t="s">
        <v>50</v>
      </c>
      <c r="L526" t="s">
        <v>44</v>
      </c>
      <c r="M526" s="46">
        <v>39800</v>
      </c>
      <c r="N526">
        <v>0.14499999999999999</v>
      </c>
      <c r="O526">
        <v>1</v>
      </c>
      <c r="P526" t="s">
        <v>29</v>
      </c>
      <c r="R526">
        <v>79</v>
      </c>
      <c r="S526">
        <v>2835.23</v>
      </c>
      <c r="T526">
        <f>Deals_[[#This Row],[Amount]]*Deals_[[#This Row],[Probability_Pct]]</f>
        <v>39800</v>
      </c>
    </row>
    <row r="527" spans="1:20" x14ac:dyDescent="0.2">
      <c r="A527" t="s">
        <v>1000</v>
      </c>
      <c r="B527" s="7">
        <v>46005</v>
      </c>
      <c r="C527" s="7">
        <v>46063</v>
      </c>
      <c r="D527" t="s">
        <v>1001</v>
      </c>
      <c r="E527" t="s">
        <v>111</v>
      </c>
      <c r="F527" t="s">
        <v>48</v>
      </c>
      <c r="G527" t="s">
        <v>92</v>
      </c>
      <c r="H527" t="s">
        <v>83</v>
      </c>
      <c r="I527" t="s">
        <v>84</v>
      </c>
      <c r="J527" t="s">
        <v>26</v>
      </c>
      <c r="K527" t="s">
        <v>50</v>
      </c>
      <c r="L527" t="s">
        <v>51</v>
      </c>
      <c r="M527" s="46">
        <v>24800</v>
      </c>
      <c r="N527">
        <v>0.182</v>
      </c>
      <c r="O527">
        <v>1</v>
      </c>
      <c r="P527" t="s">
        <v>29</v>
      </c>
      <c r="R527">
        <v>58</v>
      </c>
      <c r="S527">
        <v>1690.49</v>
      </c>
      <c r="T527">
        <f>Deals_[[#This Row],[Amount]]*Deals_[[#This Row],[Probability_Pct]]</f>
        <v>24800</v>
      </c>
    </row>
    <row r="528" spans="1:20" x14ac:dyDescent="0.2">
      <c r="A528" t="s">
        <v>1002</v>
      </c>
      <c r="B528" s="7">
        <v>46076</v>
      </c>
      <c r="C528" s="7">
        <v>46108</v>
      </c>
      <c r="D528" t="s">
        <v>1003</v>
      </c>
      <c r="E528" t="s">
        <v>21</v>
      </c>
      <c r="F528" t="s">
        <v>48</v>
      </c>
      <c r="G528" t="s">
        <v>34</v>
      </c>
      <c r="H528" t="s">
        <v>41</v>
      </c>
      <c r="I528" t="s">
        <v>84</v>
      </c>
      <c r="J528" t="s">
        <v>26</v>
      </c>
      <c r="K528" t="s">
        <v>27</v>
      </c>
      <c r="L528" t="s">
        <v>51</v>
      </c>
      <c r="M528" s="46">
        <v>9700</v>
      </c>
      <c r="N528">
        <v>9.7000000000000003E-2</v>
      </c>
      <c r="O528">
        <v>0</v>
      </c>
      <c r="P528" t="s">
        <v>29</v>
      </c>
      <c r="Q528" t="s">
        <v>126</v>
      </c>
      <c r="R528">
        <v>32</v>
      </c>
      <c r="S528">
        <v>730.12</v>
      </c>
      <c r="T528">
        <f>Deals_[[#This Row],[Amount]]*Deals_[[#This Row],[Probability_Pct]]</f>
        <v>0</v>
      </c>
    </row>
    <row r="529" spans="1:20" x14ac:dyDescent="0.2">
      <c r="A529" t="s">
        <v>1004</v>
      </c>
      <c r="B529" s="7">
        <v>45957</v>
      </c>
      <c r="C529" s="7">
        <v>45999</v>
      </c>
      <c r="D529" t="s">
        <v>646</v>
      </c>
      <c r="E529" t="s">
        <v>33</v>
      </c>
      <c r="F529" t="s">
        <v>48</v>
      </c>
      <c r="G529" t="s">
        <v>34</v>
      </c>
      <c r="H529" t="s">
        <v>41</v>
      </c>
      <c r="I529" t="s">
        <v>65</v>
      </c>
      <c r="J529" t="s">
        <v>85</v>
      </c>
      <c r="K529" t="s">
        <v>58</v>
      </c>
      <c r="L529" t="s">
        <v>51</v>
      </c>
      <c r="M529" s="46">
        <v>18900</v>
      </c>
      <c r="N529">
        <v>0.185</v>
      </c>
      <c r="O529">
        <v>0.8</v>
      </c>
      <c r="P529" t="s">
        <v>59</v>
      </c>
      <c r="R529">
        <v>42</v>
      </c>
      <c r="S529">
        <v>1283.17</v>
      </c>
      <c r="T529">
        <f>Deals_[[#This Row],[Amount]]*Deals_[[#This Row],[Probability_Pct]]</f>
        <v>15120</v>
      </c>
    </row>
    <row r="530" spans="1:20" x14ac:dyDescent="0.2">
      <c r="A530" t="s">
        <v>1005</v>
      </c>
      <c r="B530" s="7">
        <v>45982</v>
      </c>
      <c r="C530" s="7">
        <v>46152</v>
      </c>
      <c r="D530" t="s">
        <v>1006</v>
      </c>
      <c r="E530" t="s">
        <v>21</v>
      </c>
      <c r="F530" t="s">
        <v>22</v>
      </c>
      <c r="G530" t="s">
        <v>63</v>
      </c>
      <c r="H530" t="s">
        <v>41</v>
      </c>
      <c r="I530" t="s">
        <v>25</v>
      </c>
      <c r="J530" t="s">
        <v>43</v>
      </c>
      <c r="K530" t="s">
        <v>27</v>
      </c>
      <c r="L530" t="s">
        <v>44</v>
      </c>
      <c r="M530" s="46">
        <v>61900</v>
      </c>
      <c r="N530">
        <v>4.7E-2</v>
      </c>
      <c r="O530">
        <v>0</v>
      </c>
      <c r="P530" t="s">
        <v>29</v>
      </c>
      <c r="Q530" t="s">
        <v>30</v>
      </c>
      <c r="R530">
        <v>170</v>
      </c>
      <c r="S530">
        <v>4915.7</v>
      </c>
      <c r="T530">
        <f>Deals_[[#This Row],[Amount]]*Deals_[[#This Row],[Probability_Pct]]</f>
        <v>0</v>
      </c>
    </row>
    <row r="531" spans="1:20" x14ac:dyDescent="0.2">
      <c r="A531" t="s">
        <v>1007</v>
      </c>
      <c r="B531" s="7">
        <v>46162</v>
      </c>
      <c r="C531" s="7">
        <v>46267</v>
      </c>
      <c r="D531" t="s">
        <v>780</v>
      </c>
      <c r="E531" t="s">
        <v>33</v>
      </c>
      <c r="F531" t="s">
        <v>74</v>
      </c>
      <c r="G531" t="s">
        <v>63</v>
      </c>
      <c r="H531" t="s">
        <v>56</v>
      </c>
      <c r="I531" t="s">
        <v>65</v>
      </c>
      <c r="J531" t="s">
        <v>57</v>
      </c>
      <c r="K531" t="s">
        <v>78</v>
      </c>
      <c r="L531" t="s">
        <v>44</v>
      </c>
      <c r="M531" s="46">
        <v>146500</v>
      </c>
      <c r="N531">
        <v>6.2E-2</v>
      </c>
      <c r="O531">
        <v>0.6</v>
      </c>
      <c r="P531" t="s">
        <v>79</v>
      </c>
      <c r="R531">
        <v>105</v>
      </c>
      <c r="S531">
        <v>11448.99</v>
      </c>
      <c r="T531">
        <f>Deals_[[#This Row],[Amount]]*Deals_[[#This Row],[Probability_Pct]]</f>
        <v>87900</v>
      </c>
    </row>
    <row r="532" spans="1:20" x14ac:dyDescent="0.2">
      <c r="A532" t="s">
        <v>1008</v>
      </c>
      <c r="B532" s="7">
        <v>45995</v>
      </c>
      <c r="C532" s="7">
        <v>46109</v>
      </c>
      <c r="D532" t="s">
        <v>1009</v>
      </c>
      <c r="E532" t="s">
        <v>82</v>
      </c>
      <c r="F532" t="s">
        <v>22</v>
      </c>
      <c r="G532" t="s">
        <v>92</v>
      </c>
      <c r="H532" t="s">
        <v>77</v>
      </c>
      <c r="I532" t="s">
        <v>65</v>
      </c>
      <c r="J532" t="s">
        <v>85</v>
      </c>
      <c r="K532" t="s">
        <v>88</v>
      </c>
      <c r="L532" t="s">
        <v>44</v>
      </c>
      <c r="M532" s="46">
        <v>92400</v>
      </c>
      <c r="N532">
        <v>0.218</v>
      </c>
      <c r="O532">
        <v>0.35</v>
      </c>
      <c r="P532" t="s">
        <v>38</v>
      </c>
      <c r="R532">
        <v>114</v>
      </c>
      <c r="S532">
        <v>6018.85</v>
      </c>
      <c r="T532">
        <f>Deals_[[#This Row],[Amount]]*Deals_[[#This Row],[Probability_Pct]]</f>
        <v>32339.999999999996</v>
      </c>
    </row>
    <row r="533" spans="1:20" x14ac:dyDescent="0.2">
      <c r="A533" t="s">
        <v>1010</v>
      </c>
      <c r="B533" s="7">
        <v>45950</v>
      </c>
      <c r="C533" s="7">
        <v>46032</v>
      </c>
      <c r="D533" t="s">
        <v>1011</v>
      </c>
      <c r="E533" t="s">
        <v>54</v>
      </c>
      <c r="F533" t="s">
        <v>48</v>
      </c>
      <c r="G533" t="s">
        <v>34</v>
      </c>
      <c r="H533" t="s">
        <v>83</v>
      </c>
      <c r="I533" t="s">
        <v>25</v>
      </c>
      <c r="J533" t="s">
        <v>26</v>
      </c>
      <c r="K533" t="s">
        <v>78</v>
      </c>
      <c r="L533" t="s">
        <v>51</v>
      </c>
      <c r="M533" s="46">
        <v>12600</v>
      </c>
      <c r="N533">
        <v>0.114</v>
      </c>
      <c r="O533">
        <v>0.6</v>
      </c>
      <c r="P533" t="s">
        <v>79</v>
      </c>
      <c r="R533">
        <v>82</v>
      </c>
      <c r="S533">
        <v>930.1</v>
      </c>
      <c r="T533">
        <f>Deals_[[#This Row],[Amount]]*Deals_[[#This Row],[Probability_Pct]]</f>
        <v>7560</v>
      </c>
    </row>
    <row r="534" spans="1:20" x14ac:dyDescent="0.2">
      <c r="A534" t="s">
        <v>1012</v>
      </c>
      <c r="B534" s="7">
        <v>46232</v>
      </c>
      <c r="C534" s="7">
        <v>46337</v>
      </c>
      <c r="D534" t="s">
        <v>1013</v>
      </c>
      <c r="E534" t="s">
        <v>68</v>
      </c>
      <c r="F534" t="s">
        <v>74</v>
      </c>
      <c r="G534" t="s">
        <v>34</v>
      </c>
      <c r="H534" t="s">
        <v>83</v>
      </c>
      <c r="I534" t="s">
        <v>99</v>
      </c>
      <c r="J534" t="s">
        <v>57</v>
      </c>
      <c r="K534" t="s">
        <v>37</v>
      </c>
      <c r="L534" t="s">
        <v>51</v>
      </c>
      <c r="M534" s="46">
        <v>170800</v>
      </c>
      <c r="N534">
        <v>0.108</v>
      </c>
      <c r="O534">
        <v>0.05</v>
      </c>
      <c r="P534" t="s">
        <v>38</v>
      </c>
      <c r="R534">
        <v>105</v>
      </c>
      <c r="S534">
        <v>12697.23</v>
      </c>
      <c r="T534">
        <f>Deals_[[#This Row],[Amount]]*Deals_[[#This Row],[Probability_Pct]]</f>
        <v>8540</v>
      </c>
    </row>
    <row r="535" spans="1:20" x14ac:dyDescent="0.2">
      <c r="A535" t="s">
        <v>1014</v>
      </c>
      <c r="B535" s="7">
        <v>46126</v>
      </c>
      <c r="C535" s="7">
        <v>46257</v>
      </c>
      <c r="D535" t="s">
        <v>866</v>
      </c>
      <c r="E535" t="s">
        <v>21</v>
      </c>
      <c r="F535" t="s">
        <v>48</v>
      </c>
      <c r="G535" t="s">
        <v>92</v>
      </c>
      <c r="H535" t="s">
        <v>24</v>
      </c>
      <c r="I535" t="s">
        <v>35</v>
      </c>
      <c r="J535" t="s">
        <v>26</v>
      </c>
      <c r="K535" t="s">
        <v>27</v>
      </c>
      <c r="L535" t="s">
        <v>51</v>
      </c>
      <c r="M535" s="46">
        <v>23200</v>
      </c>
      <c r="N535">
        <v>6.7000000000000004E-2</v>
      </c>
      <c r="O535">
        <v>0</v>
      </c>
      <c r="P535" t="s">
        <v>29</v>
      </c>
      <c r="Q535" t="s">
        <v>222</v>
      </c>
      <c r="R535">
        <v>131</v>
      </c>
      <c r="S535">
        <v>1803.17</v>
      </c>
      <c r="T535">
        <f>Deals_[[#This Row],[Amount]]*Deals_[[#This Row],[Probability_Pct]]</f>
        <v>0</v>
      </c>
    </row>
    <row r="536" spans="1:20" x14ac:dyDescent="0.2">
      <c r="A536" t="s">
        <v>1015</v>
      </c>
      <c r="B536" s="7">
        <v>46167</v>
      </c>
      <c r="C536" s="7">
        <v>46295</v>
      </c>
      <c r="D536" t="s">
        <v>125</v>
      </c>
      <c r="E536" t="s">
        <v>91</v>
      </c>
      <c r="F536" t="s">
        <v>48</v>
      </c>
      <c r="G536" t="s">
        <v>92</v>
      </c>
      <c r="H536" t="s">
        <v>69</v>
      </c>
      <c r="I536" t="s">
        <v>99</v>
      </c>
      <c r="J536" t="s">
        <v>57</v>
      </c>
      <c r="K536" t="s">
        <v>88</v>
      </c>
      <c r="L536" t="s">
        <v>51</v>
      </c>
      <c r="M536" s="46">
        <v>21000</v>
      </c>
      <c r="N536">
        <v>0.16200000000000001</v>
      </c>
      <c r="O536">
        <v>0.35</v>
      </c>
      <c r="P536" t="s">
        <v>38</v>
      </c>
      <c r="R536">
        <v>128</v>
      </c>
      <c r="S536">
        <v>1466.95</v>
      </c>
      <c r="T536">
        <f>Deals_[[#This Row],[Amount]]*Deals_[[#This Row],[Probability_Pct]]</f>
        <v>7349.9999999999991</v>
      </c>
    </row>
    <row r="537" spans="1:20" x14ac:dyDescent="0.2">
      <c r="A537" t="s">
        <v>1016</v>
      </c>
      <c r="B537" s="7">
        <v>46214</v>
      </c>
      <c r="C537" s="7">
        <v>46277</v>
      </c>
      <c r="D537" t="s">
        <v>1017</v>
      </c>
      <c r="E537" t="s">
        <v>33</v>
      </c>
      <c r="F537" t="s">
        <v>22</v>
      </c>
      <c r="G537" t="s">
        <v>23</v>
      </c>
      <c r="H537" t="s">
        <v>95</v>
      </c>
      <c r="I537" t="s">
        <v>84</v>
      </c>
      <c r="J537" t="s">
        <v>36</v>
      </c>
      <c r="K537" t="s">
        <v>50</v>
      </c>
      <c r="L537" t="s">
        <v>51</v>
      </c>
      <c r="M537" s="46">
        <v>87800</v>
      </c>
      <c r="N537">
        <v>3.1E-2</v>
      </c>
      <c r="O537">
        <v>1</v>
      </c>
      <c r="P537" t="s">
        <v>29</v>
      </c>
      <c r="R537">
        <v>63</v>
      </c>
      <c r="S537">
        <v>7089.18</v>
      </c>
      <c r="T537">
        <f>Deals_[[#This Row],[Amount]]*Deals_[[#This Row],[Probability_Pct]]</f>
        <v>87800</v>
      </c>
    </row>
    <row r="538" spans="1:20" x14ac:dyDescent="0.2">
      <c r="A538" t="s">
        <v>1018</v>
      </c>
      <c r="B538" s="7">
        <v>45963</v>
      </c>
      <c r="C538" s="7">
        <v>45999</v>
      </c>
      <c r="D538" t="s">
        <v>1019</v>
      </c>
      <c r="E538" t="s">
        <v>111</v>
      </c>
      <c r="F538" t="s">
        <v>22</v>
      </c>
      <c r="G538" t="s">
        <v>55</v>
      </c>
      <c r="H538" t="s">
        <v>41</v>
      </c>
      <c r="I538" t="s">
        <v>42</v>
      </c>
      <c r="J538" t="s">
        <v>36</v>
      </c>
      <c r="K538" t="s">
        <v>88</v>
      </c>
      <c r="L538" t="s">
        <v>44</v>
      </c>
      <c r="M538" s="46">
        <v>34900</v>
      </c>
      <c r="N538">
        <v>8.7999999999999995E-2</v>
      </c>
      <c r="O538">
        <v>0.35</v>
      </c>
      <c r="P538" t="s">
        <v>38</v>
      </c>
      <c r="R538">
        <v>36</v>
      </c>
      <c r="S538">
        <v>2651.16</v>
      </c>
      <c r="T538">
        <f>Deals_[[#This Row],[Amount]]*Deals_[[#This Row],[Probability_Pct]]</f>
        <v>12215</v>
      </c>
    </row>
    <row r="539" spans="1:20" x14ac:dyDescent="0.2">
      <c r="A539" t="s">
        <v>1020</v>
      </c>
      <c r="B539" s="7">
        <v>46049</v>
      </c>
      <c r="C539" s="7">
        <v>46130</v>
      </c>
      <c r="D539" t="s">
        <v>1021</v>
      </c>
      <c r="E539" t="s">
        <v>91</v>
      </c>
      <c r="F539" t="s">
        <v>22</v>
      </c>
      <c r="G539" t="s">
        <v>55</v>
      </c>
      <c r="H539" t="s">
        <v>77</v>
      </c>
      <c r="I539" t="s">
        <v>35</v>
      </c>
      <c r="J539" t="s">
        <v>43</v>
      </c>
      <c r="K539" t="s">
        <v>58</v>
      </c>
      <c r="L539" t="s">
        <v>51</v>
      </c>
      <c r="M539" s="46">
        <v>32900</v>
      </c>
      <c r="N539">
        <v>8.4000000000000005E-2</v>
      </c>
      <c r="O539">
        <v>0.8</v>
      </c>
      <c r="P539" t="s">
        <v>59</v>
      </c>
      <c r="R539">
        <v>81</v>
      </c>
      <c r="S539">
        <v>2512.15</v>
      </c>
      <c r="T539">
        <f>Deals_[[#This Row],[Amount]]*Deals_[[#This Row],[Probability_Pct]]</f>
        <v>26320</v>
      </c>
    </row>
    <row r="540" spans="1:20" x14ac:dyDescent="0.2">
      <c r="A540" t="s">
        <v>1022</v>
      </c>
      <c r="B540" s="7">
        <v>46101</v>
      </c>
      <c r="C540" s="7">
        <v>46193</v>
      </c>
      <c r="D540" t="s">
        <v>1023</v>
      </c>
      <c r="E540" t="s">
        <v>111</v>
      </c>
      <c r="F540" t="s">
        <v>48</v>
      </c>
      <c r="G540" t="s">
        <v>63</v>
      </c>
      <c r="H540" t="s">
        <v>83</v>
      </c>
      <c r="I540" t="s">
        <v>25</v>
      </c>
      <c r="J540" t="s">
        <v>36</v>
      </c>
      <c r="K540" t="s">
        <v>106</v>
      </c>
      <c r="L540" t="s">
        <v>28</v>
      </c>
      <c r="M540" s="46">
        <v>18700</v>
      </c>
      <c r="N540">
        <v>0.17599999999999999</v>
      </c>
      <c r="O540">
        <v>0.15</v>
      </c>
      <c r="P540" t="s">
        <v>38</v>
      </c>
      <c r="R540">
        <v>92</v>
      </c>
      <c r="S540">
        <v>1284.49</v>
      </c>
      <c r="T540">
        <f>Deals_[[#This Row],[Amount]]*Deals_[[#This Row],[Probability_Pct]]</f>
        <v>2805</v>
      </c>
    </row>
    <row r="541" spans="1:20" x14ac:dyDescent="0.2">
      <c r="A541" t="s">
        <v>1024</v>
      </c>
      <c r="B541" s="7">
        <v>45962</v>
      </c>
      <c r="C541" s="7">
        <v>46085</v>
      </c>
      <c r="D541" t="s">
        <v>1025</v>
      </c>
      <c r="E541" t="s">
        <v>54</v>
      </c>
      <c r="F541" t="s">
        <v>74</v>
      </c>
      <c r="G541" t="s">
        <v>34</v>
      </c>
      <c r="H541" t="s">
        <v>41</v>
      </c>
      <c r="I541" t="s">
        <v>25</v>
      </c>
      <c r="J541" t="s">
        <v>26</v>
      </c>
      <c r="K541" t="s">
        <v>27</v>
      </c>
      <c r="L541" t="s">
        <v>51</v>
      </c>
      <c r="M541" s="46">
        <v>117300</v>
      </c>
      <c r="N541">
        <v>0.219</v>
      </c>
      <c r="O541">
        <v>0</v>
      </c>
      <c r="P541" t="s">
        <v>29</v>
      </c>
      <c r="Q541" t="s">
        <v>188</v>
      </c>
      <c r="R541">
        <v>123</v>
      </c>
      <c r="S541">
        <v>7630.64</v>
      </c>
      <c r="T541">
        <f>Deals_[[#This Row],[Amount]]*Deals_[[#This Row],[Probability_Pct]]</f>
        <v>0</v>
      </c>
    </row>
    <row r="542" spans="1:20" x14ac:dyDescent="0.2">
      <c r="A542" t="s">
        <v>1026</v>
      </c>
      <c r="B542" s="7">
        <v>46264</v>
      </c>
      <c r="C542" s="7">
        <v>46277</v>
      </c>
      <c r="D542" t="s">
        <v>1027</v>
      </c>
      <c r="E542" t="s">
        <v>21</v>
      </c>
      <c r="F542" t="s">
        <v>48</v>
      </c>
      <c r="G542" t="s">
        <v>34</v>
      </c>
      <c r="H542" t="s">
        <v>120</v>
      </c>
      <c r="I542" t="s">
        <v>35</v>
      </c>
      <c r="J542" t="s">
        <v>26</v>
      </c>
      <c r="K542" t="s">
        <v>27</v>
      </c>
      <c r="L542" t="s">
        <v>44</v>
      </c>
      <c r="M542" s="46">
        <v>11000</v>
      </c>
      <c r="N542">
        <v>0.128</v>
      </c>
      <c r="O542">
        <v>0</v>
      </c>
      <c r="P542" t="s">
        <v>29</v>
      </c>
      <c r="Q542" t="s">
        <v>152</v>
      </c>
      <c r="R542">
        <v>13</v>
      </c>
      <c r="S542">
        <v>799.1</v>
      </c>
      <c r="T542">
        <f>Deals_[[#This Row],[Amount]]*Deals_[[#This Row],[Probability_Pct]]</f>
        <v>0</v>
      </c>
    </row>
    <row r="543" spans="1:20" x14ac:dyDescent="0.2">
      <c r="A543" t="s">
        <v>1028</v>
      </c>
      <c r="B543" s="7">
        <v>46036</v>
      </c>
      <c r="C543" s="7">
        <v>46064</v>
      </c>
      <c r="D543" t="s">
        <v>305</v>
      </c>
      <c r="E543" t="s">
        <v>21</v>
      </c>
      <c r="F543" t="s">
        <v>48</v>
      </c>
      <c r="G543" t="s">
        <v>34</v>
      </c>
      <c r="H543" t="s">
        <v>41</v>
      </c>
      <c r="I543" t="s">
        <v>25</v>
      </c>
      <c r="J543" t="s">
        <v>57</v>
      </c>
      <c r="K543" t="s">
        <v>50</v>
      </c>
      <c r="L543" t="s">
        <v>28</v>
      </c>
      <c r="M543" s="46">
        <v>19100</v>
      </c>
      <c r="N543">
        <v>0.152</v>
      </c>
      <c r="O543">
        <v>1</v>
      </c>
      <c r="P543" t="s">
        <v>29</v>
      </c>
      <c r="R543">
        <v>28</v>
      </c>
      <c r="S543">
        <v>1350.03</v>
      </c>
      <c r="T543">
        <f>Deals_[[#This Row],[Amount]]*Deals_[[#This Row],[Probability_Pct]]</f>
        <v>19100</v>
      </c>
    </row>
    <row r="544" spans="1:20" x14ac:dyDescent="0.2">
      <c r="A544" t="s">
        <v>1029</v>
      </c>
      <c r="B544" s="7">
        <v>46119</v>
      </c>
      <c r="C544" s="7">
        <v>46236</v>
      </c>
      <c r="D544" t="s">
        <v>1013</v>
      </c>
      <c r="E544" t="s">
        <v>62</v>
      </c>
      <c r="F544" t="s">
        <v>74</v>
      </c>
      <c r="G544" t="s">
        <v>63</v>
      </c>
      <c r="H544" t="s">
        <v>64</v>
      </c>
      <c r="I544" t="s">
        <v>35</v>
      </c>
      <c r="J544" t="s">
        <v>43</v>
      </c>
      <c r="K544" t="s">
        <v>58</v>
      </c>
      <c r="L544" t="s">
        <v>28</v>
      </c>
      <c r="M544" s="46">
        <v>114000</v>
      </c>
      <c r="N544">
        <v>3.5999999999999997E-2</v>
      </c>
      <c r="O544">
        <v>0.75</v>
      </c>
      <c r="P544" t="s">
        <v>59</v>
      </c>
      <c r="R544">
        <v>117</v>
      </c>
      <c r="S544">
        <v>9158.83</v>
      </c>
      <c r="T544">
        <f>Deals_[[#This Row],[Amount]]*Deals_[[#This Row],[Probability_Pct]]</f>
        <v>85500</v>
      </c>
    </row>
    <row r="545" spans="1:20" x14ac:dyDescent="0.2">
      <c r="A545" t="s">
        <v>1030</v>
      </c>
      <c r="B545" s="7">
        <v>46067</v>
      </c>
      <c r="C545" s="7">
        <v>46111</v>
      </c>
      <c r="D545" t="s">
        <v>953</v>
      </c>
      <c r="E545" t="s">
        <v>82</v>
      </c>
      <c r="F545" t="s">
        <v>22</v>
      </c>
      <c r="G545" t="s">
        <v>55</v>
      </c>
      <c r="H545" t="s">
        <v>98</v>
      </c>
      <c r="I545" t="s">
        <v>35</v>
      </c>
      <c r="J545" t="s">
        <v>36</v>
      </c>
      <c r="K545" t="s">
        <v>88</v>
      </c>
      <c r="L545" t="s">
        <v>28</v>
      </c>
      <c r="M545" s="46">
        <v>34100</v>
      </c>
      <c r="N545">
        <v>0.18</v>
      </c>
      <c r="O545">
        <v>0.35</v>
      </c>
      <c r="P545" t="s">
        <v>38</v>
      </c>
      <c r="R545">
        <v>44</v>
      </c>
      <c r="S545">
        <v>2330.7800000000002</v>
      </c>
      <c r="T545">
        <f>Deals_[[#This Row],[Amount]]*Deals_[[#This Row],[Probability_Pct]]</f>
        <v>11935</v>
      </c>
    </row>
    <row r="546" spans="1:20" x14ac:dyDescent="0.2">
      <c r="A546" t="s">
        <v>1031</v>
      </c>
      <c r="B546" s="7">
        <v>46113</v>
      </c>
      <c r="C546" s="7">
        <v>46141</v>
      </c>
      <c r="D546" t="s">
        <v>396</v>
      </c>
      <c r="E546" t="s">
        <v>54</v>
      </c>
      <c r="F546" t="s">
        <v>48</v>
      </c>
      <c r="G546" t="s">
        <v>55</v>
      </c>
      <c r="H546" t="s">
        <v>95</v>
      </c>
      <c r="I546" t="s">
        <v>65</v>
      </c>
      <c r="J546" t="s">
        <v>36</v>
      </c>
      <c r="K546" t="s">
        <v>27</v>
      </c>
      <c r="L546" t="s">
        <v>44</v>
      </c>
      <c r="M546" s="46">
        <v>6100</v>
      </c>
      <c r="N546">
        <v>9.5000000000000001E-2</v>
      </c>
      <c r="O546">
        <v>0</v>
      </c>
      <c r="P546" t="s">
        <v>29</v>
      </c>
      <c r="Q546" t="s">
        <v>45</v>
      </c>
      <c r="R546">
        <v>28</v>
      </c>
      <c r="S546">
        <v>459.87</v>
      </c>
      <c r="T546">
        <f>Deals_[[#This Row],[Amount]]*Deals_[[#This Row],[Probability_Pct]]</f>
        <v>0</v>
      </c>
    </row>
    <row r="547" spans="1:20" x14ac:dyDescent="0.2">
      <c r="A547" t="s">
        <v>1032</v>
      </c>
      <c r="B547" s="7">
        <v>46137</v>
      </c>
      <c r="C547" s="7">
        <v>46169</v>
      </c>
      <c r="D547" t="s">
        <v>1033</v>
      </c>
      <c r="E547" t="s">
        <v>91</v>
      </c>
      <c r="F547" t="s">
        <v>74</v>
      </c>
      <c r="G547" t="s">
        <v>34</v>
      </c>
      <c r="H547" t="s">
        <v>137</v>
      </c>
      <c r="I547" t="s">
        <v>84</v>
      </c>
      <c r="J547" t="s">
        <v>85</v>
      </c>
      <c r="K547" t="s">
        <v>58</v>
      </c>
      <c r="L547" t="s">
        <v>28</v>
      </c>
      <c r="M547" s="46">
        <v>215900</v>
      </c>
      <c r="N547">
        <v>9.5000000000000001E-2</v>
      </c>
      <c r="O547">
        <v>0.8</v>
      </c>
      <c r="P547" t="s">
        <v>59</v>
      </c>
      <c r="R547">
        <v>32</v>
      </c>
      <c r="S547">
        <v>16276.75</v>
      </c>
      <c r="T547">
        <f>Deals_[[#This Row],[Amount]]*Deals_[[#This Row],[Probability_Pct]]</f>
        <v>172720</v>
      </c>
    </row>
    <row r="548" spans="1:20" x14ac:dyDescent="0.2">
      <c r="A548" t="s">
        <v>1034</v>
      </c>
      <c r="B548" s="7">
        <v>46214</v>
      </c>
      <c r="C548" s="7">
        <v>46254</v>
      </c>
      <c r="D548" t="s">
        <v>247</v>
      </c>
      <c r="E548" t="s">
        <v>21</v>
      </c>
      <c r="F548" t="s">
        <v>22</v>
      </c>
      <c r="G548" t="s">
        <v>55</v>
      </c>
      <c r="H548" t="s">
        <v>24</v>
      </c>
      <c r="I548" t="s">
        <v>99</v>
      </c>
      <c r="J548" t="s">
        <v>43</v>
      </c>
      <c r="K548" t="s">
        <v>88</v>
      </c>
      <c r="L548" t="s">
        <v>44</v>
      </c>
      <c r="M548" s="46">
        <v>78700</v>
      </c>
      <c r="N548">
        <v>0.124</v>
      </c>
      <c r="O548">
        <v>0.35</v>
      </c>
      <c r="P548" t="s">
        <v>38</v>
      </c>
      <c r="R548">
        <v>40</v>
      </c>
      <c r="S548">
        <v>5744.66</v>
      </c>
      <c r="T548">
        <f>Deals_[[#This Row],[Amount]]*Deals_[[#This Row],[Probability_Pct]]</f>
        <v>27545</v>
      </c>
    </row>
    <row r="549" spans="1:20" x14ac:dyDescent="0.2">
      <c r="A549" t="s">
        <v>1035</v>
      </c>
      <c r="B549" s="7">
        <v>46100</v>
      </c>
      <c r="C549" s="7">
        <v>46229</v>
      </c>
      <c r="D549" t="s">
        <v>348</v>
      </c>
      <c r="E549" t="s">
        <v>68</v>
      </c>
      <c r="F549" t="s">
        <v>74</v>
      </c>
      <c r="G549" t="s">
        <v>92</v>
      </c>
      <c r="H549" t="s">
        <v>56</v>
      </c>
      <c r="I549" t="s">
        <v>25</v>
      </c>
      <c r="J549" t="s">
        <v>43</v>
      </c>
      <c r="K549" t="s">
        <v>37</v>
      </c>
      <c r="L549" t="s">
        <v>51</v>
      </c>
      <c r="M549" s="46">
        <v>305900</v>
      </c>
      <c r="N549">
        <v>2.4E-2</v>
      </c>
      <c r="O549">
        <v>0.1</v>
      </c>
      <c r="P549" t="s">
        <v>38</v>
      </c>
      <c r="R549">
        <v>129</v>
      </c>
      <c r="S549">
        <v>24876.720000000001</v>
      </c>
      <c r="T549">
        <f>Deals_[[#This Row],[Amount]]*Deals_[[#This Row],[Probability_Pct]]</f>
        <v>30590</v>
      </c>
    </row>
    <row r="550" spans="1:20" x14ac:dyDescent="0.2">
      <c r="A550" t="s">
        <v>1036</v>
      </c>
      <c r="B550" s="7">
        <v>46183</v>
      </c>
      <c r="C550" s="7">
        <v>46274</v>
      </c>
      <c r="D550" t="s">
        <v>1037</v>
      </c>
      <c r="E550" t="s">
        <v>33</v>
      </c>
      <c r="F550" t="s">
        <v>22</v>
      </c>
      <c r="G550" t="s">
        <v>63</v>
      </c>
      <c r="H550" t="s">
        <v>98</v>
      </c>
      <c r="I550" t="s">
        <v>65</v>
      </c>
      <c r="J550" t="s">
        <v>36</v>
      </c>
      <c r="K550" t="s">
        <v>58</v>
      </c>
      <c r="L550" t="s">
        <v>51</v>
      </c>
      <c r="M550" s="46">
        <v>37200</v>
      </c>
      <c r="N550">
        <v>0.10299999999999999</v>
      </c>
      <c r="O550">
        <v>0.7</v>
      </c>
      <c r="P550" t="s">
        <v>59</v>
      </c>
      <c r="R550">
        <v>91</v>
      </c>
      <c r="S550">
        <v>2780.53</v>
      </c>
      <c r="T550">
        <f>Deals_[[#This Row],[Amount]]*Deals_[[#This Row],[Probability_Pct]]</f>
        <v>26040</v>
      </c>
    </row>
    <row r="551" spans="1:20" x14ac:dyDescent="0.2">
      <c r="A551" t="s">
        <v>1038</v>
      </c>
      <c r="B551" s="7">
        <v>45979</v>
      </c>
      <c r="C551" s="7">
        <v>46142</v>
      </c>
      <c r="D551" t="s">
        <v>1039</v>
      </c>
      <c r="E551" t="s">
        <v>62</v>
      </c>
      <c r="F551" t="s">
        <v>48</v>
      </c>
      <c r="G551" t="s">
        <v>92</v>
      </c>
      <c r="H551" t="s">
        <v>56</v>
      </c>
      <c r="I551" t="s">
        <v>65</v>
      </c>
      <c r="J551" t="s">
        <v>43</v>
      </c>
      <c r="K551" t="s">
        <v>50</v>
      </c>
      <c r="L551" t="s">
        <v>51</v>
      </c>
      <c r="M551" s="46">
        <v>21500</v>
      </c>
      <c r="N551">
        <v>5.2999999999999999E-2</v>
      </c>
      <c r="O551">
        <v>1</v>
      </c>
      <c r="P551" t="s">
        <v>29</v>
      </c>
      <c r="R551">
        <v>163</v>
      </c>
      <c r="S551">
        <v>1697.07</v>
      </c>
      <c r="T551">
        <f>Deals_[[#This Row],[Amount]]*Deals_[[#This Row],[Probability_Pct]]</f>
        <v>21500</v>
      </c>
    </row>
    <row r="552" spans="1:20" x14ac:dyDescent="0.2">
      <c r="A552" t="s">
        <v>1040</v>
      </c>
      <c r="B552" s="7">
        <v>46015</v>
      </c>
      <c r="C552" s="7">
        <v>46085</v>
      </c>
      <c r="D552" t="s">
        <v>1041</v>
      </c>
      <c r="E552" t="s">
        <v>21</v>
      </c>
      <c r="F552" t="s">
        <v>48</v>
      </c>
      <c r="G552" t="s">
        <v>63</v>
      </c>
      <c r="H552" t="s">
        <v>120</v>
      </c>
      <c r="I552" t="s">
        <v>84</v>
      </c>
      <c r="J552" t="s">
        <v>26</v>
      </c>
      <c r="K552" t="s">
        <v>50</v>
      </c>
      <c r="L552" t="s">
        <v>51</v>
      </c>
      <c r="M552" s="46">
        <v>24600</v>
      </c>
      <c r="N552">
        <v>0.13</v>
      </c>
      <c r="O552">
        <v>1</v>
      </c>
      <c r="P552" t="s">
        <v>29</v>
      </c>
      <c r="R552">
        <v>70</v>
      </c>
      <c r="S552">
        <v>1783.9</v>
      </c>
      <c r="T552">
        <f>Deals_[[#This Row],[Amount]]*Deals_[[#This Row],[Probability_Pct]]</f>
        <v>24600</v>
      </c>
    </row>
    <row r="553" spans="1:20" x14ac:dyDescent="0.2">
      <c r="A553" t="s">
        <v>1042</v>
      </c>
      <c r="B553" s="7">
        <v>46189</v>
      </c>
      <c r="C553" s="7">
        <v>46277</v>
      </c>
      <c r="D553" t="s">
        <v>888</v>
      </c>
      <c r="E553" t="s">
        <v>21</v>
      </c>
      <c r="F553" t="s">
        <v>22</v>
      </c>
      <c r="G553" t="s">
        <v>34</v>
      </c>
      <c r="H553" t="s">
        <v>98</v>
      </c>
      <c r="I553" t="s">
        <v>84</v>
      </c>
      <c r="J553" t="s">
        <v>57</v>
      </c>
      <c r="K553" t="s">
        <v>50</v>
      </c>
      <c r="L553" t="s">
        <v>44</v>
      </c>
      <c r="M553" s="46">
        <v>51300</v>
      </c>
      <c r="N553">
        <v>0.08</v>
      </c>
      <c r="O553">
        <v>1</v>
      </c>
      <c r="P553" t="s">
        <v>29</v>
      </c>
      <c r="R553">
        <v>88</v>
      </c>
      <c r="S553">
        <v>3935.12</v>
      </c>
      <c r="T553">
        <f>Deals_[[#This Row],[Amount]]*Deals_[[#This Row],[Probability_Pct]]</f>
        <v>51300</v>
      </c>
    </row>
    <row r="554" spans="1:20" x14ac:dyDescent="0.2">
      <c r="A554" t="s">
        <v>1043</v>
      </c>
      <c r="B554" s="7">
        <v>46231</v>
      </c>
      <c r="C554" s="7">
        <v>46319</v>
      </c>
      <c r="D554" t="s">
        <v>163</v>
      </c>
      <c r="E554" t="s">
        <v>82</v>
      </c>
      <c r="F554" t="s">
        <v>48</v>
      </c>
      <c r="G554" t="s">
        <v>23</v>
      </c>
      <c r="H554" t="s">
        <v>83</v>
      </c>
      <c r="I554" t="s">
        <v>42</v>
      </c>
      <c r="J554" t="s">
        <v>26</v>
      </c>
      <c r="K554" t="s">
        <v>88</v>
      </c>
      <c r="L554" t="s">
        <v>51</v>
      </c>
      <c r="M554" s="46">
        <v>9900</v>
      </c>
      <c r="N554">
        <v>0.121</v>
      </c>
      <c r="O554">
        <v>0.3</v>
      </c>
      <c r="P554" t="s">
        <v>38</v>
      </c>
      <c r="R554">
        <v>88</v>
      </c>
      <c r="S554">
        <v>725.52</v>
      </c>
      <c r="T554">
        <f>Deals_[[#This Row],[Amount]]*Deals_[[#This Row],[Probability_Pct]]</f>
        <v>2970</v>
      </c>
    </row>
    <row r="555" spans="1:20" x14ac:dyDescent="0.2">
      <c r="A555" t="s">
        <v>1044</v>
      </c>
      <c r="B555" s="7">
        <v>46244</v>
      </c>
      <c r="C555" s="7">
        <v>46279</v>
      </c>
      <c r="D555" t="s">
        <v>1045</v>
      </c>
      <c r="E555" t="s">
        <v>91</v>
      </c>
      <c r="F555" t="s">
        <v>74</v>
      </c>
      <c r="G555" t="s">
        <v>63</v>
      </c>
      <c r="H555" t="s">
        <v>24</v>
      </c>
      <c r="I555" t="s">
        <v>65</v>
      </c>
      <c r="J555" t="s">
        <v>85</v>
      </c>
      <c r="K555" t="s">
        <v>88</v>
      </c>
      <c r="L555" t="s">
        <v>51</v>
      </c>
      <c r="M555" s="46">
        <v>228400</v>
      </c>
      <c r="N555">
        <v>0.129</v>
      </c>
      <c r="O555">
        <v>0.35</v>
      </c>
      <c r="P555" t="s">
        <v>38</v>
      </c>
      <c r="R555">
        <v>35</v>
      </c>
      <c r="S555">
        <v>16570.28</v>
      </c>
      <c r="T555">
        <f>Deals_[[#This Row],[Amount]]*Deals_[[#This Row],[Probability_Pct]]</f>
        <v>79940</v>
      </c>
    </row>
    <row r="556" spans="1:20" x14ac:dyDescent="0.2">
      <c r="A556" t="s">
        <v>1046</v>
      </c>
      <c r="B556" s="7">
        <v>45992</v>
      </c>
      <c r="C556" s="7">
        <v>46101</v>
      </c>
      <c r="D556" t="s">
        <v>631</v>
      </c>
      <c r="E556" t="s">
        <v>111</v>
      </c>
      <c r="F556" t="s">
        <v>48</v>
      </c>
      <c r="G556" t="s">
        <v>55</v>
      </c>
      <c r="H556" t="s">
        <v>64</v>
      </c>
      <c r="I556" t="s">
        <v>25</v>
      </c>
      <c r="J556" t="s">
        <v>43</v>
      </c>
      <c r="K556" t="s">
        <v>78</v>
      </c>
      <c r="L556" t="s">
        <v>51</v>
      </c>
      <c r="M556" s="46">
        <v>10800</v>
      </c>
      <c r="N556">
        <v>2.5999999999999999E-2</v>
      </c>
      <c r="O556">
        <v>0.5</v>
      </c>
      <c r="P556" t="s">
        <v>79</v>
      </c>
      <c r="R556">
        <v>109</v>
      </c>
      <c r="S556">
        <v>876.7</v>
      </c>
      <c r="T556">
        <f>Deals_[[#This Row],[Amount]]*Deals_[[#This Row],[Probability_Pct]]</f>
        <v>5400</v>
      </c>
    </row>
    <row r="557" spans="1:20" x14ac:dyDescent="0.2">
      <c r="A557" t="s">
        <v>1047</v>
      </c>
      <c r="B557" s="7">
        <v>46201</v>
      </c>
      <c r="C557" s="7">
        <v>46278</v>
      </c>
      <c r="D557" t="s">
        <v>673</v>
      </c>
      <c r="E557" t="s">
        <v>54</v>
      </c>
      <c r="F557" t="s">
        <v>22</v>
      </c>
      <c r="G557" t="s">
        <v>55</v>
      </c>
      <c r="H557" t="s">
        <v>49</v>
      </c>
      <c r="I557" t="s">
        <v>84</v>
      </c>
      <c r="J557" t="s">
        <v>43</v>
      </c>
      <c r="K557" t="s">
        <v>106</v>
      </c>
      <c r="L557" t="s">
        <v>51</v>
      </c>
      <c r="M557" s="46">
        <v>81600</v>
      </c>
      <c r="N557">
        <v>0.14199999999999999</v>
      </c>
      <c r="O557">
        <v>0.2</v>
      </c>
      <c r="P557" t="s">
        <v>38</v>
      </c>
      <c r="R557">
        <v>77</v>
      </c>
      <c r="S557">
        <v>5837</v>
      </c>
      <c r="T557">
        <f>Deals_[[#This Row],[Amount]]*Deals_[[#This Row],[Probability_Pct]]</f>
        <v>16320</v>
      </c>
    </row>
    <row r="558" spans="1:20" x14ac:dyDescent="0.2">
      <c r="A558" t="s">
        <v>1048</v>
      </c>
      <c r="B558" s="7">
        <v>45997</v>
      </c>
      <c r="C558" s="7">
        <v>46136</v>
      </c>
      <c r="D558" t="s">
        <v>1049</v>
      </c>
      <c r="E558" t="s">
        <v>33</v>
      </c>
      <c r="F558" t="s">
        <v>48</v>
      </c>
      <c r="G558" t="s">
        <v>23</v>
      </c>
      <c r="H558" t="s">
        <v>64</v>
      </c>
      <c r="I558" t="s">
        <v>99</v>
      </c>
      <c r="J558" t="s">
        <v>26</v>
      </c>
      <c r="K558" t="s">
        <v>58</v>
      </c>
      <c r="L558" t="s">
        <v>28</v>
      </c>
      <c r="M558" s="46">
        <v>6200</v>
      </c>
      <c r="N558">
        <v>9.6000000000000002E-2</v>
      </c>
      <c r="O558">
        <v>0.7</v>
      </c>
      <c r="P558" t="s">
        <v>59</v>
      </c>
      <c r="R558">
        <v>139</v>
      </c>
      <c r="S558">
        <v>467.27</v>
      </c>
      <c r="T558">
        <f>Deals_[[#This Row],[Amount]]*Deals_[[#This Row],[Probability_Pct]]</f>
        <v>4340</v>
      </c>
    </row>
    <row r="559" spans="1:20" x14ac:dyDescent="0.2">
      <c r="A559" t="s">
        <v>1050</v>
      </c>
      <c r="B559" s="7">
        <v>46277</v>
      </c>
      <c r="C559" s="7">
        <v>46326</v>
      </c>
      <c r="D559" t="s">
        <v>1051</v>
      </c>
      <c r="E559" t="s">
        <v>91</v>
      </c>
      <c r="F559" t="s">
        <v>74</v>
      </c>
      <c r="G559" t="s">
        <v>23</v>
      </c>
      <c r="H559" t="s">
        <v>120</v>
      </c>
      <c r="I559" t="s">
        <v>84</v>
      </c>
      <c r="J559" t="s">
        <v>43</v>
      </c>
      <c r="K559" t="s">
        <v>58</v>
      </c>
      <c r="L559" t="s">
        <v>44</v>
      </c>
      <c r="M559" s="46">
        <v>313400</v>
      </c>
      <c r="N559">
        <v>0.23</v>
      </c>
      <c r="O559">
        <v>0.7</v>
      </c>
      <c r="P559" t="s">
        <v>59</v>
      </c>
      <c r="R559">
        <v>49</v>
      </c>
      <c r="S559">
        <v>20103.55</v>
      </c>
      <c r="T559">
        <f>Deals_[[#This Row],[Amount]]*Deals_[[#This Row],[Probability_Pct]]</f>
        <v>219380</v>
      </c>
    </row>
    <row r="560" spans="1:20" x14ac:dyDescent="0.2">
      <c r="A560" t="s">
        <v>1052</v>
      </c>
      <c r="B560" s="7">
        <v>45940</v>
      </c>
      <c r="C560" s="7">
        <v>45977</v>
      </c>
      <c r="D560" t="s">
        <v>1053</v>
      </c>
      <c r="E560" t="s">
        <v>91</v>
      </c>
      <c r="F560" t="s">
        <v>22</v>
      </c>
      <c r="G560" t="s">
        <v>34</v>
      </c>
      <c r="H560" t="s">
        <v>83</v>
      </c>
      <c r="I560" t="s">
        <v>84</v>
      </c>
      <c r="J560" t="s">
        <v>36</v>
      </c>
      <c r="K560" t="s">
        <v>78</v>
      </c>
      <c r="L560" t="s">
        <v>28</v>
      </c>
      <c r="M560" s="46">
        <v>55500</v>
      </c>
      <c r="N560">
        <v>0.1</v>
      </c>
      <c r="O560">
        <v>0.55000000000000004</v>
      </c>
      <c r="P560" t="s">
        <v>79</v>
      </c>
      <c r="R560">
        <v>37</v>
      </c>
      <c r="S560">
        <v>4162.6899999999996</v>
      </c>
      <c r="T560">
        <f>Deals_[[#This Row],[Amount]]*Deals_[[#This Row],[Probability_Pct]]</f>
        <v>30525.000000000004</v>
      </c>
    </row>
    <row r="561" spans="1:20" x14ac:dyDescent="0.2">
      <c r="A561" t="s">
        <v>1054</v>
      </c>
      <c r="B561" s="7">
        <v>45946</v>
      </c>
      <c r="C561" s="7">
        <v>45972</v>
      </c>
      <c r="D561" t="s">
        <v>796</v>
      </c>
      <c r="E561" t="s">
        <v>54</v>
      </c>
      <c r="F561" t="s">
        <v>22</v>
      </c>
      <c r="G561" t="s">
        <v>92</v>
      </c>
      <c r="H561" t="s">
        <v>49</v>
      </c>
      <c r="I561" t="s">
        <v>99</v>
      </c>
      <c r="J561" t="s">
        <v>36</v>
      </c>
      <c r="K561" t="s">
        <v>88</v>
      </c>
      <c r="L561" t="s">
        <v>28</v>
      </c>
      <c r="M561" s="46">
        <v>96700</v>
      </c>
      <c r="N561">
        <v>8.8999999999999996E-2</v>
      </c>
      <c r="O561">
        <v>0.3</v>
      </c>
      <c r="P561" t="s">
        <v>38</v>
      </c>
      <c r="R561">
        <v>26</v>
      </c>
      <c r="S561">
        <v>7339.8</v>
      </c>
      <c r="T561">
        <f>Deals_[[#This Row],[Amount]]*Deals_[[#This Row],[Probability_Pct]]</f>
        <v>29010</v>
      </c>
    </row>
    <row r="562" spans="1:20" x14ac:dyDescent="0.2">
      <c r="A562" t="s">
        <v>1055</v>
      </c>
      <c r="B562" s="7">
        <v>46165</v>
      </c>
      <c r="C562" s="7">
        <v>46217</v>
      </c>
      <c r="D562" t="s">
        <v>1056</v>
      </c>
      <c r="E562" t="s">
        <v>21</v>
      </c>
      <c r="F562" t="s">
        <v>22</v>
      </c>
      <c r="G562" t="s">
        <v>23</v>
      </c>
      <c r="H562" t="s">
        <v>77</v>
      </c>
      <c r="I562" t="s">
        <v>25</v>
      </c>
      <c r="J562" t="s">
        <v>43</v>
      </c>
      <c r="K562" t="s">
        <v>88</v>
      </c>
      <c r="L562" t="s">
        <v>44</v>
      </c>
      <c r="M562" s="46">
        <v>27600</v>
      </c>
      <c r="N562">
        <v>3.5999999999999997E-2</v>
      </c>
      <c r="O562">
        <v>0.4</v>
      </c>
      <c r="P562" t="s">
        <v>38</v>
      </c>
      <c r="R562">
        <v>52</v>
      </c>
      <c r="S562">
        <v>2217.16</v>
      </c>
      <c r="T562">
        <f>Deals_[[#This Row],[Amount]]*Deals_[[#This Row],[Probability_Pct]]</f>
        <v>11040</v>
      </c>
    </row>
    <row r="563" spans="1:20" x14ac:dyDescent="0.2">
      <c r="A563" t="s">
        <v>1057</v>
      </c>
      <c r="B563" s="7">
        <v>46005</v>
      </c>
      <c r="C563" s="7">
        <v>46078</v>
      </c>
      <c r="D563" t="s">
        <v>1058</v>
      </c>
      <c r="E563" t="s">
        <v>54</v>
      </c>
      <c r="F563" t="s">
        <v>48</v>
      </c>
      <c r="G563" t="s">
        <v>63</v>
      </c>
      <c r="H563" t="s">
        <v>137</v>
      </c>
      <c r="I563" t="s">
        <v>99</v>
      </c>
      <c r="J563" t="s">
        <v>36</v>
      </c>
      <c r="K563" t="s">
        <v>50</v>
      </c>
      <c r="L563" t="s">
        <v>44</v>
      </c>
      <c r="M563" s="46">
        <v>9200</v>
      </c>
      <c r="N563">
        <v>0.127</v>
      </c>
      <c r="O563">
        <v>0.95</v>
      </c>
      <c r="P563" t="s">
        <v>29</v>
      </c>
      <c r="R563">
        <v>73</v>
      </c>
      <c r="S563">
        <v>669.45</v>
      </c>
      <c r="T563">
        <f>Deals_[[#This Row],[Amount]]*Deals_[[#This Row],[Probability_Pct]]</f>
        <v>8740</v>
      </c>
    </row>
    <row r="564" spans="1:20" x14ac:dyDescent="0.2">
      <c r="A564" t="s">
        <v>1059</v>
      </c>
      <c r="B564" s="7">
        <v>46114</v>
      </c>
      <c r="C564" s="7">
        <v>46196</v>
      </c>
      <c r="D564" t="s">
        <v>841</v>
      </c>
      <c r="E564" t="s">
        <v>62</v>
      </c>
      <c r="F564" t="s">
        <v>74</v>
      </c>
      <c r="G564" t="s">
        <v>34</v>
      </c>
      <c r="H564" t="s">
        <v>41</v>
      </c>
      <c r="I564" t="s">
        <v>84</v>
      </c>
      <c r="J564" t="s">
        <v>43</v>
      </c>
      <c r="K564" t="s">
        <v>50</v>
      </c>
      <c r="L564" t="s">
        <v>51</v>
      </c>
      <c r="M564" s="46">
        <v>147900</v>
      </c>
      <c r="N564">
        <v>9.8000000000000004E-2</v>
      </c>
      <c r="O564">
        <v>1</v>
      </c>
      <c r="P564" t="s">
        <v>29</v>
      </c>
      <c r="R564">
        <v>82</v>
      </c>
      <c r="S564">
        <v>11113.06</v>
      </c>
      <c r="T564">
        <f>Deals_[[#This Row],[Amount]]*Deals_[[#This Row],[Probability_Pct]]</f>
        <v>147900</v>
      </c>
    </row>
    <row r="565" spans="1:20" x14ac:dyDescent="0.2">
      <c r="A565" t="s">
        <v>1060</v>
      </c>
      <c r="B565" s="7">
        <v>46132</v>
      </c>
      <c r="C565" s="7">
        <v>46242</v>
      </c>
      <c r="D565" t="s">
        <v>285</v>
      </c>
      <c r="E565" t="s">
        <v>111</v>
      </c>
      <c r="F565" t="s">
        <v>22</v>
      </c>
      <c r="G565" t="s">
        <v>34</v>
      </c>
      <c r="H565" t="s">
        <v>120</v>
      </c>
      <c r="I565" t="s">
        <v>25</v>
      </c>
      <c r="J565" t="s">
        <v>36</v>
      </c>
      <c r="K565" t="s">
        <v>58</v>
      </c>
      <c r="L565" t="s">
        <v>51</v>
      </c>
      <c r="M565" s="46">
        <v>88900</v>
      </c>
      <c r="N565">
        <v>0.129</v>
      </c>
      <c r="O565">
        <v>0.75</v>
      </c>
      <c r="P565" t="s">
        <v>59</v>
      </c>
      <c r="R565">
        <v>110</v>
      </c>
      <c r="S565">
        <v>6455.71</v>
      </c>
      <c r="T565">
        <f>Deals_[[#This Row],[Amount]]*Deals_[[#This Row],[Probability_Pct]]</f>
        <v>66675</v>
      </c>
    </row>
    <row r="566" spans="1:20" x14ac:dyDescent="0.2">
      <c r="A566" t="s">
        <v>1061</v>
      </c>
      <c r="B566" s="7">
        <v>46020</v>
      </c>
      <c r="C566" s="7">
        <v>46082</v>
      </c>
      <c r="D566" t="s">
        <v>364</v>
      </c>
      <c r="E566" t="s">
        <v>82</v>
      </c>
      <c r="F566" t="s">
        <v>22</v>
      </c>
      <c r="G566" t="s">
        <v>63</v>
      </c>
      <c r="H566" t="s">
        <v>77</v>
      </c>
      <c r="I566" t="s">
        <v>99</v>
      </c>
      <c r="J566" t="s">
        <v>26</v>
      </c>
      <c r="K566" t="s">
        <v>27</v>
      </c>
      <c r="L566" t="s">
        <v>28</v>
      </c>
      <c r="M566" s="46">
        <v>50700</v>
      </c>
      <c r="N566">
        <v>9.4E-2</v>
      </c>
      <c r="O566">
        <v>0</v>
      </c>
      <c r="P566" t="s">
        <v>29</v>
      </c>
      <c r="Q566" t="s">
        <v>30</v>
      </c>
      <c r="R566">
        <v>62</v>
      </c>
      <c r="S566">
        <v>3828.89</v>
      </c>
      <c r="T566">
        <f>Deals_[[#This Row],[Amount]]*Deals_[[#This Row],[Probability_Pct]]</f>
        <v>0</v>
      </c>
    </row>
    <row r="567" spans="1:20" x14ac:dyDescent="0.2">
      <c r="A567" t="s">
        <v>1062</v>
      </c>
      <c r="B567" s="7">
        <v>46058</v>
      </c>
      <c r="C567" s="7">
        <v>46133</v>
      </c>
      <c r="D567" t="s">
        <v>1063</v>
      </c>
      <c r="E567" t="s">
        <v>21</v>
      </c>
      <c r="F567" t="s">
        <v>22</v>
      </c>
      <c r="G567" t="s">
        <v>92</v>
      </c>
      <c r="H567" t="s">
        <v>77</v>
      </c>
      <c r="I567" t="s">
        <v>35</v>
      </c>
      <c r="J567" t="s">
        <v>57</v>
      </c>
      <c r="K567" t="s">
        <v>78</v>
      </c>
      <c r="L567" t="s">
        <v>28</v>
      </c>
      <c r="M567" s="46">
        <v>59900</v>
      </c>
      <c r="N567">
        <v>0.19500000000000001</v>
      </c>
      <c r="O567">
        <v>0.55000000000000004</v>
      </c>
      <c r="P567" t="s">
        <v>79</v>
      </c>
      <c r="R567">
        <v>75</v>
      </c>
      <c r="S567">
        <v>4017.37</v>
      </c>
      <c r="T567">
        <f>Deals_[[#This Row],[Amount]]*Deals_[[#This Row],[Probability_Pct]]</f>
        <v>32945</v>
      </c>
    </row>
    <row r="568" spans="1:20" x14ac:dyDescent="0.2">
      <c r="A568" t="s">
        <v>1064</v>
      </c>
      <c r="B568" s="7">
        <v>46132</v>
      </c>
      <c r="C568" s="7">
        <v>46197</v>
      </c>
      <c r="D568" t="s">
        <v>90</v>
      </c>
      <c r="E568" t="s">
        <v>62</v>
      </c>
      <c r="F568" t="s">
        <v>74</v>
      </c>
      <c r="G568" t="s">
        <v>55</v>
      </c>
      <c r="H568" t="s">
        <v>95</v>
      </c>
      <c r="I568" t="s">
        <v>99</v>
      </c>
      <c r="J568" t="s">
        <v>85</v>
      </c>
      <c r="K568" t="s">
        <v>37</v>
      </c>
      <c r="L568" t="s">
        <v>28</v>
      </c>
      <c r="M568" s="46">
        <v>344500</v>
      </c>
      <c r="N568">
        <v>0.14599999999999999</v>
      </c>
      <c r="O568">
        <v>0.15</v>
      </c>
      <c r="P568" t="s">
        <v>38</v>
      </c>
      <c r="R568">
        <v>65</v>
      </c>
      <c r="S568">
        <v>24519.05</v>
      </c>
      <c r="T568">
        <f>Deals_[[#This Row],[Amount]]*Deals_[[#This Row],[Probability_Pct]]</f>
        <v>51675</v>
      </c>
    </row>
    <row r="569" spans="1:20" x14ac:dyDescent="0.2">
      <c r="A569" t="s">
        <v>1065</v>
      </c>
      <c r="B569" s="7">
        <v>46202</v>
      </c>
      <c r="C569" s="7">
        <v>46321</v>
      </c>
      <c r="D569" t="s">
        <v>303</v>
      </c>
      <c r="E569" t="s">
        <v>91</v>
      </c>
      <c r="F569" t="s">
        <v>48</v>
      </c>
      <c r="G569" t="s">
        <v>34</v>
      </c>
      <c r="H569" t="s">
        <v>56</v>
      </c>
      <c r="I569" t="s">
        <v>84</v>
      </c>
      <c r="J569" t="s">
        <v>26</v>
      </c>
      <c r="K569" t="s">
        <v>88</v>
      </c>
      <c r="L569" t="s">
        <v>51</v>
      </c>
      <c r="M569" s="46">
        <v>13300</v>
      </c>
      <c r="N569">
        <v>0.02</v>
      </c>
      <c r="O569">
        <v>0.4</v>
      </c>
      <c r="P569" t="s">
        <v>38</v>
      </c>
      <c r="R569">
        <v>119</v>
      </c>
      <c r="S569">
        <v>1085.8800000000001</v>
      </c>
      <c r="T569">
        <f>Deals_[[#This Row],[Amount]]*Deals_[[#This Row],[Probability_Pct]]</f>
        <v>5320</v>
      </c>
    </row>
    <row r="570" spans="1:20" x14ac:dyDescent="0.2">
      <c r="A570" t="s">
        <v>1066</v>
      </c>
      <c r="B570" s="7">
        <v>46073</v>
      </c>
      <c r="C570" s="7">
        <v>46095</v>
      </c>
      <c r="D570" t="s">
        <v>1067</v>
      </c>
      <c r="E570" t="s">
        <v>33</v>
      </c>
      <c r="F570" t="s">
        <v>22</v>
      </c>
      <c r="G570" t="s">
        <v>34</v>
      </c>
      <c r="H570" t="s">
        <v>24</v>
      </c>
      <c r="I570" t="s">
        <v>99</v>
      </c>
      <c r="J570" t="s">
        <v>57</v>
      </c>
      <c r="K570" t="s">
        <v>27</v>
      </c>
      <c r="L570" t="s">
        <v>51</v>
      </c>
      <c r="M570" s="46">
        <v>29300</v>
      </c>
      <c r="N570">
        <v>0.189</v>
      </c>
      <c r="O570">
        <v>0</v>
      </c>
      <c r="P570" t="s">
        <v>29</v>
      </c>
      <c r="Q570" t="s">
        <v>188</v>
      </c>
      <c r="R570">
        <v>22</v>
      </c>
      <c r="S570">
        <v>1980.23</v>
      </c>
      <c r="T570">
        <f>Deals_[[#This Row],[Amount]]*Deals_[[#This Row],[Probability_Pct]]</f>
        <v>0</v>
      </c>
    </row>
    <row r="571" spans="1:20" x14ac:dyDescent="0.2">
      <c r="A571" t="s">
        <v>1068</v>
      </c>
      <c r="B571" s="7">
        <v>46163</v>
      </c>
      <c r="C571" s="7">
        <v>46316</v>
      </c>
      <c r="D571" t="s">
        <v>1069</v>
      </c>
      <c r="E571" t="s">
        <v>21</v>
      </c>
      <c r="F571" t="s">
        <v>74</v>
      </c>
      <c r="G571" t="s">
        <v>55</v>
      </c>
      <c r="H571" t="s">
        <v>77</v>
      </c>
      <c r="I571" t="s">
        <v>84</v>
      </c>
      <c r="J571" t="s">
        <v>36</v>
      </c>
      <c r="K571" t="s">
        <v>88</v>
      </c>
      <c r="L571" t="s">
        <v>44</v>
      </c>
      <c r="M571" s="46">
        <v>216200</v>
      </c>
      <c r="N571">
        <v>0.106</v>
      </c>
      <c r="O571">
        <v>0.35</v>
      </c>
      <c r="P571" t="s">
        <v>38</v>
      </c>
      <c r="R571">
        <v>153</v>
      </c>
      <c r="S571">
        <v>16101.03</v>
      </c>
      <c r="T571">
        <f>Deals_[[#This Row],[Amount]]*Deals_[[#This Row],[Probability_Pct]]</f>
        <v>75670</v>
      </c>
    </row>
    <row r="572" spans="1:20" x14ac:dyDescent="0.2">
      <c r="A572" t="s">
        <v>1070</v>
      </c>
      <c r="B572" s="7">
        <v>46131</v>
      </c>
      <c r="C572" s="7">
        <v>46252</v>
      </c>
      <c r="D572" t="s">
        <v>1071</v>
      </c>
      <c r="E572" t="s">
        <v>68</v>
      </c>
      <c r="F572" t="s">
        <v>74</v>
      </c>
      <c r="G572" t="s">
        <v>55</v>
      </c>
      <c r="H572" t="s">
        <v>41</v>
      </c>
      <c r="I572" t="s">
        <v>35</v>
      </c>
      <c r="J572" t="s">
        <v>26</v>
      </c>
      <c r="K572" t="s">
        <v>27</v>
      </c>
      <c r="L572" t="s">
        <v>28</v>
      </c>
      <c r="M572" s="46">
        <v>259000</v>
      </c>
      <c r="N572">
        <v>8.5000000000000006E-2</v>
      </c>
      <c r="O572">
        <v>0.05</v>
      </c>
      <c r="P572" t="s">
        <v>29</v>
      </c>
      <c r="Q572" t="s">
        <v>45</v>
      </c>
      <c r="R572">
        <v>121</v>
      </c>
      <c r="S572">
        <v>19754.82</v>
      </c>
      <c r="T572">
        <f>Deals_[[#This Row],[Amount]]*Deals_[[#This Row],[Probability_Pct]]</f>
        <v>12950</v>
      </c>
    </row>
    <row r="573" spans="1:20" x14ac:dyDescent="0.2">
      <c r="A573" t="s">
        <v>1072</v>
      </c>
      <c r="B573" s="7">
        <v>45945</v>
      </c>
      <c r="C573" s="7">
        <v>46053</v>
      </c>
      <c r="D573" t="s">
        <v>226</v>
      </c>
      <c r="E573" t="s">
        <v>33</v>
      </c>
      <c r="F573" t="s">
        <v>22</v>
      </c>
      <c r="G573" t="s">
        <v>63</v>
      </c>
      <c r="H573" t="s">
        <v>24</v>
      </c>
      <c r="I573" t="s">
        <v>42</v>
      </c>
      <c r="J573" t="s">
        <v>36</v>
      </c>
      <c r="K573" t="s">
        <v>50</v>
      </c>
      <c r="L573" t="s">
        <v>44</v>
      </c>
      <c r="M573" s="46">
        <v>94200</v>
      </c>
      <c r="N573">
        <v>0.20399999999999999</v>
      </c>
      <c r="O573">
        <v>0.95</v>
      </c>
      <c r="P573" t="s">
        <v>29</v>
      </c>
      <c r="R573">
        <v>108</v>
      </c>
      <c r="S573">
        <v>6245.14</v>
      </c>
      <c r="T573">
        <f>Deals_[[#This Row],[Amount]]*Deals_[[#This Row],[Probability_Pct]]</f>
        <v>89490</v>
      </c>
    </row>
    <row r="574" spans="1:20" x14ac:dyDescent="0.2">
      <c r="A574" t="s">
        <v>1073</v>
      </c>
      <c r="B574" s="7">
        <v>46016</v>
      </c>
      <c r="C574" s="7">
        <v>46123</v>
      </c>
      <c r="D574" t="s">
        <v>610</v>
      </c>
      <c r="E574" t="s">
        <v>111</v>
      </c>
      <c r="F574" t="s">
        <v>48</v>
      </c>
      <c r="G574" t="s">
        <v>63</v>
      </c>
      <c r="H574" t="s">
        <v>98</v>
      </c>
      <c r="I574" t="s">
        <v>35</v>
      </c>
      <c r="J574" t="s">
        <v>85</v>
      </c>
      <c r="K574" t="s">
        <v>88</v>
      </c>
      <c r="L574" t="s">
        <v>51</v>
      </c>
      <c r="M574" s="46">
        <v>16600</v>
      </c>
      <c r="N574">
        <v>0.113</v>
      </c>
      <c r="O574">
        <v>0.4</v>
      </c>
      <c r="P574" t="s">
        <v>38</v>
      </c>
      <c r="R574">
        <v>107</v>
      </c>
      <c r="S574">
        <v>1227.0999999999999</v>
      </c>
      <c r="T574">
        <f>Deals_[[#This Row],[Amount]]*Deals_[[#This Row],[Probability_Pct]]</f>
        <v>6640</v>
      </c>
    </row>
    <row r="575" spans="1:20" x14ac:dyDescent="0.2">
      <c r="A575" t="s">
        <v>1074</v>
      </c>
      <c r="B575" s="7">
        <v>46005</v>
      </c>
      <c r="C575" s="7">
        <v>46142</v>
      </c>
      <c r="D575" t="s">
        <v>686</v>
      </c>
      <c r="E575" t="s">
        <v>33</v>
      </c>
      <c r="F575" t="s">
        <v>22</v>
      </c>
      <c r="G575" t="s">
        <v>63</v>
      </c>
      <c r="H575" t="s">
        <v>137</v>
      </c>
      <c r="I575" t="s">
        <v>65</v>
      </c>
      <c r="J575" t="s">
        <v>85</v>
      </c>
      <c r="K575" t="s">
        <v>50</v>
      </c>
      <c r="L575" t="s">
        <v>44</v>
      </c>
      <c r="M575" s="46">
        <v>91000</v>
      </c>
      <c r="N575">
        <v>0.20899999999999999</v>
      </c>
      <c r="O575">
        <v>1</v>
      </c>
      <c r="P575" t="s">
        <v>29</v>
      </c>
      <c r="R575">
        <v>137</v>
      </c>
      <c r="S575">
        <v>5997.26</v>
      </c>
      <c r="T575">
        <f>Deals_[[#This Row],[Amount]]*Deals_[[#This Row],[Probability_Pct]]</f>
        <v>91000</v>
      </c>
    </row>
    <row r="576" spans="1:20" x14ac:dyDescent="0.2">
      <c r="A576" t="s">
        <v>1075</v>
      </c>
      <c r="B576" s="7">
        <v>46178</v>
      </c>
      <c r="C576" s="7">
        <v>46211</v>
      </c>
      <c r="D576" t="s">
        <v>165</v>
      </c>
      <c r="E576" t="s">
        <v>68</v>
      </c>
      <c r="F576" t="s">
        <v>22</v>
      </c>
      <c r="G576" t="s">
        <v>55</v>
      </c>
      <c r="H576" t="s">
        <v>41</v>
      </c>
      <c r="I576" t="s">
        <v>65</v>
      </c>
      <c r="J576" t="s">
        <v>85</v>
      </c>
      <c r="K576" t="s">
        <v>50</v>
      </c>
      <c r="L576" t="s">
        <v>28</v>
      </c>
      <c r="M576" s="46">
        <v>97000</v>
      </c>
      <c r="N576">
        <v>0.16500000000000001</v>
      </c>
      <c r="O576">
        <v>1</v>
      </c>
      <c r="P576" t="s">
        <v>29</v>
      </c>
      <c r="R576">
        <v>33</v>
      </c>
      <c r="S576">
        <v>6751.48</v>
      </c>
      <c r="T576">
        <f>Deals_[[#This Row],[Amount]]*Deals_[[#This Row],[Probability_Pct]]</f>
        <v>97000</v>
      </c>
    </row>
    <row r="577" spans="1:20" x14ac:dyDescent="0.2">
      <c r="A577" t="s">
        <v>1076</v>
      </c>
      <c r="B577" s="7">
        <v>46045</v>
      </c>
      <c r="C577" s="7">
        <v>46131</v>
      </c>
      <c r="D577" t="s">
        <v>161</v>
      </c>
      <c r="E577" t="s">
        <v>91</v>
      </c>
      <c r="F577" t="s">
        <v>22</v>
      </c>
      <c r="G577" t="s">
        <v>92</v>
      </c>
      <c r="H577" t="s">
        <v>95</v>
      </c>
      <c r="I577" t="s">
        <v>25</v>
      </c>
      <c r="J577" t="s">
        <v>26</v>
      </c>
      <c r="K577" t="s">
        <v>37</v>
      </c>
      <c r="L577" t="s">
        <v>28</v>
      </c>
      <c r="M577" s="46">
        <v>79900</v>
      </c>
      <c r="N577">
        <v>9.1999999999999998E-2</v>
      </c>
      <c r="O577">
        <v>0.1</v>
      </c>
      <c r="P577" t="s">
        <v>38</v>
      </c>
      <c r="R577">
        <v>86</v>
      </c>
      <c r="S577">
        <v>6044.08</v>
      </c>
      <c r="T577">
        <f>Deals_[[#This Row],[Amount]]*Deals_[[#This Row],[Probability_Pct]]</f>
        <v>7990</v>
      </c>
    </row>
    <row r="578" spans="1:20" x14ac:dyDescent="0.2">
      <c r="A578" t="s">
        <v>1077</v>
      </c>
      <c r="B578" s="7">
        <v>46184</v>
      </c>
      <c r="C578" s="7">
        <v>46211</v>
      </c>
      <c r="D578" t="s">
        <v>1078</v>
      </c>
      <c r="E578" t="s">
        <v>54</v>
      </c>
      <c r="F578" t="s">
        <v>22</v>
      </c>
      <c r="G578" t="s">
        <v>23</v>
      </c>
      <c r="H578" t="s">
        <v>120</v>
      </c>
      <c r="I578" t="s">
        <v>65</v>
      </c>
      <c r="J578" t="s">
        <v>43</v>
      </c>
      <c r="K578" t="s">
        <v>106</v>
      </c>
      <c r="L578" t="s">
        <v>44</v>
      </c>
      <c r="M578" s="46">
        <v>54900</v>
      </c>
      <c r="N578">
        <v>0.185</v>
      </c>
      <c r="O578">
        <v>0.15</v>
      </c>
      <c r="P578" t="s">
        <v>38</v>
      </c>
      <c r="R578">
        <v>27</v>
      </c>
      <c r="S578">
        <v>3730.49</v>
      </c>
      <c r="T578">
        <f>Deals_[[#This Row],[Amount]]*Deals_[[#This Row],[Probability_Pct]]</f>
        <v>8235</v>
      </c>
    </row>
    <row r="579" spans="1:20" x14ac:dyDescent="0.2">
      <c r="A579" t="s">
        <v>1079</v>
      </c>
      <c r="B579" s="7">
        <v>46213</v>
      </c>
      <c r="C579" s="7">
        <v>46298</v>
      </c>
      <c r="D579" t="s">
        <v>752</v>
      </c>
      <c r="E579" t="s">
        <v>91</v>
      </c>
      <c r="F579" t="s">
        <v>48</v>
      </c>
      <c r="G579" t="s">
        <v>63</v>
      </c>
      <c r="H579" t="s">
        <v>120</v>
      </c>
      <c r="I579" t="s">
        <v>42</v>
      </c>
      <c r="J579" t="s">
        <v>85</v>
      </c>
      <c r="K579" t="s">
        <v>58</v>
      </c>
      <c r="L579" t="s">
        <v>51</v>
      </c>
      <c r="M579" s="46">
        <v>13100</v>
      </c>
      <c r="N579">
        <v>9.9000000000000005E-2</v>
      </c>
      <c r="O579">
        <v>0.7</v>
      </c>
      <c r="P579" t="s">
        <v>59</v>
      </c>
      <c r="R579">
        <v>85</v>
      </c>
      <c r="S579">
        <v>983.44</v>
      </c>
      <c r="T579">
        <f>Deals_[[#This Row],[Amount]]*Deals_[[#This Row],[Probability_Pct]]</f>
        <v>9170</v>
      </c>
    </row>
    <row r="580" spans="1:20" x14ac:dyDescent="0.2">
      <c r="A580" t="s">
        <v>1080</v>
      </c>
      <c r="B580" s="7">
        <v>46264</v>
      </c>
      <c r="C580" s="7">
        <v>46293</v>
      </c>
      <c r="D580" t="s">
        <v>1081</v>
      </c>
      <c r="E580" t="s">
        <v>82</v>
      </c>
      <c r="F580" t="s">
        <v>48</v>
      </c>
      <c r="G580" t="s">
        <v>55</v>
      </c>
      <c r="H580" t="s">
        <v>41</v>
      </c>
      <c r="I580" t="s">
        <v>42</v>
      </c>
      <c r="J580" t="s">
        <v>26</v>
      </c>
      <c r="K580" t="s">
        <v>88</v>
      </c>
      <c r="L580" t="s">
        <v>44</v>
      </c>
      <c r="M580" s="46">
        <v>20700</v>
      </c>
      <c r="N580">
        <v>0.10299999999999999</v>
      </c>
      <c r="O580">
        <v>0.35</v>
      </c>
      <c r="P580" t="s">
        <v>38</v>
      </c>
      <c r="R580">
        <v>29</v>
      </c>
      <c r="S580">
        <v>1547.86</v>
      </c>
      <c r="T580">
        <f>Deals_[[#This Row],[Amount]]*Deals_[[#This Row],[Probability_Pct]]</f>
        <v>7244.9999999999991</v>
      </c>
    </row>
    <row r="581" spans="1:20" x14ac:dyDescent="0.2">
      <c r="A581" t="s">
        <v>1082</v>
      </c>
      <c r="B581" s="7">
        <v>45997</v>
      </c>
      <c r="C581" s="7">
        <v>46080</v>
      </c>
      <c r="D581" t="s">
        <v>706</v>
      </c>
      <c r="E581" t="s">
        <v>54</v>
      </c>
      <c r="F581" t="s">
        <v>22</v>
      </c>
      <c r="G581" t="s">
        <v>34</v>
      </c>
      <c r="H581" t="s">
        <v>64</v>
      </c>
      <c r="I581" t="s">
        <v>35</v>
      </c>
      <c r="J581" t="s">
        <v>36</v>
      </c>
      <c r="K581" t="s">
        <v>58</v>
      </c>
      <c r="L581" t="s">
        <v>28</v>
      </c>
      <c r="M581" s="46">
        <v>30200</v>
      </c>
      <c r="N581">
        <v>0.152</v>
      </c>
      <c r="O581">
        <v>0.8</v>
      </c>
      <c r="P581" t="s">
        <v>59</v>
      </c>
      <c r="R581">
        <v>83</v>
      </c>
      <c r="S581">
        <v>2133.87</v>
      </c>
      <c r="T581">
        <f>Deals_[[#This Row],[Amount]]*Deals_[[#This Row],[Probability_Pct]]</f>
        <v>24160</v>
      </c>
    </row>
    <row r="582" spans="1:20" x14ac:dyDescent="0.2">
      <c r="A582" t="s">
        <v>1083</v>
      </c>
      <c r="B582" s="7">
        <v>46061</v>
      </c>
      <c r="C582" s="7">
        <v>46209</v>
      </c>
      <c r="D582" t="s">
        <v>1084</v>
      </c>
      <c r="E582" t="s">
        <v>111</v>
      </c>
      <c r="F582" t="s">
        <v>22</v>
      </c>
      <c r="G582" t="s">
        <v>63</v>
      </c>
      <c r="H582" t="s">
        <v>69</v>
      </c>
      <c r="I582" t="s">
        <v>35</v>
      </c>
      <c r="J582" t="s">
        <v>36</v>
      </c>
      <c r="K582" t="s">
        <v>88</v>
      </c>
      <c r="L582" t="s">
        <v>28</v>
      </c>
      <c r="M582" s="46">
        <v>66300</v>
      </c>
      <c r="N582">
        <v>7.6999999999999999E-2</v>
      </c>
      <c r="O582">
        <v>0.4</v>
      </c>
      <c r="P582" t="s">
        <v>38</v>
      </c>
      <c r="R582">
        <v>148</v>
      </c>
      <c r="S582">
        <v>5098.96</v>
      </c>
      <c r="T582">
        <f>Deals_[[#This Row],[Amount]]*Deals_[[#This Row],[Probability_Pct]]</f>
        <v>26520</v>
      </c>
    </row>
    <row r="583" spans="1:20" x14ac:dyDescent="0.2">
      <c r="A583" t="s">
        <v>1085</v>
      </c>
      <c r="B583" s="7">
        <v>46221</v>
      </c>
      <c r="C583" s="7">
        <v>46277</v>
      </c>
      <c r="D583" t="s">
        <v>177</v>
      </c>
      <c r="E583" t="s">
        <v>62</v>
      </c>
      <c r="F583" t="s">
        <v>48</v>
      </c>
      <c r="G583" t="s">
        <v>34</v>
      </c>
      <c r="H583" t="s">
        <v>56</v>
      </c>
      <c r="I583" t="s">
        <v>65</v>
      </c>
      <c r="J583" t="s">
        <v>85</v>
      </c>
      <c r="K583" t="s">
        <v>50</v>
      </c>
      <c r="L583" t="s">
        <v>44</v>
      </c>
      <c r="M583" s="46">
        <v>8800</v>
      </c>
      <c r="N583">
        <v>0.20300000000000001</v>
      </c>
      <c r="O583">
        <v>1</v>
      </c>
      <c r="P583" t="s">
        <v>29</v>
      </c>
      <c r="R583">
        <v>56</v>
      </c>
      <c r="S583">
        <v>584.6</v>
      </c>
      <c r="T583">
        <f>Deals_[[#This Row],[Amount]]*Deals_[[#This Row],[Probability_Pct]]</f>
        <v>8800</v>
      </c>
    </row>
    <row r="584" spans="1:20" x14ac:dyDescent="0.2">
      <c r="A584" t="s">
        <v>1086</v>
      </c>
      <c r="B584" s="7">
        <v>46097</v>
      </c>
      <c r="C584" s="7">
        <v>46231</v>
      </c>
      <c r="D584" t="s">
        <v>185</v>
      </c>
      <c r="E584" t="s">
        <v>62</v>
      </c>
      <c r="F584" t="s">
        <v>48</v>
      </c>
      <c r="G584" t="s">
        <v>23</v>
      </c>
      <c r="H584" t="s">
        <v>49</v>
      </c>
      <c r="I584" t="s">
        <v>65</v>
      </c>
      <c r="J584" t="s">
        <v>36</v>
      </c>
      <c r="K584" t="s">
        <v>50</v>
      </c>
      <c r="L584" t="s">
        <v>44</v>
      </c>
      <c r="M584" s="46">
        <v>23000</v>
      </c>
      <c r="N584">
        <v>0.184</v>
      </c>
      <c r="O584">
        <v>1</v>
      </c>
      <c r="P584" t="s">
        <v>29</v>
      </c>
      <c r="R584">
        <v>134</v>
      </c>
      <c r="S584">
        <v>1563.92</v>
      </c>
      <c r="T584">
        <f>Deals_[[#This Row],[Amount]]*Deals_[[#This Row],[Probability_Pct]]</f>
        <v>23000</v>
      </c>
    </row>
    <row r="585" spans="1:20" x14ac:dyDescent="0.2">
      <c r="A585" t="s">
        <v>1087</v>
      </c>
      <c r="B585" s="7">
        <v>46217</v>
      </c>
      <c r="C585" s="7">
        <v>46297</v>
      </c>
      <c r="D585" t="s">
        <v>1088</v>
      </c>
      <c r="E585" t="s">
        <v>111</v>
      </c>
      <c r="F585" t="s">
        <v>74</v>
      </c>
      <c r="G585" t="s">
        <v>34</v>
      </c>
      <c r="H585" t="s">
        <v>83</v>
      </c>
      <c r="I585" t="s">
        <v>84</v>
      </c>
      <c r="J585" t="s">
        <v>85</v>
      </c>
      <c r="K585" t="s">
        <v>88</v>
      </c>
      <c r="L585" t="s">
        <v>28</v>
      </c>
      <c r="M585" s="46">
        <v>308500</v>
      </c>
      <c r="N585">
        <v>0.104</v>
      </c>
      <c r="O585">
        <v>0.35</v>
      </c>
      <c r="P585" t="s">
        <v>38</v>
      </c>
      <c r="R585">
        <v>80</v>
      </c>
      <c r="S585">
        <v>23030.29</v>
      </c>
      <c r="T585">
        <f>Deals_[[#This Row],[Amount]]*Deals_[[#This Row],[Probability_Pct]]</f>
        <v>107975</v>
      </c>
    </row>
    <row r="586" spans="1:20" x14ac:dyDescent="0.2">
      <c r="A586" t="s">
        <v>1089</v>
      </c>
      <c r="B586" s="7">
        <v>46145</v>
      </c>
      <c r="C586" s="7">
        <v>46327</v>
      </c>
      <c r="D586" t="s">
        <v>1090</v>
      </c>
      <c r="E586" t="s">
        <v>91</v>
      </c>
      <c r="F586" t="s">
        <v>74</v>
      </c>
      <c r="G586" t="s">
        <v>34</v>
      </c>
      <c r="H586" t="s">
        <v>120</v>
      </c>
      <c r="I586" t="s">
        <v>25</v>
      </c>
      <c r="J586" t="s">
        <v>26</v>
      </c>
      <c r="K586" t="s">
        <v>88</v>
      </c>
      <c r="L586" t="s">
        <v>28</v>
      </c>
      <c r="M586" s="46">
        <v>160800</v>
      </c>
      <c r="N586">
        <v>8.5000000000000006E-2</v>
      </c>
      <c r="O586">
        <v>0.35</v>
      </c>
      <c r="P586" t="s">
        <v>38</v>
      </c>
      <c r="R586">
        <v>182</v>
      </c>
      <c r="S586">
        <v>12261.09</v>
      </c>
      <c r="T586">
        <f>Deals_[[#This Row],[Amount]]*Deals_[[#This Row],[Probability_Pct]]</f>
        <v>56280</v>
      </c>
    </row>
    <row r="587" spans="1:20" x14ac:dyDescent="0.2">
      <c r="A587" t="s">
        <v>1091</v>
      </c>
      <c r="B587" s="7">
        <v>46123</v>
      </c>
      <c r="C587" s="7">
        <v>46177</v>
      </c>
      <c r="D587" t="s">
        <v>1092</v>
      </c>
      <c r="E587" t="s">
        <v>91</v>
      </c>
      <c r="F587" t="s">
        <v>48</v>
      </c>
      <c r="G587" t="s">
        <v>23</v>
      </c>
      <c r="H587" t="s">
        <v>49</v>
      </c>
      <c r="I587" t="s">
        <v>99</v>
      </c>
      <c r="J587" t="s">
        <v>36</v>
      </c>
      <c r="K587" t="s">
        <v>88</v>
      </c>
      <c r="L587" t="s">
        <v>51</v>
      </c>
      <c r="M587" s="46">
        <v>6200</v>
      </c>
      <c r="N587">
        <v>0.08</v>
      </c>
      <c r="O587">
        <v>0.35</v>
      </c>
      <c r="P587" t="s">
        <v>38</v>
      </c>
      <c r="R587">
        <v>54</v>
      </c>
      <c r="S587">
        <v>475.28</v>
      </c>
      <c r="T587">
        <f>Deals_[[#This Row],[Amount]]*Deals_[[#This Row],[Probability_Pct]]</f>
        <v>2170</v>
      </c>
    </row>
    <row r="588" spans="1:20" x14ac:dyDescent="0.2">
      <c r="A588" t="s">
        <v>1093</v>
      </c>
      <c r="B588" s="7">
        <v>46199</v>
      </c>
      <c r="C588" s="7">
        <v>46237</v>
      </c>
      <c r="D588" t="s">
        <v>1094</v>
      </c>
      <c r="E588" t="s">
        <v>54</v>
      </c>
      <c r="F588" t="s">
        <v>22</v>
      </c>
      <c r="G588" t="s">
        <v>63</v>
      </c>
      <c r="H588" t="s">
        <v>56</v>
      </c>
      <c r="I588" t="s">
        <v>35</v>
      </c>
      <c r="J588" t="s">
        <v>43</v>
      </c>
      <c r="K588" t="s">
        <v>88</v>
      </c>
      <c r="L588" t="s">
        <v>44</v>
      </c>
      <c r="M588" s="46">
        <v>77700</v>
      </c>
      <c r="N588">
        <v>0.14799999999999999</v>
      </c>
      <c r="O588">
        <v>0.4</v>
      </c>
      <c r="P588" t="s">
        <v>38</v>
      </c>
      <c r="R588">
        <v>38</v>
      </c>
      <c r="S588">
        <v>5514.43</v>
      </c>
      <c r="T588">
        <f>Deals_[[#This Row],[Amount]]*Deals_[[#This Row],[Probability_Pct]]</f>
        <v>31080</v>
      </c>
    </row>
    <row r="589" spans="1:20" x14ac:dyDescent="0.2">
      <c r="A589" t="s">
        <v>1095</v>
      </c>
      <c r="B589" s="7">
        <v>46105</v>
      </c>
      <c r="C589" s="7">
        <v>46189</v>
      </c>
      <c r="D589" t="s">
        <v>1096</v>
      </c>
      <c r="E589" t="s">
        <v>54</v>
      </c>
      <c r="F589" t="s">
        <v>22</v>
      </c>
      <c r="G589" t="s">
        <v>92</v>
      </c>
      <c r="H589" t="s">
        <v>24</v>
      </c>
      <c r="I589" t="s">
        <v>99</v>
      </c>
      <c r="J589" t="s">
        <v>26</v>
      </c>
      <c r="K589" t="s">
        <v>50</v>
      </c>
      <c r="L589" t="s">
        <v>51</v>
      </c>
      <c r="M589" s="46">
        <v>53500</v>
      </c>
      <c r="N589">
        <v>0.13900000000000001</v>
      </c>
      <c r="O589">
        <v>0.95</v>
      </c>
      <c r="P589" t="s">
        <v>29</v>
      </c>
      <c r="R589">
        <v>84</v>
      </c>
      <c r="S589">
        <v>3838.05</v>
      </c>
      <c r="T589">
        <f>Deals_[[#This Row],[Amount]]*Deals_[[#This Row],[Probability_Pct]]</f>
        <v>50825</v>
      </c>
    </row>
    <row r="590" spans="1:20" x14ac:dyDescent="0.2">
      <c r="A590" t="s">
        <v>1097</v>
      </c>
      <c r="B590" s="7">
        <v>46221</v>
      </c>
      <c r="C590" s="7">
        <v>46277</v>
      </c>
      <c r="D590" t="s">
        <v>1098</v>
      </c>
      <c r="E590" t="s">
        <v>54</v>
      </c>
      <c r="F590" t="s">
        <v>48</v>
      </c>
      <c r="G590" t="s">
        <v>92</v>
      </c>
      <c r="H590" t="s">
        <v>56</v>
      </c>
      <c r="I590" t="s">
        <v>42</v>
      </c>
      <c r="J590" t="s">
        <v>43</v>
      </c>
      <c r="K590" t="s">
        <v>27</v>
      </c>
      <c r="L590" t="s">
        <v>28</v>
      </c>
      <c r="M590" s="46">
        <v>12100</v>
      </c>
      <c r="N590">
        <v>0.16900000000000001</v>
      </c>
      <c r="O590">
        <v>0</v>
      </c>
      <c r="P590" t="s">
        <v>29</v>
      </c>
      <c r="Q590" t="s">
        <v>152</v>
      </c>
      <c r="R590">
        <v>56</v>
      </c>
      <c r="S590">
        <v>837.79</v>
      </c>
      <c r="T590">
        <f>Deals_[[#This Row],[Amount]]*Deals_[[#This Row],[Probability_Pct]]</f>
        <v>0</v>
      </c>
    </row>
    <row r="591" spans="1:20" x14ac:dyDescent="0.2">
      <c r="A591" t="s">
        <v>1099</v>
      </c>
      <c r="B591" s="7">
        <v>46219</v>
      </c>
      <c r="C591" s="7">
        <v>46317</v>
      </c>
      <c r="D591" t="s">
        <v>866</v>
      </c>
      <c r="E591" t="s">
        <v>68</v>
      </c>
      <c r="F591" t="s">
        <v>48</v>
      </c>
      <c r="G591" t="s">
        <v>55</v>
      </c>
      <c r="H591" t="s">
        <v>41</v>
      </c>
      <c r="I591" t="s">
        <v>42</v>
      </c>
      <c r="J591" t="s">
        <v>85</v>
      </c>
      <c r="K591" t="s">
        <v>88</v>
      </c>
      <c r="L591" t="s">
        <v>44</v>
      </c>
      <c r="M591" s="46">
        <v>19600</v>
      </c>
      <c r="N591">
        <v>0.108</v>
      </c>
      <c r="O591">
        <v>0.35</v>
      </c>
      <c r="P591" t="s">
        <v>38</v>
      </c>
      <c r="R591">
        <v>98</v>
      </c>
      <c r="S591">
        <v>1456.82</v>
      </c>
      <c r="T591">
        <f>Deals_[[#This Row],[Amount]]*Deals_[[#This Row],[Probability_Pct]]</f>
        <v>6860</v>
      </c>
    </row>
    <row r="592" spans="1:20" x14ac:dyDescent="0.2">
      <c r="A592" t="s">
        <v>1100</v>
      </c>
      <c r="B592" s="7">
        <v>46202</v>
      </c>
      <c r="C592" s="7">
        <v>46287</v>
      </c>
      <c r="D592" t="s">
        <v>537</v>
      </c>
      <c r="E592" t="s">
        <v>54</v>
      </c>
      <c r="F592" t="s">
        <v>48</v>
      </c>
      <c r="G592" t="s">
        <v>23</v>
      </c>
      <c r="H592" t="s">
        <v>95</v>
      </c>
      <c r="I592" t="s">
        <v>25</v>
      </c>
      <c r="J592" t="s">
        <v>57</v>
      </c>
      <c r="K592" t="s">
        <v>88</v>
      </c>
      <c r="L592" t="s">
        <v>28</v>
      </c>
      <c r="M592" s="46">
        <v>15300</v>
      </c>
      <c r="N592">
        <v>0.104</v>
      </c>
      <c r="O592">
        <v>0.35</v>
      </c>
      <c r="P592" t="s">
        <v>38</v>
      </c>
      <c r="R592">
        <v>85</v>
      </c>
      <c r="S592">
        <v>1141.9100000000001</v>
      </c>
      <c r="T592">
        <f>Deals_[[#This Row],[Amount]]*Deals_[[#This Row],[Probability_Pct]]</f>
        <v>5355</v>
      </c>
    </row>
    <row r="593" spans="1:20" x14ac:dyDescent="0.2">
      <c r="A593" t="s">
        <v>1101</v>
      </c>
      <c r="B593" s="7">
        <v>46171</v>
      </c>
      <c r="C593" s="7">
        <v>46261</v>
      </c>
      <c r="D593" t="s">
        <v>1102</v>
      </c>
      <c r="E593" t="s">
        <v>33</v>
      </c>
      <c r="F593" t="s">
        <v>48</v>
      </c>
      <c r="G593" t="s">
        <v>34</v>
      </c>
      <c r="H593" t="s">
        <v>120</v>
      </c>
      <c r="I593" t="s">
        <v>35</v>
      </c>
      <c r="J593" t="s">
        <v>57</v>
      </c>
      <c r="K593" t="s">
        <v>88</v>
      </c>
      <c r="L593" t="s">
        <v>28</v>
      </c>
      <c r="M593" s="46">
        <v>27200</v>
      </c>
      <c r="N593">
        <v>8.5999999999999993E-2</v>
      </c>
      <c r="O593">
        <v>0.4</v>
      </c>
      <c r="P593" t="s">
        <v>38</v>
      </c>
      <c r="R593">
        <v>90</v>
      </c>
      <c r="S593">
        <v>2071.1799999999998</v>
      </c>
      <c r="T593">
        <f>Deals_[[#This Row],[Amount]]*Deals_[[#This Row],[Probability_Pct]]</f>
        <v>10880</v>
      </c>
    </row>
    <row r="594" spans="1:20" x14ac:dyDescent="0.2">
      <c r="A594" t="s">
        <v>1103</v>
      </c>
      <c r="B594" s="7">
        <v>45933</v>
      </c>
      <c r="C594" s="7">
        <v>46057</v>
      </c>
      <c r="D594" t="s">
        <v>702</v>
      </c>
      <c r="E594" t="s">
        <v>68</v>
      </c>
      <c r="F594" t="s">
        <v>22</v>
      </c>
      <c r="G594" t="s">
        <v>55</v>
      </c>
      <c r="H594" t="s">
        <v>41</v>
      </c>
      <c r="I594" t="s">
        <v>84</v>
      </c>
      <c r="J594" t="s">
        <v>57</v>
      </c>
      <c r="K594" t="s">
        <v>78</v>
      </c>
      <c r="L594" t="s">
        <v>28</v>
      </c>
      <c r="M594" s="46">
        <v>51100</v>
      </c>
      <c r="N594">
        <v>0.23499999999999999</v>
      </c>
      <c r="O594">
        <v>0.55000000000000004</v>
      </c>
      <c r="P594" t="s">
        <v>79</v>
      </c>
      <c r="R594">
        <v>124</v>
      </c>
      <c r="S594">
        <v>3259.18</v>
      </c>
      <c r="T594">
        <f>Deals_[[#This Row],[Amount]]*Deals_[[#This Row],[Probability_Pct]]</f>
        <v>28105.000000000004</v>
      </c>
    </row>
    <row r="595" spans="1:20" x14ac:dyDescent="0.2">
      <c r="A595" t="s">
        <v>1104</v>
      </c>
      <c r="B595" s="7">
        <v>46073</v>
      </c>
      <c r="C595" s="7">
        <v>46214</v>
      </c>
      <c r="D595" t="s">
        <v>1105</v>
      </c>
      <c r="E595" t="s">
        <v>91</v>
      </c>
      <c r="F595" t="s">
        <v>22</v>
      </c>
      <c r="G595" t="s">
        <v>55</v>
      </c>
      <c r="H595" t="s">
        <v>49</v>
      </c>
      <c r="I595" t="s">
        <v>42</v>
      </c>
      <c r="J595" t="s">
        <v>26</v>
      </c>
      <c r="K595" t="s">
        <v>37</v>
      </c>
      <c r="L595" t="s">
        <v>44</v>
      </c>
      <c r="M595" s="46">
        <v>88900</v>
      </c>
      <c r="N595">
        <v>8.5000000000000006E-2</v>
      </c>
      <c r="O595">
        <v>0.1</v>
      </c>
      <c r="P595" t="s">
        <v>38</v>
      </c>
      <c r="R595">
        <v>141</v>
      </c>
      <c r="S595">
        <v>6780.28</v>
      </c>
      <c r="T595">
        <f>Deals_[[#This Row],[Amount]]*Deals_[[#This Row],[Probability_Pct]]</f>
        <v>8890</v>
      </c>
    </row>
    <row r="596" spans="1:20" x14ac:dyDescent="0.2">
      <c r="A596" t="s">
        <v>1106</v>
      </c>
      <c r="B596" s="7">
        <v>46189</v>
      </c>
      <c r="C596" s="7">
        <v>46239</v>
      </c>
      <c r="D596" t="s">
        <v>173</v>
      </c>
      <c r="E596" t="s">
        <v>91</v>
      </c>
      <c r="F596" t="s">
        <v>74</v>
      </c>
      <c r="G596" t="s">
        <v>23</v>
      </c>
      <c r="H596" t="s">
        <v>49</v>
      </c>
      <c r="I596" t="s">
        <v>99</v>
      </c>
      <c r="J596" t="s">
        <v>85</v>
      </c>
      <c r="K596" t="s">
        <v>78</v>
      </c>
      <c r="L596" t="s">
        <v>28</v>
      </c>
      <c r="M596" s="46">
        <v>87100</v>
      </c>
      <c r="N596">
        <v>0.17899999999999999</v>
      </c>
      <c r="O596">
        <v>0.6</v>
      </c>
      <c r="P596" t="s">
        <v>79</v>
      </c>
      <c r="R596">
        <v>50</v>
      </c>
      <c r="S596">
        <v>5957.77</v>
      </c>
      <c r="T596">
        <f>Deals_[[#This Row],[Amount]]*Deals_[[#This Row],[Probability_Pct]]</f>
        <v>52260</v>
      </c>
    </row>
    <row r="597" spans="1:20" x14ac:dyDescent="0.2">
      <c r="A597" t="s">
        <v>1107</v>
      </c>
      <c r="B597" s="7">
        <v>45999</v>
      </c>
      <c r="C597" s="7">
        <v>46050</v>
      </c>
      <c r="D597" t="s">
        <v>999</v>
      </c>
      <c r="E597" t="s">
        <v>68</v>
      </c>
      <c r="F597" t="s">
        <v>48</v>
      </c>
      <c r="G597" t="s">
        <v>34</v>
      </c>
      <c r="H597" t="s">
        <v>77</v>
      </c>
      <c r="I597" t="s">
        <v>99</v>
      </c>
      <c r="J597" t="s">
        <v>36</v>
      </c>
      <c r="K597" t="s">
        <v>50</v>
      </c>
      <c r="L597" t="s">
        <v>44</v>
      </c>
      <c r="M597" s="46">
        <v>17200</v>
      </c>
      <c r="N597">
        <v>0.14499999999999999</v>
      </c>
      <c r="O597">
        <v>1</v>
      </c>
      <c r="P597" t="s">
        <v>29</v>
      </c>
      <c r="R597">
        <v>51</v>
      </c>
      <c r="S597">
        <v>1225.8900000000001</v>
      </c>
      <c r="T597">
        <f>Deals_[[#This Row],[Amount]]*Deals_[[#This Row],[Probability_Pct]]</f>
        <v>17200</v>
      </c>
    </row>
    <row r="598" spans="1:20" x14ac:dyDescent="0.2">
      <c r="A598" t="s">
        <v>1108</v>
      </c>
      <c r="B598" s="7">
        <v>46016</v>
      </c>
      <c r="C598" s="7">
        <v>46150</v>
      </c>
      <c r="D598" t="s">
        <v>1109</v>
      </c>
      <c r="E598" t="s">
        <v>21</v>
      </c>
      <c r="F598" t="s">
        <v>48</v>
      </c>
      <c r="G598" t="s">
        <v>55</v>
      </c>
      <c r="H598" t="s">
        <v>56</v>
      </c>
      <c r="I598" t="s">
        <v>65</v>
      </c>
      <c r="J598" t="s">
        <v>43</v>
      </c>
      <c r="K598" t="s">
        <v>37</v>
      </c>
      <c r="L598" t="s">
        <v>28</v>
      </c>
      <c r="M598" s="46">
        <v>14400</v>
      </c>
      <c r="N598">
        <v>0.185</v>
      </c>
      <c r="O598">
        <v>0.1</v>
      </c>
      <c r="P598" t="s">
        <v>38</v>
      </c>
      <c r="R598">
        <v>134</v>
      </c>
      <c r="S598">
        <v>977.94</v>
      </c>
      <c r="T598">
        <f>Deals_[[#This Row],[Amount]]*Deals_[[#This Row],[Probability_Pct]]</f>
        <v>1440</v>
      </c>
    </row>
    <row r="599" spans="1:20" x14ac:dyDescent="0.2">
      <c r="A599" t="s">
        <v>1110</v>
      </c>
      <c r="B599" s="7">
        <v>46157</v>
      </c>
      <c r="C599" s="7">
        <v>46228</v>
      </c>
      <c r="D599" t="s">
        <v>596</v>
      </c>
      <c r="E599" t="s">
        <v>54</v>
      </c>
      <c r="F599" t="s">
        <v>22</v>
      </c>
      <c r="G599" t="s">
        <v>55</v>
      </c>
      <c r="H599" t="s">
        <v>98</v>
      </c>
      <c r="I599" t="s">
        <v>25</v>
      </c>
      <c r="J599" t="s">
        <v>57</v>
      </c>
      <c r="K599" t="s">
        <v>88</v>
      </c>
      <c r="L599" t="s">
        <v>28</v>
      </c>
      <c r="M599" s="46">
        <v>71700</v>
      </c>
      <c r="N599">
        <v>0.1</v>
      </c>
      <c r="O599">
        <v>0.4</v>
      </c>
      <c r="P599" t="s">
        <v>38</v>
      </c>
      <c r="R599">
        <v>71</v>
      </c>
      <c r="S599">
        <v>5378.72</v>
      </c>
      <c r="T599">
        <f>Deals_[[#This Row],[Amount]]*Deals_[[#This Row],[Probability_Pct]]</f>
        <v>28680</v>
      </c>
    </row>
    <row r="600" spans="1:20" x14ac:dyDescent="0.2">
      <c r="A600" t="s">
        <v>1111</v>
      </c>
      <c r="B600" s="7">
        <v>45978</v>
      </c>
      <c r="C600" s="7">
        <v>46047</v>
      </c>
      <c r="D600" t="s">
        <v>1112</v>
      </c>
      <c r="E600" t="s">
        <v>54</v>
      </c>
      <c r="F600" t="s">
        <v>22</v>
      </c>
      <c r="G600" t="s">
        <v>63</v>
      </c>
      <c r="H600" t="s">
        <v>83</v>
      </c>
      <c r="I600" t="s">
        <v>99</v>
      </c>
      <c r="J600" t="s">
        <v>57</v>
      </c>
      <c r="K600" t="s">
        <v>88</v>
      </c>
      <c r="L600" t="s">
        <v>51</v>
      </c>
      <c r="M600" s="46">
        <v>43700</v>
      </c>
      <c r="N600">
        <v>0.123</v>
      </c>
      <c r="O600">
        <v>0.35</v>
      </c>
      <c r="P600" t="s">
        <v>38</v>
      </c>
      <c r="R600">
        <v>69</v>
      </c>
      <c r="S600">
        <v>3191.94</v>
      </c>
      <c r="T600">
        <f>Deals_[[#This Row],[Amount]]*Deals_[[#This Row],[Probability_Pct]]</f>
        <v>15294.999999999998</v>
      </c>
    </row>
    <row r="601" spans="1:20" x14ac:dyDescent="0.2">
      <c r="A601" t="s">
        <v>1113</v>
      </c>
      <c r="B601" s="7">
        <v>46034</v>
      </c>
      <c r="C601" s="7">
        <v>46134</v>
      </c>
      <c r="D601" t="s">
        <v>736</v>
      </c>
      <c r="E601" t="s">
        <v>91</v>
      </c>
      <c r="F601" t="s">
        <v>22</v>
      </c>
      <c r="G601" t="s">
        <v>63</v>
      </c>
      <c r="H601" t="s">
        <v>137</v>
      </c>
      <c r="I601" t="s">
        <v>42</v>
      </c>
      <c r="J601" t="s">
        <v>36</v>
      </c>
      <c r="K601" t="s">
        <v>78</v>
      </c>
      <c r="L601" t="s">
        <v>28</v>
      </c>
      <c r="M601" s="46">
        <v>61600</v>
      </c>
      <c r="N601">
        <v>0.108</v>
      </c>
      <c r="O601">
        <v>0.55000000000000004</v>
      </c>
      <c r="P601" t="s">
        <v>79</v>
      </c>
      <c r="R601">
        <v>100</v>
      </c>
      <c r="S601">
        <v>4580.3500000000004</v>
      </c>
      <c r="T601">
        <f>Deals_[[#This Row],[Amount]]*Deals_[[#This Row],[Probability_Pct]]</f>
        <v>33880</v>
      </c>
    </row>
    <row r="602" spans="1:20" x14ac:dyDescent="0.2">
      <c r="A602" t="s">
        <v>1114</v>
      </c>
      <c r="B602" s="7">
        <v>46270</v>
      </c>
      <c r="C602" s="7">
        <v>46315</v>
      </c>
      <c r="D602" t="s">
        <v>581</v>
      </c>
      <c r="E602" t="s">
        <v>68</v>
      </c>
      <c r="F602" t="s">
        <v>74</v>
      </c>
      <c r="G602" t="s">
        <v>63</v>
      </c>
      <c r="H602" t="s">
        <v>77</v>
      </c>
      <c r="I602" t="s">
        <v>42</v>
      </c>
      <c r="J602" t="s">
        <v>85</v>
      </c>
      <c r="K602" t="s">
        <v>37</v>
      </c>
      <c r="L602" t="s">
        <v>44</v>
      </c>
      <c r="M602" s="46">
        <v>176000</v>
      </c>
      <c r="N602">
        <v>0.24</v>
      </c>
      <c r="O602">
        <v>0.15</v>
      </c>
      <c r="P602" t="s">
        <v>38</v>
      </c>
      <c r="R602">
        <v>45</v>
      </c>
      <c r="S602">
        <v>11141.7</v>
      </c>
      <c r="T602">
        <f>Deals_[[#This Row],[Amount]]*Deals_[[#This Row],[Probability_Pct]]</f>
        <v>26400</v>
      </c>
    </row>
    <row r="603" spans="1:20" x14ac:dyDescent="0.2">
      <c r="A603" t="s">
        <v>1115</v>
      </c>
      <c r="B603" s="7">
        <v>46061</v>
      </c>
      <c r="C603" s="7">
        <v>46229</v>
      </c>
      <c r="D603" t="s">
        <v>1116</v>
      </c>
      <c r="E603" t="s">
        <v>33</v>
      </c>
      <c r="F603" t="s">
        <v>22</v>
      </c>
      <c r="G603" t="s">
        <v>55</v>
      </c>
      <c r="H603" t="s">
        <v>77</v>
      </c>
      <c r="I603" t="s">
        <v>25</v>
      </c>
      <c r="J603" t="s">
        <v>26</v>
      </c>
      <c r="K603" t="s">
        <v>50</v>
      </c>
      <c r="L603" t="s">
        <v>28</v>
      </c>
      <c r="M603" s="46">
        <v>82900</v>
      </c>
      <c r="N603">
        <v>8.8999999999999996E-2</v>
      </c>
      <c r="O603">
        <v>0.95</v>
      </c>
      <c r="P603" t="s">
        <v>29</v>
      </c>
      <c r="R603">
        <v>168</v>
      </c>
      <c r="S603">
        <v>6294.18</v>
      </c>
      <c r="T603">
        <f>Deals_[[#This Row],[Amount]]*Deals_[[#This Row],[Probability_Pct]]</f>
        <v>78755</v>
      </c>
    </row>
    <row r="604" spans="1:20" x14ac:dyDescent="0.2">
      <c r="A604" t="s">
        <v>1117</v>
      </c>
      <c r="B604" s="7">
        <v>46070</v>
      </c>
      <c r="C604" s="7">
        <v>46211</v>
      </c>
      <c r="D604" t="s">
        <v>1118</v>
      </c>
      <c r="E604" t="s">
        <v>82</v>
      </c>
      <c r="F604" t="s">
        <v>48</v>
      </c>
      <c r="G604" t="s">
        <v>34</v>
      </c>
      <c r="H604" t="s">
        <v>98</v>
      </c>
      <c r="I604" t="s">
        <v>65</v>
      </c>
      <c r="J604" t="s">
        <v>36</v>
      </c>
      <c r="K604" t="s">
        <v>37</v>
      </c>
      <c r="L604" t="s">
        <v>51</v>
      </c>
      <c r="M604" s="46">
        <v>26100</v>
      </c>
      <c r="N604">
        <v>2.1999999999999999E-2</v>
      </c>
      <c r="O604">
        <v>0.15</v>
      </c>
      <c r="P604" t="s">
        <v>38</v>
      </c>
      <c r="R604">
        <v>141</v>
      </c>
      <c r="S604">
        <v>2127.44</v>
      </c>
      <c r="T604">
        <f>Deals_[[#This Row],[Amount]]*Deals_[[#This Row],[Probability_Pct]]</f>
        <v>3915</v>
      </c>
    </row>
    <row r="605" spans="1:20" x14ac:dyDescent="0.2">
      <c r="A605" t="s">
        <v>1119</v>
      </c>
      <c r="B605" s="7">
        <v>46106</v>
      </c>
      <c r="C605" s="7">
        <v>46147</v>
      </c>
      <c r="D605" t="s">
        <v>1120</v>
      </c>
      <c r="E605" t="s">
        <v>62</v>
      </c>
      <c r="F605" t="s">
        <v>22</v>
      </c>
      <c r="G605" t="s">
        <v>23</v>
      </c>
      <c r="H605" t="s">
        <v>120</v>
      </c>
      <c r="I605" t="s">
        <v>65</v>
      </c>
      <c r="J605" t="s">
        <v>26</v>
      </c>
      <c r="K605" t="s">
        <v>50</v>
      </c>
      <c r="L605" t="s">
        <v>51</v>
      </c>
      <c r="M605" s="46">
        <v>88300</v>
      </c>
      <c r="N605">
        <v>0.11600000000000001</v>
      </c>
      <c r="O605">
        <v>1</v>
      </c>
      <c r="P605" t="s">
        <v>29</v>
      </c>
      <c r="R605">
        <v>41</v>
      </c>
      <c r="S605">
        <v>6502.72</v>
      </c>
      <c r="T605">
        <f>Deals_[[#This Row],[Amount]]*Deals_[[#This Row],[Probability_Pct]]</f>
        <v>88300</v>
      </c>
    </row>
    <row r="606" spans="1:20" x14ac:dyDescent="0.2">
      <c r="A606" t="s">
        <v>1121</v>
      </c>
      <c r="B606" s="7">
        <v>46217</v>
      </c>
      <c r="C606" s="7">
        <v>46327</v>
      </c>
      <c r="D606" t="s">
        <v>396</v>
      </c>
      <c r="E606" t="s">
        <v>54</v>
      </c>
      <c r="F606" t="s">
        <v>22</v>
      </c>
      <c r="G606" t="s">
        <v>34</v>
      </c>
      <c r="H606" t="s">
        <v>49</v>
      </c>
      <c r="I606" t="s">
        <v>25</v>
      </c>
      <c r="J606" t="s">
        <v>36</v>
      </c>
      <c r="K606" t="s">
        <v>88</v>
      </c>
      <c r="L606" t="s">
        <v>51</v>
      </c>
      <c r="M606" s="46">
        <v>71400</v>
      </c>
      <c r="N606">
        <v>3.6999999999999998E-2</v>
      </c>
      <c r="O606">
        <v>0.35</v>
      </c>
      <c r="P606" t="s">
        <v>38</v>
      </c>
      <c r="R606">
        <v>110</v>
      </c>
      <c r="S606">
        <v>5731.95</v>
      </c>
      <c r="T606">
        <f>Deals_[[#This Row],[Amount]]*Deals_[[#This Row],[Probability_Pct]]</f>
        <v>24990</v>
      </c>
    </row>
    <row r="607" spans="1:20" x14ac:dyDescent="0.2">
      <c r="A607" t="s">
        <v>1122</v>
      </c>
      <c r="B607" s="7">
        <v>46090</v>
      </c>
      <c r="C607" s="7">
        <v>46234</v>
      </c>
      <c r="D607" t="s">
        <v>1123</v>
      </c>
      <c r="E607" t="s">
        <v>33</v>
      </c>
      <c r="F607" t="s">
        <v>48</v>
      </c>
      <c r="G607" t="s">
        <v>55</v>
      </c>
      <c r="H607" t="s">
        <v>95</v>
      </c>
      <c r="I607" t="s">
        <v>35</v>
      </c>
      <c r="J607" t="s">
        <v>26</v>
      </c>
      <c r="K607" t="s">
        <v>88</v>
      </c>
      <c r="L607" t="s">
        <v>44</v>
      </c>
      <c r="M607" s="46">
        <v>16500</v>
      </c>
      <c r="N607">
        <v>4.7E-2</v>
      </c>
      <c r="O607">
        <v>0.35</v>
      </c>
      <c r="P607" t="s">
        <v>38</v>
      </c>
      <c r="R607">
        <v>144</v>
      </c>
      <c r="S607">
        <v>1310.1400000000001</v>
      </c>
      <c r="T607">
        <f>Deals_[[#This Row],[Amount]]*Deals_[[#This Row],[Probability_Pct]]</f>
        <v>5775</v>
      </c>
    </row>
    <row r="608" spans="1:20" x14ac:dyDescent="0.2">
      <c r="A608" t="s">
        <v>1124</v>
      </c>
      <c r="B608" s="7">
        <v>45994</v>
      </c>
      <c r="C608" s="7">
        <v>46088</v>
      </c>
      <c r="D608" t="s">
        <v>936</v>
      </c>
      <c r="E608" t="s">
        <v>68</v>
      </c>
      <c r="F608" t="s">
        <v>48</v>
      </c>
      <c r="G608" t="s">
        <v>63</v>
      </c>
      <c r="H608" t="s">
        <v>69</v>
      </c>
      <c r="I608" t="s">
        <v>99</v>
      </c>
      <c r="J608" t="s">
        <v>36</v>
      </c>
      <c r="K608" t="s">
        <v>88</v>
      </c>
      <c r="L608" t="s">
        <v>51</v>
      </c>
      <c r="M608" s="46">
        <v>21800</v>
      </c>
      <c r="N608">
        <v>0.107</v>
      </c>
      <c r="O608">
        <v>0.3</v>
      </c>
      <c r="P608" t="s">
        <v>38</v>
      </c>
      <c r="R608">
        <v>94</v>
      </c>
      <c r="S608">
        <v>1623.13</v>
      </c>
      <c r="T608">
        <f>Deals_[[#This Row],[Amount]]*Deals_[[#This Row],[Probability_Pct]]</f>
        <v>6540</v>
      </c>
    </row>
    <row r="609" spans="1:20" x14ac:dyDescent="0.2">
      <c r="A609" t="s">
        <v>1125</v>
      </c>
      <c r="B609" s="7">
        <v>46166</v>
      </c>
      <c r="C609" s="7">
        <v>46267</v>
      </c>
      <c r="D609" t="s">
        <v>1126</v>
      </c>
      <c r="E609" t="s">
        <v>21</v>
      </c>
      <c r="F609" t="s">
        <v>22</v>
      </c>
      <c r="G609" t="s">
        <v>55</v>
      </c>
      <c r="H609" t="s">
        <v>49</v>
      </c>
      <c r="I609" t="s">
        <v>99</v>
      </c>
      <c r="J609" t="s">
        <v>57</v>
      </c>
      <c r="K609" t="s">
        <v>58</v>
      </c>
      <c r="L609" t="s">
        <v>44</v>
      </c>
      <c r="M609" s="46">
        <v>67300</v>
      </c>
      <c r="N609">
        <v>0.186</v>
      </c>
      <c r="O609">
        <v>0.8</v>
      </c>
      <c r="P609" t="s">
        <v>59</v>
      </c>
      <c r="R609">
        <v>101</v>
      </c>
      <c r="S609">
        <v>4562.8</v>
      </c>
      <c r="T609">
        <f>Deals_[[#This Row],[Amount]]*Deals_[[#This Row],[Probability_Pct]]</f>
        <v>53840</v>
      </c>
    </row>
    <row r="610" spans="1:20" x14ac:dyDescent="0.2">
      <c r="A610" t="s">
        <v>1127</v>
      </c>
      <c r="B610" s="7">
        <v>46063</v>
      </c>
      <c r="C610" s="7">
        <v>46107</v>
      </c>
      <c r="D610" t="s">
        <v>1128</v>
      </c>
      <c r="E610" t="s">
        <v>33</v>
      </c>
      <c r="F610" t="s">
        <v>22</v>
      </c>
      <c r="G610" t="s">
        <v>23</v>
      </c>
      <c r="H610" t="s">
        <v>41</v>
      </c>
      <c r="I610" t="s">
        <v>42</v>
      </c>
      <c r="J610" t="s">
        <v>85</v>
      </c>
      <c r="K610" t="s">
        <v>50</v>
      </c>
      <c r="L610" t="s">
        <v>44</v>
      </c>
      <c r="M610" s="46">
        <v>57600</v>
      </c>
      <c r="N610">
        <v>0.14599999999999999</v>
      </c>
      <c r="O610">
        <v>1</v>
      </c>
      <c r="P610" t="s">
        <v>29</v>
      </c>
      <c r="R610">
        <v>44</v>
      </c>
      <c r="S610">
        <v>4101.3</v>
      </c>
      <c r="T610">
        <f>Deals_[[#This Row],[Amount]]*Deals_[[#This Row],[Probability_Pct]]</f>
        <v>57600</v>
      </c>
    </row>
    <row r="611" spans="1:20" x14ac:dyDescent="0.2">
      <c r="A611" t="s">
        <v>1129</v>
      </c>
      <c r="B611" s="7">
        <v>46065</v>
      </c>
      <c r="C611" s="7">
        <v>46202</v>
      </c>
      <c r="D611" t="s">
        <v>1130</v>
      </c>
      <c r="E611" t="s">
        <v>21</v>
      </c>
      <c r="F611" t="s">
        <v>48</v>
      </c>
      <c r="G611" t="s">
        <v>63</v>
      </c>
      <c r="H611" t="s">
        <v>64</v>
      </c>
      <c r="I611" t="s">
        <v>35</v>
      </c>
      <c r="J611" t="s">
        <v>36</v>
      </c>
      <c r="K611" t="s">
        <v>58</v>
      </c>
      <c r="L611" t="s">
        <v>51</v>
      </c>
      <c r="M611" s="46">
        <v>12100</v>
      </c>
      <c r="N611">
        <v>0.154</v>
      </c>
      <c r="O611">
        <v>0.75</v>
      </c>
      <c r="P611" t="s">
        <v>59</v>
      </c>
      <c r="R611">
        <v>137</v>
      </c>
      <c r="S611">
        <v>852.72</v>
      </c>
      <c r="T611">
        <f>Deals_[[#This Row],[Amount]]*Deals_[[#This Row],[Probability_Pct]]</f>
        <v>9075</v>
      </c>
    </row>
    <row r="612" spans="1:20" x14ac:dyDescent="0.2">
      <c r="A612" t="s">
        <v>1131</v>
      </c>
      <c r="B612" s="7">
        <v>46171</v>
      </c>
      <c r="C612" s="7">
        <v>46277</v>
      </c>
      <c r="D612" t="s">
        <v>754</v>
      </c>
      <c r="E612" t="s">
        <v>91</v>
      </c>
      <c r="F612" t="s">
        <v>74</v>
      </c>
      <c r="G612" t="s">
        <v>55</v>
      </c>
      <c r="H612" t="s">
        <v>120</v>
      </c>
      <c r="I612" t="s">
        <v>99</v>
      </c>
      <c r="J612" t="s">
        <v>85</v>
      </c>
      <c r="K612" t="s">
        <v>27</v>
      </c>
      <c r="L612" t="s">
        <v>28</v>
      </c>
      <c r="M612" s="46">
        <v>98900</v>
      </c>
      <c r="N612">
        <v>6.9000000000000006E-2</v>
      </c>
      <c r="O612">
        <v>0</v>
      </c>
      <c r="P612" t="s">
        <v>29</v>
      </c>
      <c r="Q612" t="s">
        <v>126</v>
      </c>
      <c r="R612">
        <v>106</v>
      </c>
      <c r="S612">
        <v>7673.51</v>
      </c>
      <c r="T612">
        <f>Deals_[[#This Row],[Amount]]*Deals_[[#This Row],[Probability_Pct]]</f>
        <v>0</v>
      </c>
    </row>
    <row r="613" spans="1:20" x14ac:dyDescent="0.2">
      <c r="A613" t="s">
        <v>1132</v>
      </c>
      <c r="B613" s="7">
        <v>45980</v>
      </c>
      <c r="C613" s="7">
        <v>46070</v>
      </c>
      <c r="D613" t="s">
        <v>764</v>
      </c>
      <c r="E613" t="s">
        <v>21</v>
      </c>
      <c r="F613" t="s">
        <v>74</v>
      </c>
      <c r="G613" t="s">
        <v>92</v>
      </c>
      <c r="H613" t="s">
        <v>120</v>
      </c>
      <c r="I613" t="s">
        <v>84</v>
      </c>
      <c r="J613" t="s">
        <v>36</v>
      </c>
      <c r="K613" t="s">
        <v>58</v>
      </c>
      <c r="L613" t="s">
        <v>44</v>
      </c>
      <c r="M613" s="46">
        <v>231700</v>
      </c>
      <c r="N613">
        <v>7.5999999999999998E-2</v>
      </c>
      <c r="O613">
        <v>0.75</v>
      </c>
      <c r="P613" t="s">
        <v>59</v>
      </c>
      <c r="R613">
        <v>90</v>
      </c>
      <c r="S613">
        <v>17831.71</v>
      </c>
      <c r="T613">
        <f>Deals_[[#This Row],[Amount]]*Deals_[[#This Row],[Probability_Pct]]</f>
        <v>173775</v>
      </c>
    </row>
    <row r="614" spans="1:20" x14ac:dyDescent="0.2">
      <c r="A614" t="s">
        <v>1133</v>
      </c>
      <c r="B614" s="7">
        <v>46089</v>
      </c>
      <c r="C614" s="7">
        <v>46192</v>
      </c>
      <c r="D614" t="s">
        <v>1134</v>
      </c>
      <c r="E614" t="s">
        <v>54</v>
      </c>
      <c r="F614" t="s">
        <v>48</v>
      </c>
      <c r="G614" t="s">
        <v>55</v>
      </c>
      <c r="H614" t="s">
        <v>120</v>
      </c>
      <c r="I614" t="s">
        <v>42</v>
      </c>
      <c r="J614" t="s">
        <v>85</v>
      </c>
      <c r="K614" t="s">
        <v>50</v>
      </c>
      <c r="L614" t="s">
        <v>51</v>
      </c>
      <c r="M614" s="46">
        <v>6600</v>
      </c>
      <c r="N614">
        <v>0.123</v>
      </c>
      <c r="O614">
        <v>1</v>
      </c>
      <c r="P614" t="s">
        <v>29</v>
      </c>
      <c r="R614">
        <v>103</v>
      </c>
      <c r="S614">
        <v>482.42</v>
      </c>
      <c r="T614">
        <f>Deals_[[#This Row],[Amount]]*Deals_[[#This Row],[Probability_Pct]]</f>
        <v>6600</v>
      </c>
    </row>
    <row r="615" spans="1:20" x14ac:dyDescent="0.2">
      <c r="A615" t="s">
        <v>1135</v>
      </c>
      <c r="B615" s="7">
        <v>46080</v>
      </c>
      <c r="C615" s="7">
        <v>46165</v>
      </c>
      <c r="D615" t="s">
        <v>1136</v>
      </c>
      <c r="E615" t="s">
        <v>91</v>
      </c>
      <c r="F615" t="s">
        <v>48</v>
      </c>
      <c r="G615" t="s">
        <v>63</v>
      </c>
      <c r="H615" t="s">
        <v>120</v>
      </c>
      <c r="I615" t="s">
        <v>35</v>
      </c>
      <c r="J615" t="s">
        <v>36</v>
      </c>
      <c r="K615" t="s">
        <v>88</v>
      </c>
      <c r="L615" t="s">
        <v>51</v>
      </c>
      <c r="M615" s="46">
        <v>6900</v>
      </c>
      <c r="N615">
        <v>0.20899999999999999</v>
      </c>
      <c r="O615">
        <v>0.35</v>
      </c>
      <c r="P615" t="s">
        <v>38</v>
      </c>
      <c r="R615">
        <v>85</v>
      </c>
      <c r="S615">
        <v>454.65</v>
      </c>
      <c r="T615">
        <f>Deals_[[#This Row],[Amount]]*Deals_[[#This Row],[Probability_Pct]]</f>
        <v>2415</v>
      </c>
    </row>
    <row r="616" spans="1:20" x14ac:dyDescent="0.2">
      <c r="A616" t="s">
        <v>1137</v>
      </c>
      <c r="B616" s="7">
        <v>45957</v>
      </c>
      <c r="C616" s="7">
        <v>46099</v>
      </c>
      <c r="D616" t="s">
        <v>169</v>
      </c>
      <c r="E616" t="s">
        <v>54</v>
      </c>
      <c r="F616" t="s">
        <v>48</v>
      </c>
      <c r="G616" t="s">
        <v>92</v>
      </c>
      <c r="H616" t="s">
        <v>24</v>
      </c>
      <c r="I616" t="s">
        <v>99</v>
      </c>
      <c r="J616" t="s">
        <v>26</v>
      </c>
      <c r="K616" t="s">
        <v>50</v>
      </c>
      <c r="L616" t="s">
        <v>51</v>
      </c>
      <c r="M616" s="46">
        <v>17000</v>
      </c>
      <c r="N616">
        <v>0.20499999999999999</v>
      </c>
      <c r="O616">
        <v>0.95</v>
      </c>
      <c r="P616" t="s">
        <v>29</v>
      </c>
      <c r="R616">
        <v>142</v>
      </c>
      <c r="S616">
        <v>1125.8399999999999</v>
      </c>
      <c r="T616">
        <f>Deals_[[#This Row],[Amount]]*Deals_[[#This Row],[Probability_Pct]]</f>
        <v>16150</v>
      </c>
    </row>
    <row r="617" spans="1:20" x14ac:dyDescent="0.2">
      <c r="A617" t="s">
        <v>1138</v>
      </c>
      <c r="B617" s="7">
        <v>46150</v>
      </c>
      <c r="C617" s="7">
        <v>46277</v>
      </c>
      <c r="D617" t="s">
        <v>1139</v>
      </c>
      <c r="E617" t="s">
        <v>21</v>
      </c>
      <c r="F617" t="s">
        <v>74</v>
      </c>
      <c r="G617" t="s">
        <v>92</v>
      </c>
      <c r="H617" t="s">
        <v>95</v>
      </c>
      <c r="I617" t="s">
        <v>35</v>
      </c>
      <c r="J617" t="s">
        <v>57</v>
      </c>
      <c r="K617" t="s">
        <v>50</v>
      </c>
      <c r="L617" t="s">
        <v>51</v>
      </c>
      <c r="M617" s="46">
        <v>305900</v>
      </c>
      <c r="N617">
        <v>6.7000000000000004E-2</v>
      </c>
      <c r="O617">
        <v>1</v>
      </c>
      <c r="P617" t="s">
        <v>29</v>
      </c>
      <c r="R617">
        <v>127</v>
      </c>
      <c r="S617">
        <v>23789.05</v>
      </c>
      <c r="T617">
        <f>Deals_[[#This Row],[Amount]]*Deals_[[#This Row],[Probability_Pct]]</f>
        <v>305900</v>
      </c>
    </row>
    <row r="618" spans="1:20" x14ac:dyDescent="0.2">
      <c r="A618" t="s">
        <v>1140</v>
      </c>
      <c r="B618" s="7">
        <v>46098</v>
      </c>
      <c r="C618" s="7">
        <v>46182</v>
      </c>
      <c r="D618" t="s">
        <v>1141</v>
      </c>
      <c r="E618" t="s">
        <v>21</v>
      </c>
      <c r="F618" t="s">
        <v>48</v>
      </c>
      <c r="G618" t="s">
        <v>34</v>
      </c>
      <c r="H618" t="s">
        <v>77</v>
      </c>
      <c r="I618" t="s">
        <v>99</v>
      </c>
      <c r="J618" t="s">
        <v>36</v>
      </c>
      <c r="K618" t="s">
        <v>27</v>
      </c>
      <c r="L618" t="s">
        <v>44</v>
      </c>
      <c r="M618" s="46">
        <v>20500</v>
      </c>
      <c r="N618">
        <v>0.28000000000000003</v>
      </c>
      <c r="O618">
        <v>0</v>
      </c>
      <c r="P618" t="s">
        <v>29</v>
      </c>
      <c r="Q618" t="s">
        <v>152</v>
      </c>
      <c r="R618">
        <v>84</v>
      </c>
      <c r="S618">
        <v>1230.67</v>
      </c>
      <c r="T618">
        <f>Deals_[[#This Row],[Amount]]*Deals_[[#This Row],[Probability_Pct]]</f>
        <v>0</v>
      </c>
    </row>
    <row r="619" spans="1:20" x14ac:dyDescent="0.2">
      <c r="A619" t="s">
        <v>1142</v>
      </c>
      <c r="B619" s="7">
        <v>46119</v>
      </c>
      <c r="C619" s="7">
        <v>46182</v>
      </c>
      <c r="D619" t="s">
        <v>1143</v>
      </c>
      <c r="E619" t="s">
        <v>68</v>
      </c>
      <c r="F619" t="s">
        <v>22</v>
      </c>
      <c r="G619" t="s">
        <v>34</v>
      </c>
      <c r="H619" t="s">
        <v>120</v>
      </c>
      <c r="I619" t="s">
        <v>84</v>
      </c>
      <c r="J619" t="s">
        <v>43</v>
      </c>
      <c r="K619" t="s">
        <v>88</v>
      </c>
      <c r="L619" t="s">
        <v>28</v>
      </c>
      <c r="M619" s="46">
        <v>44700</v>
      </c>
      <c r="N619">
        <v>0.16900000000000001</v>
      </c>
      <c r="O619">
        <v>0.35</v>
      </c>
      <c r="P619" t="s">
        <v>38</v>
      </c>
      <c r="R619">
        <v>63</v>
      </c>
      <c r="S619">
        <v>3095.09</v>
      </c>
      <c r="T619">
        <f>Deals_[[#This Row],[Amount]]*Deals_[[#This Row],[Probability_Pct]]</f>
        <v>15644.999999999998</v>
      </c>
    </row>
    <row r="620" spans="1:20" x14ac:dyDescent="0.2">
      <c r="A620" t="s">
        <v>1144</v>
      </c>
      <c r="B620" s="7">
        <v>45956</v>
      </c>
      <c r="C620" s="7">
        <v>46007</v>
      </c>
      <c r="D620" t="s">
        <v>921</v>
      </c>
      <c r="E620" t="s">
        <v>21</v>
      </c>
      <c r="F620" t="s">
        <v>48</v>
      </c>
      <c r="G620" t="s">
        <v>23</v>
      </c>
      <c r="H620" t="s">
        <v>56</v>
      </c>
      <c r="I620" t="s">
        <v>35</v>
      </c>
      <c r="J620" t="s">
        <v>57</v>
      </c>
      <c r="K620" t="s">
        <v>37</v>
      </c>
      <c r="L620" t="s">
        <v>44</v>
      </c>
      <c r="M620" s="46">
        <v>10300</v>
      </c>
      <c r="N620">
        <v>8.4000000000000005E-2</v>
      </c>
      <c r="O620">
        <v>0.1</v>
      </c>
      <c r="P620" t="s">
        <v>38</v>
      </c>
      <c r="R620">
        <v>51</v>
      </c>
      <c r="S620">
        <v>785.93</v>
      </c>
      <c r="T620">
        <f>Deals_[[#This Row],[Amount]]*Deals_[[#This Row],[Probability_Pct]]</f>
        <v>1030</v>
      </c>
    </row>
    <row r="621" spans="1:20" x14ac:dyDescent="0.2">
      <c r="A621" t="s">
        <v>1145</v>
      </c>
      <c r="B621" s="7">
        <v>45974</v>
      </c>
      <c r="C621" s="7">
        <v>46008</v>
      </c>
      <c r="D621" t="s">
        <v>915</v>
      </c>
      <c r="E621" t="s">
        <v>91</v>
      </c>
      <c r="F621" t="s">
        <v>74</v>
      </c>
      <c r="G621" t="s">
        <v>63</v>
      </c>
      <c r="H621" t="s">
        <v>83</v>
      </c>
      <c r="I621" t="s">
        <v>84</v>
      </c>
      <c r="J621" t="s">
        <v>43</v>
      </c>
      <c r="K621" t="s">
        <v>50</v>
      </c>
      <c r="L621" t="s">
        <v>44</v>
      </c>
      <c r="M621" s="46">
        <v>99100</v>
      </c>
      <c r="N621">
        <v>0.183</v>
      </c>
      <c r="O621">
        <v>1</v>
      </c>
      <c r="P621" t="s">
        <v>29</v>
      </c>
      <c r="R621">
        <v>34</v>
      </c>
      <c r="S621">
        <v>6748.85</v>
      </c>
      <c r="T621">
        <f>Deals_[[#This Row],[Amount]]*Deals_[[#This Row],[Probability_Pct]]</f>
        <v>99100</v>
      </c>
    </row>
    <row r="622" spans="1:20" x14ac:dyDescent="0.2">
      <c r="A622" t="s">
        <v>1146</v>
      </c>
      <c r="B622" s="7">
        <v>46261</v>
      </c>
      <c r="C622" s="7">
        <v>46308</v>
      </c>
      <c r="D622" t="s">
        <v>777</v>
      </c>
      <c r="E622" t="s">
        <v>21</v>
      </c>
      <c r="F622" t="s">
        <v>48</v>
      </c>
      <c r="G622" t="s">
        <v>34</v>
      </c>
      <c r="H622" t="s">
        <v>56</v>
      </c>
      <c r="I622" t="s">
        <v>25</v>
      </c>
      <c r="J622" t="s">
        <v>43</v>
      </c>
      <c r="K622" t="s">
        <v>78</v>
      </c>
      <c r="L622" t="s">
        <v>51</v>
      </c>
      <c r="M622" s="46">
        <v>7900</v>
      </c>
      <c r="N622">
        <v>0.16200000000000001</v>
      </c>
      <c r="O622">
        <v>0.55000000000000004</v>
      </c>
      <c r="P622" t="s">
        <v>79</v>
      </c>
      <c r="R622">
        <v>47</v>
      </c>
      <c r="S622">
        <v>551.36</v>
      </c>
      <c r="T622">
        <f>Deals_[[#This Row],[Amount]]*Deals_[[#This Row],[Probability_Pct]]</f>
        <v>4345</v>
      </c>
    </row>
    <row r="623" spans="1:20" x14ac:dyDescent="0.2">
      <c r="A623" t="s">
        <v>1147</v>
      </c>
      <c r="B623" s="7">
        <v>46188</v>
      </c>
      <c r="C623" s="7">
        <v>46321</v>
      </c>
      <c r="D623" t="s">
        <v>974</v>
      </c>
      <c r="E623" t="s">
        <v>21</v>
      </c>
      <c r="F623" t="s">
        <v>48</v>
      </c>
      <c r="G623" t="s">
        <v>63</v>
      </c>
      <c r="H623" t="s">
        <v>49</v>
      </c>
      <c r="I623" t="s">
        <v>99</v>
      </c>
      <c r="J623" t="s">
        <v>57</v>
      </c>
      <c r="K623" t="s">
        <v>88</v>
      </c>
      <c r="L623" t="s">
        <v>51</v>
      </c>
      <c r="M623" s="46">
        <v>9900</v>
      </c>
      <c r="N623">
        <v>0.08</v>
      </c>
      <c r="O623">
        <v>0.35</v>
      </c>
      <c r="P623" t="s">
        <v>38</v>
      </c>
      <c r="R623">
        <v>133</v>
      </c>
      <c r="S623">
        <v>758.77</v>
      </c>
      <c r="T623">
        <f>Deals_[[#This Row],[Amount]]*Deals_[[#This Row],[Probability_Pct]]</f>
        <v>3465</v>
      </c>
    </row>
    <row r="624" spans="1:20" x14ac:dyDescent="0.2">
      <c r="A624" t="s">
        <v>1148</v>
      </c>
      <c r="B624" s="7">
        <v>46247</v>
      </c>
      <c r="C624" s="7">
        <v>46289</v>
      </c>
      <c r="D624" t="s">
        <v>1149</v>
      </c>
      <c r="E624" t="s">
        <v>111</v>
      </c>
      <c r="F624" t="s">
        <v>48</v>
      </c>
      <c r="G624" t="s">
        <v>23</v>
      </c>
      <c r="H624" t="s">
        <v>77</v>
      </c>
      <c r="I624" t="s">
        <v>99</v>
      </c>
      <c r="J624" t="s">
        <v>43</v>
      </c>
      <c r="K624" t="s">
        <v>78</v>
      </c>
      <c r="L624" t="s">
        <v>44</v>
      </c>
      <c r="M624" s="46">
        <v>8700</v>
      </c>
      <c r="N624">
        <v>8.5999999999999993E-2</v>
      </c>
      <c r="O624">
        <v>0.55000000000000004</v>
      </c>
      <c r="P624" t="s">
        <v>79</v>
      </c>
      <c r="R624">
        <v>42</v>
      </c>
      <c r="S624">
        <v>662.61</v>
      </c>
      <c r="T624">
        <f>Deals_[[#This Row],[Amount]]*Deals_[[#This Row],[Probability_Pct]]</f>
        <v>4785</v>
      </c>
    </row>
    <row r="625" spans="1:20" x14ac:dyDescent="0.2">
      <c r="A625" t="s">
        <v>1150</v>
      </c>
      <c r="B625" s="7">
        <v>46111</v>
      </c>
      <c r="C625" s="7">
        <v>46182</v>
      </c>
      <c r="D625" t="s">
        <v>1053</v>
      </c>
      <c r="E625" t="s">
        <v>54</v>
      </c>
      <c r="F625" t="s">
        <v>48</v>
      </c>
      <c r="G625" t="s">
        <v>34</v>
      </c>
      <c r="H625" t="s">
        <v>41</v>
      </c>
      <c r="I625" t="s">
        <v>35</v>
      </c>
      <c r="J625" t="s">
        <v>26</v>
      </c>
      <c r="K625" t="s">
        <v>37</v>
      </c>
      <c r="L625" t="s">
        <v>28</v>
      </c>
      <c r="M625" s="46">
        <v>26600</v>
      </c>
      <c r="N625">
        <v>0.248</v>
      </c>
      <c r="O625">
        <v>0.05</v>
      </c>
      <c r="P625" t="s">
        <v>38</v>
      </c>
      <c r="R625">
        <v>71</v>
      </c>
      <c r="S625">
        <v>1667.64</v>
      </c>
      <c r="T625">
        <f>Deals_[[#This Row],[Amount]]*Deals_[[#This Row],[Probability_Pct]]</f>
        <v>1330</v>
      </c>
    </row>
    <row r="626" spans="1:20" x14ac:dyDescent="0.2">
      <c r="A626" t="s">
        <v>1151</v>
      </c>
      <c r="B626" s="7">
        <v>46014</v>
      </c>
      <c r="C626" s="7">
        <v>46057</v>
      </c>
      <c r="D626" t="s">
        <v>1152</v>
      </c>
      <c r="E626" t="s">
        <v>62</v>
      </c>
      <c r="F626" t="s">
        <v>22</v>
      </c>
      <c r="G626" t="s">
        <v>92</v>
      </c>
      <c r="H626" t="s">
        <v>77</v>
      </c>
      <c r="I626" t="s">
        <v>84</v>
      </c>
      <c r="J626" t="s">
        <v>85</v>
      </c>
      <c r="K626" t="s">
        <v>50</v>
      </c>
      <c r="L626" t="s">
        <v>44</v>
      </c>
      <c r="M626" s="46">
        <v>29000</v>
      </c>
      <c r="N626">
        <v>0.13200000000000001</v>
      </c>
      <c r="O626">
        <v>1</v>
      </c>
      <c r="P626" t="s">
        <v>29</v>
      </c>
      <c r="R626">
        <v>43</v>
      </c>
      <c r="S626">
        <v>2097.4</v>
      </c>
      <c r="T626">
        <f>Deals_[[#This Row],[Amount]]*Deals_[[#This Row],[Probability_Pct]]</f>
        <v>29000</v>
      </c>
    </row>
    <row r="627" spans="1:20" x14ac:dyDescent="0.2">
      <c r="A627" t="s">
        <v>1153</v>
      </c>
      <c r="B627" s="7">
        <v>46200</v>
      </c>
      <c r="C627" s="7">
        <v>46217</v>
      </c>
      <c r="D627" t="s">
        <v>1154</v>
      </c>
      <c r="E627" t="s">
        <v>91</v>
      </c>
      <c r="F627" t="s">
        <v>22</v>
      </c>
      <c r="G627" t="s">
        <v>92</v>
      </c>
      <c r="H627" t="s">
        <v>49</v>
      </c>
      <c r="I627" t="s">
        <v>65</v>
      </c>
      <c r="J627" t="s">
        <v>57</v>
      </c>
      <c r="K627" t="s">
        <v>50</v>
      </c>
      <c r="L627" t="s">
        <v>51</v>
      </c>
      <c r="M627" s="46">
        <v>82200</v>
      </c>
      <c r="N627">
        <v>0.127</v>
      </c>
      <c r="O627">
        <v>1</v>
      </c>
      <c r="P627" t="s">
        <v>29</v>
      </c>
      <c r="R627">
        <v>17</v>
      </c>
      <c r="S627">
        <v>5983.47</v>
      </c>
      <c r="T627">
        <f>Deals_[[#This Row],[Amount]]*Deals_[[#This Row],[Probability_Pct]]</f>
        <v>82200</v>
      </c>
    </row>
    <row r="628" spans="1:20" x14ac:dyDescent="0.2">
      <c r="A628" t="s">
        <v>1155</v>
      </c>
      <c r="B628" s="7">
        <v>46005</v>
      </c>
      <c r="C628" s="7">
        <v>46068</v>
      </c>
      <c r="D628" t="s">
        <v>1156</v>
      </c>
      <c r="E628" t="s">
        <v>82</v>
      </c>
      <c r="F628" t="s">
        <v>48</v>
      </c>
      <c r="G628" t="s">
        <v>92</v>
      </c>
      <c r="H628" t="s">
        <v>95</v>
      </c>
      <c r="I628" t="s">
        <v>65</v>
      </c>
      <c r="J628" t="s">
        <v>26</v>
      </c>
      <c r="K628" t="s">
        <v>50</v>
      </c>
      <c r="L628" t="s">
        <v>44</v>
      </c>
      <c r="M628" s="46">
        <v>6500</v>
      </c>
      <c r="N628">
        <v>0.127</v>
      </c>
      <c r="O628">
        <v>0.95</v>
      </c>
      <c r="P628" t="s">
        <v>29</v>
      </c>
      <c r="R628">
        <v>63</v>
      </c>
      <c r="S628">
        <v>472.98</v>
      </c>
      <c r="T628">
        <f>Deals_[[#This Row],[Amount]]*Deals_[[#This Row],[Probability_Pct]]</f>
        <v>6175</v>
      </c>
    </row>
    <row r="629" spans="1:20" x14ac:dyDescent="0.2">
      <c r="A629" t="s">
        <v>1157</v>
      </c>
      <c r="B629" s="7">
        <v>46151</v>
      </c>
      <c r="C629" s="7">
        <v>46246</v>
      </c>
      <c r="D629" t="s">
        <v>1120</v>
      </c>
      <c r="E629" t="s">
        <v>33</v>
      </c>
      <c r="F629" t="s">
        <v>22</v>
      </c>
      <c r="G629" t="s">
        <v>23</v>
      </c>
      <c r="H629" t="s">
        <v>41</v>
      </c>
      <c r="I629" t="s">
        <v>42</v>
      </c>
      <c r="J629" t="s">
        <v>26</v>
      </c>
      <c r="K629" t="s">
        <v>88</v>
      </c>
      <c r="L629" t="s">
        <v>51</v>
      </c>
      <c r="M629" s="46">
        <v>92300</v>
      </c>
      <c r="N629">
        <v>3.4000000000000002E-2</v>
      </c>
      <c r="O629">
        <v>0.35</v>
      </c>
      <c r="P629" t="s">
        <v>38</v>
      </c>
      <c r="R629">
        <v>95</v>
      </c>
      <c r="S629">
        <v>7429.33</v>
      </c>
      <c r="T629">
        <f>Deals_[[#This Row],[Amount]]*Deals_[[#This Row],[Probability_Pct]]</f>
        <v>32304.999999999996</v>
      </c>
    </row>
    <row r="630" spans="1:20" x14ac:dyDescent="0.2">
      <c r="A630" t="s">
        <v>1158</v>
      </c>
      <c r="B630" s="7">
        <v>46234</v>
      </c>
      <c r="C630" s="7">
        <v>46319</v>
      </c>
      <c r="D630" t="s">
        <v>122</v>
      </c>
      <c r="E630" t="s">
        <v>91</v>
      </c>
      <c r="F630" t="s">
        <v>48</v>
      </c>
      <c r="G630" t="s">
        <v>92</v>
      </c>
      <c r="H630" t="s">
        <v>69</v>
      </c>
      <c r="I630" t="s">
        <v>99</v>
      </c>
      <c r="J630" t="s">
        <v>36</v>
      </c>
      <c r="K630" t="s">
        <v>78</v>
      </c>
      <c r="L630" t="s">
        <v>28</v>
      </c>
      <c r="M630" s="46">
        <v>14200</v>
      </c>
      <c r="N630">
        <v>4.5999999999999999E-2</v>
      </c>
      <c r="O630">
        <v>0.55000000000000004</v>
      </c>
      <c r="P630" t="s">
        <v>79</v>
      </c>
      <c r="R630">
        <v>85</v>
      </c>
      <c r="S630">
        <v>1129.3499999999999</v>
      </c>
      <c r="T630">
        <f>Deals_[[#This Row],[Amount]]*Deals_[[#This Row],[Probability_Pct]]</f>
        <v>7810.0000000000009</v>
      </c>
    </row>
    <row r="631" spans="1:20" x14ac:dyDescent="0.2">
      <c r="A631" t="s">
        <v>1159</v>
      </c>
      <c r="B631" s="7">
        <v>46025</v>
      </c>
      <c r="C631" s="7">
        <v>46102</v>
      </c>
      <c r="D631" t="s">
        <v>139</v>
      </c>
      <c r="E631" t="s">
        <v>54</v>
      </c>
      <c r="F631" t="s">
        <v>74</v>
      </c>
      <c r="G631" t="s">
        <v>55</v>
      </c>
      <c r="H631" t="s">
        <v>98</v>
      </c>
      <c r="I631" t="s">
        <v>25</v>
      </c>
      <c r="J631" t="s">
        <v>43</v>
      </c>
      <c r="K631" t="s">
        <v>88</v>
      </c>
      <c r="L631" t="s">
        <v>28</v>
      </c>
      <c r="M631" s="46">
        <v>228800</v>
      </c>
      <c r="N631">
        <v>0.13700000000000001</v>
      </c>
      <c r="O631">
        <v>0.35</v>
      </c>
      <c r="P631" t="s">
        <v>38</v>
      </c>
      <c r="R631">
        <v>77</v>
      </c>
      <c r="S631">
        <v>16463.87</v>
      </c>
      <c r="T631">
        <f>Deals_[[#This Row],[Amount]]*Deals_[[#This Row],[Probability_Pct]]</f>
        <v>80080</v>
      </c>
    </row>
    <row r="632" spans="1:20" x14ac:dyDescent="0.2">
      <c r="A632" t="s">
        <v>1160</v>
      </c>
      <c r="B632" s="7">
        <v>46231</v>
      </c>
      <c r="C632" s="7">
        <v>46277</v>
      </c>
      <c r="D632" t="s">
        <v>1161</v>
      </c>
      <c r="E632" t="s">
        <v>111</v>
      </c>
      <c r="F632" t="s">
        <v>74</v>
      </c>
      <c r="G632" t="s">
        <v>34</v>
      </c>
      <c r="H632" t="s">
        <v>49</v>
      </c>
      <c r="I632" t="s">
        <v>99</v>
      </c>
      <c r="J632" t="s">
        <v>36</v>
      </c>
      <c r="K632" t="s">
        <v>50</v>
      </c>
      <c r="L632" t="s">
        <v>28</v>
      </c>
      <c r="M632" s="46">
        <v>97300</v>
      </c>
      <c r="N632">
        <v>0.222</v>
      </c>
      <c r="O632">
        <v>1</v>
      </c>
      <c r="P632" t="s">
        <v>29</v>
      </c>
      <c r="R632">
        <v>46</v>
      </c>
      <c r="S632">
        <v>6309.77</v>
      </c>
      <c r="T632">
        <f>Deals_[[#This Row],[Amount]]*Deals_[[#This Row],[Probability_Pct]]</f>
        <v>97300</v>
      </c>
    </row>
    <row r="633" spans="1:20" x14ac:dyDescent="0.2">
      <c r="A633" t="s">
        <v>1162</v>
      </c>
      <c r="B633" s="7">
        <v>46142</v>
      </c>
      <c r="C633" s="7">
        <v>46289</v>
      </c>
      <c r="D633" t="s">
        <v>1163</v>
      </c>
      <c r="E633" t="s">
        <v>54</v>
      </c>
      <c r="F633" t="s">
        <v>74</v>
      </c>
      <c r="G633" t="s">
        <v>92</v>
      </c>
      <c r="H633" t="s">
        <v>98</v>
      </c>
      <c r="I633" t="s">
        <v>99</v>
      </c>
      <c r="J633" t="s">
        <v>57</v>
      </c>
      <c r="K633" t="s">
        <v>106</v>
      </c>
      <c r="L633" t="s">
        <v>44</v>
      </c>
      <c r="M633" s="46">
        <v>148300</v>
      </c>
      <c r="N633">
        <v>0.13800000000000001</v>
      </c>
      <c r="O633">
        <v>0.2</v>
      </c>
      <c r="P633" t="s">
        <v>38</v>
      </c>
      <c r="R633">
        <v>147</v>
      </c>
      <c r="S633">
        <v>10649.87</v>
      </c>
      <c r="T633">
        <f>Deals_[[#This Row],[Amount]]*Deals_[[#This Row],[Probability_Pct]]</f>
        <v>29660</v>
      </c>
    </row>
    <row r="634" spans="1:20" x14ac:dyDescent="0.2">
      <c r="A634" t="s">
        <v>1164</v>
      </c>
      <c r="B634" s="7">
        <v>45960</v>
      </c>
      <c r="C634" s="7">
        <v>45995</v>
      </c>
      <c r="D634" t="s">
        <v>20</v>
      </c>
      <c r="E634" t="s">
        <v>62</v>
      </c>
      <c r="F634" t="s">
        <v>22</v>
      </c>
      <c r="G634" t="s">
        <v>92</v>
      </c>
      <c r="H634" t="s">
        <v>77</v>
      </c>
      <c r="I634" t="s">
        <v>25</v>
      </c>
      <c r="J634" t="s">
        <v>26</v>
      </c>
      <c r="K634" t="s">
        <v>50</v>
      </c>
      <c r="L634" t="s">
        <v>28</v>
      </c>
      <c r="M634" s="46">
        <v>53000</v>
      </c>
      <c r="N634">
        <v>0.19500000000000001</v>
      </c>
      <c r="O634">
        <v>0.95</v>
      </c>
      <c r="P634" t="s">
        <v>29</v>
      </c>
      <c r="R634">
        <v>35</v>
      </c>
      <c r="S634">
        <v>3556.41</v>
      </c>
      <c r="T634">
        <f>Deals_[[#This Row],[Amount]]*Deals_[[#This Row],[Probability_Pct]]</f>
        <v>50350</v>
      </c>
    </row>
    <row r="635" spans="1:20" x14ac:dyDescent="0.2">
      <c r="A635" t="s">
        <v>1165</v>
      </c>
      <c r="B635" s="7">
        <v>46019</v>
      </c>
      <c r="C635" s="7">
        <v>46045</v>
      </c>
      <c r="D635" t="s">
        <v>1166</v>
      </c>
      <c r="E635" t="s">
        <v>82</v>
      </c>
      <c r="F635" t="s">
        <v>22</v>
      </c>
      <c r="G635" t="s">
        <v>92</v>
      </c>
      <c r="H635" t="s">
        <v>98</v>
      </c>
      <c r="I635" t="s">
        <v>25</v>
      </c>
      <c r="J635" t="s">
        <v>57</v>
      </c>
      <c r="K635" t="s">
        <v>78</v>
      </c>
      <c r="L635" t="s">
        <v>28</v>
      </c>
      <c r="M635" s="46">
        <v>65600</v>
      </c>
      <c r="N635">
        <v>0.183</v>
      </c>
      <c r="O635">
        <v>0.55000000000000004</v>
      </c>
      <c r="P635" t="s">
        <v>79</v>
      </c>
      <c r="R635">
        <v>26</v>
      </c>
      <c r="S635">
        <v>4465.88</v>
      </c>
      <c r="T635">
        <f>Deals_[[#This Row],[Amount]]*Deals_[[#This Row],[Probability_Pct]]</f>
        <v>36080</v>
      </c>
    </row>
    <row r="636" spans="1:20" x14ac:dyDescent="0.2">
      <c r="A636" t="s">
        <v>1167</v>
      </c>
      <c r="B636" s="7">
        <v>46019</v>
      </c>
      <c r="C636" s="7">
        <v>46120</v>
      </c>
      <c r="D636" t="s">
        <v>1168</v>
      </c>
      <c r="E636" t="s">
        <v>33</v>
      </c>
      <c r="F636" t="s">
        <v>48</v>
      </c>
      <c r="G636" t="s">
        <v>23</v>
      </c>
      <c r="H636" t="s">
        <v>24</v>
      </c>
      <c r="I636" t="s">
        <v>84</v>
      </c>
      <c r="J636" t="s">
        <v>26</v>
      </c>
      <c r="K636" t="s">
        <v>37</v>
      </c>
      <c r="L636" t="s">
        <v>44</v>
      </c>
      <c r="M636" s="46">
        <v>23600</v>
      </c>
      <c r="N636">
        <v>0.159</v>
      </c>
      <c r="O636">
        <v>0.1</v>
      </c>
      <c r="P636" t="s">
        <v>38</v>
      </c>
      <c r="R636">
        <v>101</v>
      </c>
      <c r="S636">
        <v>1653.74</v>
      </c>
      <c r="T636">
        <f>Deals_[[#This Row],[Amount]]*Deals_[[#This Row],[Probability_Pct]]</f>
        <v>2360</v>
      </c>
    </row>
    <row r="637" spans="1:20" x14ac:dyDescent="0.2">
      <c r="A637" t="s">
        <v>1169</v>
      </c>
      <c r="B637" s="7">
        <v>46166</v>
      </c>
      <c r="C637" s="7">
        <v>46277</v>
      </c>
      <c r="D637" t="s">
        <v>1170</v>
      </c>
      <c r="E637" t="s">
        <v>68</v>
      </c>
      <c r="F637" t="s">
        <v>48</v>
      </c>
      <c r="G637" t="s">
        <v>55</v>
      </c>
      <c r="H637" t="s">
        <v>77</v>
      </c>
      <c r="I637" t="s">
        <v>35</v>
      </c>
      <c r="J637" t="s">
        <v>36</v>
      </c>
      <c r="K637" t="s">
        <v>27</v>
      </c>
      <c r="L637" t="s">
        <v>44</v>
      </c>
      <c r="M637" s="46">
        <v>25900</v>
      </c>
      <c r="N637">
        <v>7.0000000000000007E-2</v>
      </c>
      <c r="O637">
        <v>0</v>
      </c>
      <c r="P637" t="s">
        <v>29</v>
      </c>
      <c r="Q637" t="s">
        <v>209</v>
      </c>
      <c r="R637">
        <v>111</v>
      </c>
      <c r="S637">
        <v>2006.23</v>
      </c>
      <c r="T637">
        <f>Deals_[[#This Row],[Amount]]*Deals_[[#This Row],[Probability_Pct]]</f>
        <v>0</v>
      </c>
    </row>
    <row r="638" spans="1:20" x14ac:dyDescent="0.2">
      <c r="A638" t="s">
        <v>1171</v>
      </c>
      <c r="B638" s="7">
        <v>46262</v>
      </c>
      <c r="C638" s="7">
        <v>46277</v>
      </c>
      <c r="D638" t="s">
        <v>1172</v>
      </c>
      <c r="E638" t="s">
        <v>54</v>
      </c>
      <c r="F638" t="s">
        <v>48</v>
      </c>
      <c r="G638" t="s">
        <v>23</v>
      </c>
      <c r="H638" t="s">
        <v>69</v>
      </c>
      <c r="I638" t="s">
        <v>42</v>
      </c>
      <c r="J638" t="s">
        <v>43</v>
      </c>
      <c r="K638" t="s">
        <v>50</v>
      </c>
      <c r="L638" t="s">
        <v>44</v>
      </c>
      <c r="M638" s="46">
        <v>14000</v>
      </c>
      <c r="N638">
        <v>0.11</v>
      </c>
      <c r="O638">
        <v>1</v>
      </c>
      <c r="P638" t="s">
        <v>29</v>
      </c>
      <c r="R638">
        <v>15</v>
      </c>
      <c r="S638">
        <v>1038.28</v>
      </c>
      <c r="T638">
        <f>Deals_[[#This Row],[Amount]]*Deals_[[#This Row],[Probability_Pct]]</f>
        <v>14000</v>
      </c>
    </row>
    <row r="639" spans="1:20" x14ac:dyDescent="0.2">
      <c r="A639" t="s">
        <v>1173</v>
      </c>
      <c r="B639" s="7">
        <v>46058</v>
      </c>
      <c r="C639" s="7">
        <v>46161</v>
      </c>
      <c r="D639" t="s">
        <v>1174</v>
      </c>
      <c r="E639" t="s">
        <v>68</v>
      </c>
      <c r="F639" t="s">
        <v>48</v>
      </c>
      <c r="G639" t="s">
        <v>92</v>
      </c>
      <c r="H639" t="s">
        <v>77</v>
      </c>
      <c r="I639" t="s">
        <v>42</v>
      </c>
      <c r="J639" t="s">
        <v>43</v>
      </c>
      <c r="K639" t="s">
        <v>88</v>
      </c>
      <c r="L639" t="s">
        <v>44</v>
      </c>
      <c r="M639" s="46">
        <v>27300</v>
      </c>
      <c r="N639">
        <v>6.3E-2</v>
      </c>
      <c r="O639">
        <v>0.35</v>
      </c>
      <c r="P639" t="s">
        <v>38</v>
      </c>
      <c r="R639">
        <v>103</v>
      </c>
      <c r="S639">
        <v>2131.4499999999998</v>
      </c>
      <c r="T639">
        <f>Deals_[[#This Row],[Amount]]*Deals_[[#This Row],[Probability_Pct]]</f>
        <v>9555</v>
      </c>
    </row>
    <row r="640" spans="1:20" x14ac:dyDescent="0.2">
      <c r="A640" t="s">
        <v>1175</v>
      </c>
      <c r="B640" s="7">
        <v>46260</v>
      </c>
      <c r="C640" s="7">
        <v>46314</v>
      </c>
      <c r="D640" t="s">
        <v>915</v>
      </c>
      <c r="E640" t="s">
        <v>33</v>
      </c>
      <c r="F640" t="s">
        <v>22</v>
      </c>
      <c r="G640" t="s">
        <v>34</v>
      </c>
      <c r="H640" t="s">
        <v>120</v>
      </c>
      <c r="I640" t="s">
        <v>35</v>
      </c>
      <c r="J640" t="s">
        <v>43</v>
      </c>
      <c r="K640" t="s">
        <v>78</v>
      </c>
      <c r="L640" t="s">
        <v>44</v>
      </c>
      <c r="M640" s="46">
        <v>85700</v>
      </c>
      <c r="N640">
        <v>2.1999999999999999E-2</v>
      </c>
      <c r="O640">
        <v>0.55000000000000004</v>
      </c>
      <c r="P640" t="s">
        <v>79</v>
      </c>
      <c r="R640">
        <v>54</v>
      </c>
      <c r="S640">
        <v>6983.51</v>
      </c>
      <c r="T640">
        <f>Deals_[[#This Row],[Amount]]*Deals_[[#This Row],[Probability_Pct]]</f>
        <v>47135.000000000007</v>
      </c>
    </row>
    <row r="641" spans="1:20" x14ac:dyDescent="0.2">
      <c r="A641" t="s">
        <v>1176</v>
      </c>
      <c r="B641" s="7">
        <v>46134</v>
      </c>
      <c r="C641" s="7">
        <v>46192</v>
      </c>
      <c r="D641" t="s">
        <v>1177</v>
      </c>
      <c r="E641" t="s">
        <v>21</v>
      </c>
      <c r="F641" t="s">
        <v>22</v>
      </c>
      <c r="G641" t="s">
        <v>92</v>
      </c>
      <c r="H641" t="s">
        <v>137</v>
      </c>
      <c r="I641" t="s">
        <v>25</v>
      </c>
      <c r="J641" t="s">
        <v>57</v>
      </c>
      <c r="K641" t="s">
        <v>88</v>
      </c>
      <c r="L641" t="s">
        <v>44</v>
      </c>
      <c r="M641" s="46">
        <v>33000</v>
      </c>
      <c r="N641">
        <v>6.3E-2</v>
      </c>
      <c r="O641">
        <v>0.3</v>
      </c>
      <c r="P641" t="s">
        <v>38</v>
      </c>
      <c r="R641">
        <v>58</v>
      </c>
      <c r="S641">
        <v>2576.54</v>
      </c>
      <c r="T641">
        <f>Deals_[[#This Row],[Amount]]*Deals_[[#This Row],[Probability_Pct]]</f>
        <v>9900</v>
      </c>
    </row>
    <row r="642" spans="1:20" x14ac:dyDescent="0.2">
      <c r="A642" t="s">
        <v>1178</v>
      </c>
      <c r="B642" s="7">
        <v>46157</v>
      </c>
      <c r="C642" s="7">
        <v>46337</v>
      </c>
      <c r="D642" t="s">
        <v>1179</v>
      </c>
      <c r="E642" t="s">
        <v>82</v>
      </c>
      <c r="F642" t="s">
        <v>48</v>
      </c>
      <c r="G642" t="s">
        <v>23</v>
      </c>
      <c r="H642" t="s">
        <v>95</v>
      </c>
      <c r="I642" t="s">
        <v>65</v>
      </c>
      <c r="J642" t="s">
        <v>57</v>
      </c>
      <c r="K642" t="s">
        <v>88</v>
      </c>
      <c r="L642" t="s">
        <v>44</v>
      </c>
      <c r="M642" s="46">
        <v>9700</v>
      </c>
      <c r="N642">
        <v>0.24199999999999999</v>
      </c>
      <c r="O642">
        <v>0.35</v>
      </c>
      <c r="P642" t="s">
        <v>38</v>
      </c>
      <c r="R642">
        <v>180</v>
      </c>
      <c r="S642">
        <v>613.02</v>
      </c>
      <c r="T642">
        <f>Deals_[[#This Row],[Amount]]*Deals_[[#This Row],[Probability_Pct]]</f>
        <v>3395</v>
      </c>
    </row>
    <row r="643" spans="1:20" x14ac:dyDescent="0.2">
      <c r="A643" t="s">
        <v>1180</v>
      </c>
      <c r="B643" s="7">
        <v>46188</v>
      </c>
      <c r="C643" s="7">
        <v>46277</v>
      </c>
      <c r="D643" t="s">
        <v>1120</v>
      </c>
      <c r="E643" t="s">
        <v>68</v>
      </c>
      <c r="F643" t="s">
        <v>22</v>
      </c>
      <c r="G643" t="s">
        <v>92</v>
      </c>
      <c r="H643" t="s">
        <v>41</v>
      </c>
      <c r="I643" t="s">
        <v>99</v>
      </c>
      <c r="J643" t="s">
        <v>57</v>
      </c>
      <c r="K643" t="s">
        <v>88</v>
      </c>
      <c r="L643" t="s">
        <v>44</v>
      </c>
      <c r="M643" s="46">
        <v>62000</v>
      </c>
      <c r="N643">
        <v>0.109</v>
      </c>
      <c r="O643">
        <v>0.4</v>
      </c>
      <c r="P643" t="s">
        <v>38</v>
      </c>
      <c r="R643">
        <v>89</v>
      </c>
      <c r="S643">
        <v>4602.13</v>
      </c>
      <c r="T643">
        <f>Deals_[[#This Row],[Amount]]*Deals_[[#This Row],[Probability_Pct]]</f>
        <v>24800</v>
      </c>
    </row>
    <row r="644" spans="1:20" x14ac:dyDescent="0.2">
      <c r="A644" t="s">
        <v>1181</v>
      </c>
      <c r="B644" s="7">
        <v>46019</v>
      </c>
      <c r="C644" s="7">
        <v>46089</v>
      </c>
      <c r="D644" t="s">
        <v>959</v>
      </c>
      <c r="E644" t="s">
        <v>62</v>
      </c>
      <c r="F644" t="s">
        <v>74</v>
      </c>
      <c r="G644" t="s">
        <v>23</v>
      </c>
      <c r="H644" t="s">
        <v>41</v>
      </c>
      <c r="I644" t="s">
        <v>42</v>
      </c>
      <c r="J644" t="s">
        <v>85</v>
      </c>
      <c r="K644" t="s">
        <v>58</v>
      </c>
      <c r="L644" t="s">
        <v>51</v>
      </c>
      <c r="M644" s="46">
        <v>95600</v>
      </c>
      <c r="N644">
        <v>0.20300000000000001</v>
      </c>
      <c r="O644">
        <v>0.8</v>
      </c>
      <c r="P644" t="s">
        <v>59</v>
      </c>
      <c r="R644">
        <v>70</v>
      </c>
      <c r="S644">
        <v>6350.31</v>
      </c>
      <c r="T644">
        <f>Deals_[[#This Row],[Amount]]*Deals_[[#This Row],[Probability_Pct]]</f>
        <v>76480</v>
      </c>
    </row>
    <row r="645" spans="1:20" x14ac:dyDescent="0.2">
      <c r="A645" t="s">
        <v>1182</v>
      </c>
      <c r="B645" s="7">
        <v>46252</v>
      </c>
      <c r="C645" s="7">
        <v>46321</v>
      </c>
      <c r="D645" t="s">
        <v>1183</v>
      </c>
      <c r="E645" t="s">
        <v>91</v>
      </c>
      <c r="F645" t="s">
        <v>22</v>
      </c>
      <c r="G645" t="s">
        <v>55</v>
      </c>
      <c r="H645" t="s">
        <v>64</v>
      </c>
      <c r="I645" t="s">
        <v>99</v>
      </c>
      <c r="J645" t="s">
        <v>36</v>
      </c>
      <c r="K645" t="s">
        <v>78</v>
      </c>
      <c r="L645" t="s">
        <v>28</v>
      </c>
      <c r="M645" s="46">
        <v>47900</v>
      </c>
      <c r="N645">
        <v>0.11</v>
      </c>
      <c r="O645">
        <v>0.55000000000000004</v>
      </c>
      <c r="P645" t="s">
        <v>79</v>
      </c>
      <c r="R645">
        <v>69</v>
      </c>
      <c r="S645">
        <v>3551.01</v>
      </c>
      <c r="T645">
        <f>Deals_[[#This Row],[Amount]]*Deals_[[#This Row],[Probability_Pct]]</f>
        <v>26345.000000000004</v>
      </c>
    </row>
    <row r="646" spans="1:20" x14ac:dyDescent="0.2">
      <c r="A646" t="s">
        <v>1184</v>
      </c>
      <c r="B646" s="7">
        <v>46026</v>
      </c>
      <c r="C646" s="7">
        <v>46136</v>
      </c>
      <c r="D646" t="s">
        <v>1185</v>
      </c>
      <c r="E646" t="s">
        <v>68</v>
      </c>
      <c r="F646" t="s">
        <v>48</v>
      </c>
      <c r="G646" t="s">
        <v>92</v>
      </c>
      <c r="H646" t="s">
        <v>98</v>
      </c>
      <c r="I646" t="s">
        <v>65</v>
      </c>
      <c r="J646" t="s">
        <v>43</v>
      </c>
      <c r="K646" t="s">
        <v>27</v>
      </c>
      <c r="L646" t="s">
        <v>28</v>
      </c>
      <c r="M646" s="46">
        <v>29000</v>
      </c>
      <c r="N646">
        <v>0.16300000000000001</v>
      </c>
      <c r="O646">
        <v>0</v>
      </c>
      <c r="P646" t="s">
        <v>29</v>
      </c>
      <c r="Q646" t="s">
        <v>126</v>
      </c>
      <c r="R646">
        <v>110</v>
      </c>
      <c r="S646">
        <v>2022.13</v>
      </c>
      <c r="T646">
        <f>Deals_[[#This Row],[Amount]]*Deals_[[#This Row],[Probability_Pct]]</f>
        <v>0</v>
      </c>
    </row>
    <row r="647" spans="1:20" x14ac:dyDescent="0.2">
      <c r="A647" t="s">
        <v>1186</v>
      </c>
      <c r="B647" s="7">
        <v>45970</v>
      </c>
      <c r="C647" s="7">
        <v>46018</v>
      </c>
      <c r="D647" t="s">
        <v>571</v>
      </c>
      <c r="E647" t="s">
        <v>82</v>
      </c>
      <c r="F647" t="s">
        <v>48</v>
      </c>
      <c r="G647" t="s">
        <v>63</v>
      </c>
      <c r="H647" t="s">
        <v>77</v>
      </c>
      <c r="I647" t="s">
        <v>84</v>
      </c>
      <c r="J647" t="s">
        <v>36</v>
      </c>
      <c r="K647" t="s">
        <v>88</v>
      </c>
      <c r="L647" t="s">
        <v>44</v>
      </c>
      <c r="M647" s="46">
        <v>14400</v>
      </c>
      <c r="N647">
        <v>9.5000000000000001E-2</v>
      </c>
      <c r="O647">
        <v>0.35</v>
      </c>
      <c r="P647" t="s">
        <v>38</v>
      </c>
      <c r="R647">
        <v>48</v>
      </c>
      <c r="S647">
        <v>1085.6199999999999</v>
      </c>
      <c r="T647">
        <f>Deals_[[#This Row],[Amount]]*Deals_[[#This Row],[Probability_Pct]]</f>
        <v>5040</v>
      </c>
    </row>
    <row r="648" spans="1:20" x14ac:dyDescent="0.2">
      <c r="A648" t="s">
        <v>1187</v>
      </c>
      <c r="B648" s="7">
        <v>45973</v>
      </c>
      <c r="C648" s="7">
        <v>46030</v>
      </c>
      <c r="D648" t="s">
        <v>238</v>
      </c>
      <c r="E648" t="s">
        <v>21</v>
      </c>
      <c r="F648" t="s">
        <v>48</v>
      </c>
      <c r="G648" t="s">
        <v>55</v>
      </c>
      <c r="H648" t="s">
        <v>64</v>
      </c>
      <c r="I648" t="s">
        <v>35</v>
      </c>
      <c r="J648" t="s">
        <v>43</v>
      </c>
      <c r="K648" t="s">
        <v>88</v>
      </c>
      <c r="L648" t="s">
        <v>44</v>
      </c>
      <c r="M648" s="46">
        <v>23100</v>
      </c>
      <c r="N648">
        <v>0.14699999999999999</v>
      </c>
      <c r="O648">
        <v>0.35</v>
      </c>
      <c r="P648" t="s">
        <v>38</v>
      </c>
      <c r="R648">
        <v>57</v>
      </c>
      <c r="S648">
        <v>1641.5</v>
      </c>
      <c r="T648">
        <f>Deals_[[#This Row],[Amount]]*Deals_[[#This Row],[Probability_Pct]]</f>
        <v>8084.9999999999991</v>
      </c>
    </row>
    <row r="649" spans="1:20" x14ac:dyDescent="0.2">
      <c r="A649" t="s">
        <v>1188</v>
      </c>
      <c r="B649" s="7">
        <v>45996</v>
      </c>
      <c r="C649" s="7">
        <v>46029</v>
      </c>
      <c r="D649" t="s">
        <v>1189</v>
      </c>
      <c r="E649" t="s">
        <v>82</v>
      </c>
      <c r="F649" t="s">
        <v>22</v>
      </c>
      <c r="G649" t="s">
        <v>23</v>
      </c>
      <c r="H649" t="s">
        <v>95</v>
      </c>
      <c r="I649" t="s">
        <v>25</v>
      </c>
      <c r="J649" t="s">
        <v>26</v>
      </c>
      <c r="K649" t="s">
        <v>106</v>
      </c>
      <c r="L649" t="s">
        <v>28</v>
      </c>
      <c r="M649" s="46">
        <v>60500</v>
      </c>
      <c r="N649">
        <v>0.189</v>
      </c>
      <c r="O649">
        <v>0.25</v>
      </c>
      <c r="P649" t="s">
        <v>38</v>
      </c>
      <c r="R649">
        <v>33</v>
      </c>
      <c r="S649">
        <v>4090.61</v>
      </c>
      <c r="T649">
        <f>Deals_[[#This Row],[Amount]]*Deals_[[#This Row],[Probability_Pct]]</f>
        <v>15125</v>
      </c>
    </row>
    <row r="650" spans="1:20" x14ac:dyDescent="0.2">
      <c r="A650" t="s">
        <v>1190</v>
      </c>
      <c r="B650" s="7">
        <v>45995</v>
      </c>
      <c r="C650" s="7">
        <v>46119</v>
      </c>
      <c r="D650" t="s">
        <v>1191</v>
      </c>
      <c r="E650" t="s">
        <v>33</v>
      </c>
      <c r="F650" t="s">
        <v>48</v>
      </c>
      <c r="G650" t="s">
        <v>92</v>
      </c>
      <c r="H650" t="s">
        <v>120</v>
      </c>
      <c r="I650" t="s">
        <v>99</v>
      </c>
      <c r="J650" t="s">
        <v>26</v>
      </c>
      <c r="K650" t="s">
        <v>88</v>
      </c>
      <c r="L650" t="s">
        <v>28</v>
      </c>
      <c r="M650" s="46">
        <v>25500</v>
      </c>
      <c r="N650">
        <v>0.17799999999999999</v>
      </c>
      <c r="O650">
        <v>0.35</v>
      </c>
      <c r="P650" t="s">
        <v>38</v>
      </c>
      <c r="R650">
        <v>124</v>
      </c>
      <c r="S650">
        <v>1747.09</v>
      </c>
      <c r="T650">
        <f>Deals_[[#This Row],[Amount]]*Deals_[[#This Row],[Probability_Pct]]</f>
        <v>8925</v>
      </c>
    </row>
    <row r="651" spans="1:20" x14ac:dyDescent="0.2">
      <c r="A651" t="s">
        <v>1192</v>
      </c>
      <c r="B651" s="7">
        <v>46119</v>
      </c>
      <c r="C651" s="7">
        <v>46161</v>
      </c>
      <c r="D651" t="s">
        <v>1094</v>
      </c>
      <c r="E651" t="s">
        <v>21</v>
      </c>
      <c r="F651" t="s">
        <v>48</v>
      </c>
      <c r="G651" t="s">
        <v>34</v>
      </c>
      <c r="H651" t="s">
        <v>41</v>
      </c>
      <c r="I651" t="s">
        <v>99</v>
      </c>
      <c r="J651" t="s">
        <v>43</v>
      </c>
      <c r="K651" t="s">
        <v>106</v>
      </c>
      <c r="L651" t="s">
        <v>51</v>
      </c>
      <c r="M651" s="46">
        <v>11600</v>
      </c>
      <c r="N651">
        <v>0.215</v>
      </c>
      <c r="O651">
        <v>0.25</v>
      </c>
      <c r="P651" t="s">
        <v>38</v>
      </c>
      <c r="R651">
        <v>42</v>
      </c>
      <c r="S651">
        <v>759.04</v>
      </c>
      <c r="T651">
        <f>Deals_[[#This Row],[Amount]]*Deals_[[#This Row],[Probability_Pct]]</f>
        <v>2900</v>
      </c>
    </row>
    <row r="652" spans="1:20" x14ac:dyDescent="0.2">
      <c r="A652" t="s">
        <v>1193</v>
      </c>
      <c r="B652" s="7">
        <v>46259</v>
      </c>
      <c r="C652" s="7">
        <v>46325</v>
      </c>
      <c r="D652" t="s">
        <v>698</v>
      </c>
      <c r="E652" t="s">
        <v>111</v>
      </c>
      <c r="F652" t="s">
        <v>74</v>
      </c>
      <c r="G652" t="s">
        <v>63</v>
      </c>
      <c r="H652" t="s">
        <v>64</v>
      </c>
      <c r="I652" t="s">
        <v>25</v>
      </c>
      <c r="J652" t="s">
        <v>85</v>
      </c>
      <c r="K652" t="s">
        <v>78</v>
      </c>
      <c r="L652" t="s">
        <v>28</v>
      </c>
      <c r="M652" s="46">
        <v>157100</v>
      </c>
      <c r="N652">
        <v>0.16500000000000001</v>
      </c>
      <c r="O652">
        <v>0.55000000000000004</v>
      </c>
      <c r="P652" t="s">
        <v>79</v>
      </c>
      <c r="R652">
        <v>66</v>
      </c>
      <c r="S652">
        <v>10928.46</v>
      </c>
      <c r="T652">
        <f>Deals_[[#This Row],[Amount]]*Deals_[[#This Row],[Probability_Pct]]</f>
        <v>86405</v>
      </c>
    </row>
    <row r="653" spans="1:20" x14ac:dyDescent="0.2">
      <c r="A653" t="s">
        <v>1194</v>
      </c>
      <c r="B653" s="7">
        <v>46032</v>
      </c>
      <c r="C653" s="7">
        <v>46117</v>
      </c>
      <c r="D653" t="s">
        <v>1195</v>
      </c>
      <c r="E653" t="s">
        <v>82</v>
      </c>
      <c r="F653" t="s">
        <v>48</v>
      </c>
      <c r="G653" t="s">
        <v>92</v>
      </c>
      <c r="H653" t="s">
        <v>64</v>
      </c>
      <c r="I653" t="s">
        <v>65</v>
      </c>
      <c r="J653" t="s">
        <v>36</v>
      </c>
      <c r="K653" t="s">
        <v>78</v>
      </c>
      <c r="L653" t="s">
        <v>51</v>
      </c>
      <c r="M653" s="46">
        <v>14900</v>
      </c>
      <c r="N653">
        <v>0.13300000000000001</v>
      </c>
      <c r="O653">
        <v>0.5</v>
      </c>
      <c r="P653" t="s">
        <v>79</v>
      </c>
      <c r="R653">
        <v>85</v>
      </c>
      <c r="S653">
        <v>1077.1300000000001</v>
      </c>
      <c r="T653">
        <f>Deals_[[#This Row],[Amount]]*Deals_[[#This Row],[Probability_Pct]]</f>
        <v>7450</v>
      </c>
    </row>
    <row r="654" spans="1:20" x14ac:dyDescent="0.2">
      <c r="A654" t="s">
        <v>1196</v>
      </c>
      <c r="B654" s="7">
        <v>46127</v>
      </c>
      <c r="C654" s="7">
        <v>46221</v>
      </c>
      <c r="D654" t="s">
        <v>410</v>
      </c>
      <c r="E654" t="s">
        <v>62</v>
      </c>
      <c r="F654" t="s">
        <v>74</v>
      </c>
      <c r="G654" t="s">
        <v>63</v>
      </c>
      <c r="H654" t="s">
        <v>137</v>
      </c>
      <c r="I654" t="s">
        <v>42</v>
      </c>
      <c r="J654" t="s">
        <v>26</v>
      </c>
      <c r="K654" t="s">
        <v>58</v>
      </c>
      <c r="L654" t="s">
        <v>28</v>
      </c>
      <c r="M654" s="46">
        <v>348000</v>
      </c>
      <c r="N654">
        <v>3.1E-2</v>
      </c>
      <c r="O654">
        <v>0.75</v>
      </c>
      <c r="P654" t="s">
        <v>59</v>
      </c>
      <c r="R654">
        <v>94</v>
      </c>
      <c r="S654">
        <v>28099.46</v>
      </c>
      <c r="T654">
        <f>Deals_[[#This Row],[Amount]]*Deals_[[#This Row],[Probability_Pct]]</f>
        <v>261000</v>
      </c>
    </row>
    <row r="655" spans="1:20" x14ac:dyDescent="0.2">
      <c r="A655" t="s">
        <v>1197</v>
      </c>
      <c r="B655" s="7">
        <v>46028</v>
      </c>
      <c r="C655" s="7">
        <v>46131</v>
      </c>
      <c r="D655" t="s">
        <v>1198</v>
      </c>
      <c r="E655" t="s">
        <v>91</v>
      </c>
      <c r="F655" t="s">
        <v>22</v>
      </c>
      <c r="G655" t="s">
        <v>63</v>
      </c>
      <c r="H655" t="s">
        <v>83</v>
      </c>
      <c r="I655" t="s">
        <v>25</v>
      </c>
      <c r="J655" t="s">
        <v>26</v>
      </c>
      <c r="K655" t="s">
        <v>50</v>
      </c>
      <c r="L655" t="s">
        <v>51</v>
      </c>
      <c r="M655" s="46">
        <v>99400</v>
      </c>
      <c r="N655">
        <v>6.8000000000000005E-2</v>
      </c>
      <c r="O655">
        <v>1</v>
      </c>
      <c r="P655" t="s">
        <v>29</v>
      </c>
      <c r="R655">
        <v>103</v>
      </c>
      <c r="S655">
        <v>7723.77</v>
      </c>
      <c r="T655">
        <f>Deals_[[#This Row],[Amount]]*Deals_[[#This Row],[Probability_Pct]]</f>
        <v>99400</v>
      </c>
    </row>
    <row r="656" spans="1:20" x14ac:dyDescent="0.2">
      <c r="A656" t="s">
        <v>1199</v>
      </c>
      <c r="B656" s="7">
        <v>46242</v>
      </c>
      <c r="C656" s="7">
        <v>46337</v>
      </c>
      <c r="D656" t="s">
        <v>1200</v>
      </c>
      <c r="E656" t="s">
        <v>91</v>
      </c>
      <c r="F656" t="s">
        <v>74</v>
      </c>
      <c r="G656" t="s">
        <v>92</v>
      </c>
      <c r="H656" t="s">
        <v>120</v>
      </c>
      <c r="I656" t="s">
        <v>25</v>
      </c>
      <c r="J656" t="s">
        <v>43</v>
      </c>
      <c r="K656" t="s">
        <v>78</v>
      </c>
      <c r="L656" t="s">
        <v>51</v>
      </c>
      <c r="M656" s="46">
        <v>342400</v>
      </c>
      <c r="N656">
        <v>0.185</v>
      </c>
      <c r="O656">
        <v>0.55000000000000004</v>
      </c>
      <c r="P656" t="s">
        <v>79</v>
      </c>
      <c r="R656">
        <v>95</v>
      </c>
      <c r="S656">
        <v>23241.13</v>
      </c>
      <c r="T656">
        <f>Deals_[[#This Row],[Amount]]*Deals_[[#This Row],[Probability_Pct]]</f>
        <v>188320.00000000003</v>
      </c>
    </row>
    <row r="657" spans="1:20" x14ac:dyDescent="0.2">
      <c r="A657" t="s">
        <v>1201</v>
      </c>
      <c r="B657" s="7">
        <v>46055</v>
      </c>
      <c r="C657" s="7">
        <v>46178</v>
      </c>
      <c r="D657" t="s">
        <v>1202</v>
      </c>
      <c r="E657" t="s">
        <v>111</v>
      </c>
      <c r="F657" t="s">
        <v>48</v>
      </c>
      <c r="G657" t="s">
        <v>55</v>
      </c>
      <c r="H657" t="s">
        <v>77</v>
      </c>
      <c r="I657" t="s">
        <v>99</v>
      </c>
      <c r="J657" t="s">
        <v>57</v>
      </c>
      <c r="K657" t="s">
        <v>58</v>
      </c>
      <c r="L657" t="s">
        <v>44</v>
      </c>
      <c r="M657" s="46">
        <v>19700</v>
      </c>
      <c r="N657">
        <v>0.16</v>
      </c>
      <c r="O657">
        <v>0.8</v>
      </c>
      <c r="P657" t="s">
        <v>59</v>
      </c>
      <c r="R657">
        <v>123</v>
      </c>
      <c r="S657">
        <v>1379.7</v>
      </c>
      <c r="T657">
        <f>Deals_[[#This Row],[Amount]]*Deals_[[#This Row],[Probability_Pct]]</f>
        <v>15760</v>
      </c>
    </row>
    <row r="658" spans="1:20" x14ac:dyDescent="0.2">
      <c r="A658" t="s">
        <v>1203</v>
      </c>
      <c r="B658" s="7">
        <v>46184</v>
      </c>
      <c r="C658" s="7">
        <v>46270</v>
      </c>
      <c r="D658" t="s">
        <v>1204</v>
      </c>
      <c r="E658" t="s">
        <v>91</v>
      </c>
      <c r="F658" t="s">
        <v>48</v>
      </c>
      <c r="G658" t="s">
        <v>92</v>
      </c>
      <c r="H658" t="s">
        <v>95</v>
      </c>
      <c r="I658" t="s">
        <v>42</v>
      </c>
      <c r="J658" t="s">
        <v>57</v>
      </c>
      <c r="K658" t="s">
        <v>50</v>
      </c>
      <c r="L658" t="s">
        <v>51</v>
      </c>
      <c r="M658" s="46">
        <v>25800</v>
      </c>
      <c r="N658">
        <v>6.5000000000000002E-2</v>
      </c>
      <c r="O658">
        <v>1</v>
      </c>
      <c r="P658" t="s">
        <v>29</v>
      </c>
      <c r="R658">
        <v>86</v>
      </c>
      <c r="S658">
        <v>2009.39</v>
      </c>
      <c r="T658">
        <f>Deals_[[#This Row],[Amount]]*Deals_[[#This Row],[Probability_Pct]]</f>
        <v>25800</v>
      </c>
    </row>
    <row r="659" spans="1:20" x14ac:dyDescent="0.2">
      <c r="A659" t="s">
        <v>1205</v>
      </c>
      <c r="B659" s="7">
        <v>46129</v>
      </c>
      <c r="C659" s="7">
        <v>46153</v>
      </c>
      <c r="D659" t="s">
        <v>908</v>
      </c>
      <c r="E659" t="s">
        <v>82</v>
      </c>
      <c r="F659" t="s">
        <v>48</v>
      </c>
      <c r="G659" t="s">
        <v>34</v>
      </c>
      <c r="H659" t="s">
        <v>24</v>
      </c>
      <c r="I659" t="s">
        <v>84</v>
      </c>
      <c r="J659" t="s">
        <v>85</v>
      </c>
      <c r="K659" t="s">
        <v>50</v>
      </c>
      <c r="L659" t="s">
        <v>28</v>
      </c>
      <c r="M659" s="46">
        <v>18200</v>
      </c>
      <c r="N659">
        <v>0.20799999999999999</v>
      </c>
      <c r="O659">
        <v>1</v>
      </c>
      <c r="P659" t="s">
        <v>29</v>
      </c>
      <c r="R659">
        <v>24</v>
      </c>
      <c r="S659">
        <v>1200.7</v>
      </c>
      <c r="T659">
        <f>Deals_[[#This Row],[Amount]]*Deals_[[#This Row],[Probability_Pct]]</f>
        <v>18200</v>
      </c>
    </row>
    <row r="660" spans="1:20" x14ac:dyDescent="0.2">
      <c r="A660" t="s">
        <v>1206</v>
      </c>
      <c r="B660" s="7">
        <v>46010</v>
      </c>
      <c r="C660" s="7">
        <v>46070</v>
      </c>
      <c r="D660" t="s">
        <v>1207</v>
      </c>
      <c r="E660" t="s">
        <v>82</v>
      </c>
      <c r="F660" t="s">
        <v>74</v>
      </c>
      <c r="G660" t="s">
        <v>23</v>
      </c>
      <c r="H660" t="s">
        <v>41</v>
      </c>
      <c r="I660" t="s">
        <v>65</v>
      </c>
      <c r="J660" t="s">
        <v>57</v>
      </c>
      <c r="K660" t="s">
        <v>37</v>
      </c>
      <c r="L660" t="s">
        <v>51</v>
      </c>
      <c r="M660" s="46">
        <v>277700</v>
      </c>
      <c r="N660">
        <v>0.13700000000000001</v>
      </c>
      <c r="O660">
        <v>0.15</v>
      </c>
      <c r="P660" t="s">
        <v>38</v>
      </c>
      <c r="R660">
        <v>60</v>
      </c>
      <c r="S660">
        <v>19972.439999999999</v>
      </c>
      <c r="T660">
        <f>Deals_[[#This Row],[Amount]]*Deals_[[#This Row],[Probability_Pct]]</f>
        <v>41655</v>
      </c>
    </row>
    <row r="661" spans="1:20" x14ac:dyDescent="0.2">
      <c r="A661" t="s">
        <v>1208</v>
      </c>
      <c r="B661" s="7">
        <v>46037</v>
      </c>
      <c r="C661" s="7">
        <v>46087</v>
      </c>
      <c r="D661" t="s">
        <v>1209</v>
      </c>
      <c r="E661" t="s">
        <v>62</v>
      </c>
      <c r="F661" t="s">
        <v>22</v>
      </c>
      <c r="G661" t="s">
        <v>63</v>
      </c>
      <c r="H661" t="s">
        <v>95</v>
      </c>
      <c r="I661" t="s">
        <v>84</v>
      </c>
      <c r="J661" t="s">
        <v>85</v>
      </c>
      <c r="K661" t="s">
        <v>88</v>
      </c>
      <c r="L661" t="s">
        <v>51</v>
      </c>
      <c r="M661" s="46">
        <v>69300</v>
      </c>
      <c r="N661">
        <v>0.17199999999999999</v>
      </c>
      <c r="O661">
        <v>0.4</v>
      </c>
      <c r="P661" t="s">
        <v>38</v>
      </c>
      <c r="R661">
        <v>50</v>
      </c>
      <c r="S661">
        <v>4783.3500000000004</v>
      </c>
      <c r="T661">
        <f>Deals_[[#This Row],[Amount]]*Deals_[[#This Row],[Probability_Pct]]</f>
        <v>27720</v>
      </c>
    </row>
    <row r="662" spans="1:20" x14ac:dyDescent="0.2">
      <c r="A662" t="s">
        <v>1210</v>
      </c>
      <c r="B662" s="7">
        <v>46110</v>
      </c>
      <c r="C662" s="7">
        <v>46158</v>
      </c>
      <c r="D662" t="s">
        <v>1211</v>
      </c>
      <c r="E662" t="s">
        <v>62</v>
      </c>
      <c r="F662" t="s">
        <v>22</v>
      </c>
      <c r="G662" t="s">
        <v>23</v>
      </c>
      <c r="H662" t="s">
        <v>98</v>
      </c>
      <c r="I662" t="s">
        <v>35</v>
      </c>
      <c r="J662" t="s">
        <v>85</v>
      </c>
      <c r="K662" t="s">
        <v>78</v>
      </c>
      <c r="L662" t="s">
        <v>28</v>
      </c>
      <c r="M662" s="46">
        <v>25900</v>
      </c>
      <c r="N662">
        <v>8.7999999999999995E-2</v>
      </c>
      <c r="O662">
        <v>0.55000000000000004</v>
      </c>
      <c r="P662" t="s">
        <v>79</v>
      </c>
      <c r="R662">
        <v>48</v>
      </c>
      <c r="S662">
        <v>1969.06</v>
      </c>
      <c r="T662">
        <f>Deals_[[#This Row],[Amount]]*Deals_[[#This Row],[Probability_Pct]]</f>
        <v>14245.000000000002</v>
      </c>
    </row>
    <row r="663" spans="1:20" x14ac:dyDescent="0.2">
      <c r="A663" t="s">
        <v>1212</v>
      </c>
      <c r="B663" s="7">
        <v>46151</v>
      </c>
      <c r="C663" s="7">
        <v>46287</v>
      </c>
      <c r="D663" t="s">
        <v>1213</v>
      </c>
      <c r="E663" t="s">
        <v>68</v>
      </c>
      <c r="F663" t="s">
        <v>22</v>
      </c>
      <c r="G663" t="s">
        <v>63</v>
      </c>
      <c r="H663" t="s">
        <v>98</v>
      </c>
      <c r="I663" t="s">
        <v>35</v>
      </c>
      <c r="J663" t="s">
        <v>43</v>
      </c>
      <c r="K663" t="s">
        <v>88</v>
      </c>
      <c r="L663" t="s">
        <v>28</v>
      </c>
      <c r="M663" s="46">
        <v>82800</v>
      </c>
      <c r="N663">
        <v>0.23300000000000001</v>
      </c>
      <c r="O663">
        <v>0.35</v>
      </c>
      <c r="P663" t="s">
        <v>38</v>
      </c>
      <c r="R663">
        <v>136</v>
      </c>
      <c r="S663">
        <v>5289.76</v>
      </c>
      <c r="T663">
        <f>Deals_[[#This Row],[Amount]]*Deals_[[#This Row],[Probability_Pct]]</f>
        <v>28979.999999999996</v>
      </c>
    </row>
    <row r="664" spans="1:20" x14ac:dyDescent="0.2">
      <c r="A664" t="s">
        <v>1214</v>
      </c>
      <c r="B664" s="7">
        <v>46211</v>
      </c>
      <c r="C664" s="7">
        <v>46311</v>
      </c>
      <c r="D664" t="s">
        <v>1215</v>
      </c>
      <c r="E664" t="s">
        <v>33</v>
      </c>
      <c r="F664" t="s">
        <v>48</v>
      </c>
      <c r="G664" t="s">
        <v>23</v>
      </c>
      <c r="H664" t="s">
        <v>41</v>
      </c>
      <c r="I664" t="s">
        <v>84</v>
      </c>
      <c r="J664" t="s">
        <v>43</v>
      </c>
      <c r="K664" t="s">
        <v>58</v>
      </c>
      <c r="L664" t="s">
        <v>44</v>
      </c>
      <c r="M664" s="46">
        <v>25700</v>
      </c>
      <c r="N664">
        <v>0.105</v>
      </c>
      <c r="O664">
        <v>0.75</v>
      </c>
      <c r="P664" t="s">
        <v>59</v>
      </c>
      <c r="R664">
        <v>100</v>
      </c>
      <c r="S664">
        <v>1917.49</v>
      </c>
      <c r="T664">
        <f>Deals_[[#This Row],[Amount]]*Deals_[[#This Row],[Probability_Pct]]</f>
        <v>19275</v>
      </c>
    </row>
    <row r="665" spans="1:20" x14ac:dyDescent="0.2">
      <c r="A665" t="s">
        <v>1216</v>
      </c>
      <c r="B665" s="7">
        <v>46097</v>
      </c>
      <c r="C665" s="7">
        <v>46125</v>
      </c>
      <c r="D665" t="s">
        <v>1217</v>
      </c>
      <c r="E665" t="s">
        <v>91</v>
      </c>
      <c r="F665" t="s">
        <v>48</v>
      </c>
      <c r="G665" t="s">
        <v>34</v>
      </c>
      <c r="H665" t="s">
        <v>69</v>
      </c>
      <c r="I665" t="s">
        <v>65</v>
      </c>
      <c r="J665" t="s">
        <v>26</v>
      </c>
      <c r="K665" t="s">
        <v>106</v>
      </c>
      <c r="L665" t="s">
        <v>44</v>
      </c>
      <c r="M665" s="46">
        <v>17600</v>
      </c>
      <c r="N665">
        <v>9.9000000000000005E-2</v>
      </c>
      <c r="O665">
        <v>0.15</v>
      </c>
      <c r="P665" t="s">
        <v>38</v>
      </c>
      <c r="R665">
        <v>28</v>
      </c>
      <c r="S665">
        <v>1320.89</v>
      </c>
      <c r="T665">
        <f>Deals_[[#This Row],[Amount]]*Deals_[[#This Row],[Probability_Pct]]</f>
        <v>2640</v>
      </c>
    </row>
    <row r="666" spans="1:20" x14ac:dyDescent="0.2">
      <c r="A666" t="s">
        <v>1218</v>
      </c>
      <c r="B666" s="7">
        <v>46266</v>
      </c>
      <c r="C666" s="7">
        <v>46277</v>
      </c>
      <c r="D666" t="s">
        <v>606</v>
      </c>
      <c r="E666" t="s">
        <v>111</v>
      </c>
      <c r="F666" t="s">
        <v>74</v>
      </c>
      <c r="G666" t="s">
        <v>34</v>
      </c>
      <c r="H666" t="s">
        <v>95</v>
      </c>
      <c r="I666" t="s">
        <v>25</v>
      </c>
      <c r="J666" t="s">
        <v>57</v>
      </c>
      <c r="K666" t="s">
        <v>50</v>
      </c>
      <c r="L666" t="s">
        <v>44</v>
      </c>
      <c r="M666" s="46">
        <v>129500</v>
      </c>
      <c r="N666">
        <v>0.14499999999999999</v>
      </c>
      <c r="O666">
        <v>0.95</v>
      </c>
      <c r="P666" t="s">
        <v>29</v>
      </c>
      <c r="R666">
        <v>11</v>
      </c>
      <c r="S666">
        <v>9224.57</v>
      </c>
      <c r="T666">
        <f>Deals_[[#This Row],[Amount]]*Deals_[[#This Row],[Probability_Pct]]</f>
        <v>123025</v>
      </c>
    </row>
    <row r="667" spans="1:20" x14ac:dyDescent="0.2">
      <c r="A667" t="s">
        <v>1219</v>
      </c>
      <c r="B667" s="7">
        <v>46135</v>
      </c>
      <c r="C667" s="7">
        <v>46192</v>
      </c>
      <c r="D667" t="s">
        <v>1220</v>
      </c>
      <c r="E667" t="s">
        <v>68</v>
      </c>
      <c r="F667" t="s">
        <v>74</v>
      </c>
      <c r="G667" t="s">
        <v>34</v>
      </c>
      <c r="H667" t="s">
        <v>69</v>
      </c>
      <c r="I667" t="s">
        <v>84</v>
      </c>
      <c r="J667" t="s">
        <v>57</v>
      </c>
      <c r="K667" t="s">
        <v>88</v>
      </c>
      <c r="L667" t="s">
        <v>28</v>
      </c>
      <c r="M667" s="46">
        <v>225200</v>
      </c>
      <c r="N667">
        <v>5.0000000000000001E-3</v>
      </c>
      <c r="O667">
        <v>0.35</v>
      </c>
      <c r="P667" t="s">
        <v>38</v>
      </c>
      <c r="R667">
        <v>57</v>
      </c>
      <c r="S667">
        <v>18677.939999999999</v>
      </c>
      <c r="T667">
        <f>Deals_[[#This Row],[Amount]]*Deals_[[#This Row],[Probability_Pct]]</f>
        <v>78820</v>
      </c>
    </row>
    <row r="668" spans="1:20" x14ac:dyDescent="0.2">
      <c r="A668" t="s">
        <v>1221</v>
      </c>
      <c r="B668" s="7">
        <v>45970</v>
      </c>
      <c r="C668" s="7">
        <v>46131</v>
      </c>
      <c r="D668" t="s">
        <v>443</v>
      </c>
      <c r="E668" t="s">
        <v>62</v>
      </c>
      <c r="F668" t="s">
        <v>48</v>
      </c>
      <c r="G668" t="s">
        <v>63</v>
      </c>
      <c r="H668" t="s">
        <v>56</v>
      </c>
      <c r="I668" t="s">
        <v>99</v>
      </c>
      <c r="J668" t="s">
        <v>36</v>
      </c>
      <c r="K668" t="s">
        <v>50</v>
      </c>
      <c r="L668" t="s">
        <v>44</v>
      </c>
      <c r="M668" s="46">
        <v>10500</v>
      </c>
      <c r="N668">
        <v>0.129</v>
      </c>
      <c r="O668">
        <v>0.95</v>
      </c>
      <c r="P668" t="s">
        <v>29</v>
      </c>
      <c r="R668">
        <v>161</v>
      </c>
      <c r="S668">
        <v>761.89</v>
      </c>
      <c r="T668">
        <f>Deals_[[#This Row],[Amount]]*Deals_[[#This Row],[Probability_Pct]]</f>
        <v>9975</v>
      </c>
    </row>
    <row r="669" spans="1:20" x14ac:dyDescent="0.2">
      <c r="A669" t="s">
        <v>1222</v>
      </c>
      <c r="B669" s="7">
        <v>46136</v>
      </c>
      <c r="C669" s="7">
        <v>46260</v>
      </c>
      <c r="D669" t="s">
        <v>1041</v>
      </c>
      <c r="E669" t="s">
        <v>33</v>
      </c>
      <c r="F669" t="s">
        <v>48</v>
      </c>
      <c r="G669" t="s">
        <v>63</v>
      </c>
      <c r="H669" t="s">
        <v>49</v>
      </c>
      <c r="I669" t="s">
        <v>42</v>
      </c>
      <c r="J669" t="s">
        <v>43</v>
      </c>
      <c r="K669" t="s">
        <v>37</v>
      </c>
      <c r="L669" t="s">
        <v>44</v>
      </c>
      <c r="M669" s="46">
        <v>14000</v>
      </c>
      <c r="N669">
        <v>2.5999999999999999E-2</v>
      </c>
      <c r="O669">
        <v>0.1</v>
      </c>
      <c r="P669" t="s">
        <v>38</v>
      </c>
      <c r="R669">
        <v>124</v>
      </c>
      <c r="S669">
        <v>1135.8499999999999</v>
      </c>
      <c r="T669">
        <f>Deals_[[#This Row],[Amount]]*Deals_[[#This Row],[Probability_Pct]]</f>
        <v>1400</v>
      </c>
    </row>
    <row r="670" spans="1:20" x14ac:dyDescent="0.2">
      <c r="A670" t="s">
        <v>1223</v>
      </c>
      <c r="B670" s="7">
        <v>46239</v>
      </c>
      <c r="C670" s="7">
        <v>46325</v>
      </c>
      <c r="D670" t="s">
        <v>1224</v>
      </c>
      <c r="E670" t="s">
        <v>21</v>
      </c>
      <c r="F670" t="s">
        <v>22</v>
      </c>
      <c r="G670" t="s">
        <v>34</v>
      </c>
      <c r="H670" t="s">
        <v>98</v>
      </c>
      <c r="I670" t="s">
        <v>42</v>
      </c>
      <c r="J670" t="s">
        <v>43</v>
      </c>
      <c r="K670" t="s">
        <v>78</v>
      </c>
      <c r="L670" t="s">
        <v>51</v>
      </c>
      <c r="M670" s="46">
        <v>40100</v>
      </c>
      <c r="N670">
        <v>0.13800000000000001</v>
      </c>
      <c r="O670">
        <v>0.55000000000000004</v>
      </c>
      <c r="P670" t="s">
        <v>79</v>
      </c>
      <c r="R670">
        <v>86</v>
      </c>
      <c r="S670">
        <v>2880.59</v>
      </c>
      <c r="T670">
        <f>Deals_[[#This Row],[Amount]]*Deals_[[#This Row],[Probability_Pct]]</f>
        <v>22055</v>
      </c>
    </row>
    <row r="671" spans="1:20" x14ac:dyDescent="0.2">
      <c r="A671" t="s">
        <v>1225</v>
      </c>
      <c r="B671" s="7">
        <v>46113</v>
      </c>
      <c r="C671" s="7">
        <v>46157</v>
      </c>
      <c r="D671" t="s">
        <v>327</v>
      </c>
      <c r="E671" t="s">
        <v>68</v>
      </c>
      <c r="F671" t="s">
        <v>22</v>
      </c>
      <c r="G671" t="s">
        <v>55</v>
      </c>
      <c r="H671" t="s">
        <v>49</v>
      </c>
      <c r="I671" t="s">
        <v>42</v>
      </c>
      <c r="J671" t="s">
        <v>85</v>
      </c>
      <c r="K671" t="s">
        <v>58</v>
      </c>
      <c r="L671" t="s">
        <v>51</v>
      </c>
      <c r="M671" s="46">
        <v>45700</v>
      </c>
      <c r="N671">
        <v>2.8000000000000001E-2</v>
      </c>
      <c r="O671">
        <v>0.75</v>
      </c>
      <c r="P671" t="s">
        <v>59</v>
      </c>
      <c r="R671">
        <v>44</v>
      </c>
      <c r="S671">
        <v>3701.5</v>
      </c>
      <c r="T671">
        <f>Deals_[[#This Row],[Amount]]*Deals_[[#This Row],[Probability_Pct]]</f>
        <v>34275</v>
      </c>
    </row>
    <row r="672" spans="1:20" x14ac:dyDescent="0.2">
      <c r="A672" t="s">
        <v>1226</v>
      </c>
      <c r="B672" s="7">
        <v>46198</v>
      </c>
      <c r="C672" s="7">
        <v>46308</v>
      </c>
      <c r="D672" t="s">
        <v>445</v>
      </c>
      <c r="E672" t="s">
        <v>68</v>
      </c>
      <c r="F672" t="s">
        <v>22</v>
      </c>
      <c r="G672" t="s">
        <v>92</v>
      </c>
      <c r="H672" t="s">
        <v>137</v>
      </c>
      <c r="I672" t="s">
        <v>84</v>
      </c>
      <c r="J672" t="s">
        <v>43</v>
      </c>
      <c r="K672" t="s">
        <v>78</v>
      </c>
      <c r="L672" t="s">
        <v>44</v>
      </c>
      <c r="M672" s="46">
        <v>78100</v>
      </c>
      <c r="N672">
        <v>0.126</v>
      </c>
      <c r="O672">
        <v>0.55000000000000004</v>
      </c>
      <c r="P672" t="s">
        <v>79</v>
      </c>
      <c r="R672">
        <v>110</v>
      </c>
      <c r="S672">
        <v>5685.06</v>
      </c>
      <c r="T672">
        <f>Deals_[[#This Row],[Amount]]*Deals_[[#This Row],[Probability_Pct]]</f>
        <v>42955</v>
      </c>
    </row>
    <row r="673" spans="1:20" x14ac:dyDescent="0.2">
      <c r="A673" t="s">
        <v>1227</v>
      </c>
      <c r="B673" s="7">
        <v>45939</v>
      </c>
      <c r="C673" s="7">
        <v>46008</v>
      </c>
      <c r="D673" t="s">
        <v>1228</v>
      </c>
      <c r="E673" t="s">
        <v>68</v>
      </c>
      <c r="F673" t="s">
        <v>48</v>
      </c>
      <c r="G673" t="s">
        <v>92</v>
      </c>
      <c r="H673" t="s">
        <v>83</v>
      </c>
      <c r="I673" t="s">
        <v>99</v>
      </c>
      <c r="J673" t="s">
        <v>85</v>
      </c>
      <c r="K673" t="s">
        <v>88</v>
      </c>
      <c r="L673" t="s">
        <v>28</v>
      </c>
      <c r="M673" s="46">
        <v>19700</v>
      </c>
      <c r="N673">
        <v>0.254</v>
      </c>
      <c r="O673">
        <v>0.35</v>
      </c>
      <c r="P673" t="s">
        <v>38</v>
      </c>
      <c r="R673">
        <v>69</v>
      </c>
      <c r="S673">
        <v>1223.95</v>
      </c>
      <c r="T673">
        <f>Deals_[[#This Row],[Amount]]*Deals_[[#This Row],[Probability_Pct]]</f>
        <v>6895</v>
      </c>
    </row>
    <row r="674" spans="1:20" x14ac:dyDescent="0.2">
      <c r="A674" t="s">
        <v>1229</v>
      </c>
      <c r="B674" s="7">
        <v>46254</v>
      </c>
      <c r="C674" s="7">
        <v>46304</v>
      </c>
      <c r="D674" t="s">
        <v>1230</v>
      </c>
      <c r="E674" t="s">
        <v>33</v>
      </c>
      <c r="F674" t="s">
        <v>22</v>
      </c>
      <c r="G674" t="s">
        <v>63</v>
      </c>
      <c r="H674" t="s">
        <v>49</v>
      </c>
      <c r="I674" t="s">
        <v>65</v>
      </c>
      <c r="J674" t="s">
        <v>85</v>
      </c>
      <c r="K674" t="s">
        <v>37</v>
      </c>
      <c r="L674" t="s">
        <v>44</v>
      </c>
      <c r="M674" s="46">
        <v>89500</v>
      </c>
      <c r="N674">
        <v>7.6999999999999999E-2</v>
      </c>
      <c r="O674">
        <v>0.15</v>
      </c>
      <c r="P674" t="s">
        <v>38</v>
      </c>
      <c r="R674">
        <v>50</v>
      </c>
      <c r="S674">
        <v>6885.86</v>
      </c>
      <c r="T674">
        <f>Deals_[[#This Row],[Amount]]*Deals_[[#This Row],[Probability_Pct]]</f>
        <v>13425</v>
      </c>
    </row>
    <row r="675" spans="1:20" x14ac:dyDescent="0.2">
      <c r="A675" t="s">
        <v>1231</v>
      </c>
      <c r="B675" s="7">
        <v>45934</v>
      </c>
      <c r="C675" s="7">
        <v>46019</v>
      </c>
      <c r="D675" t="s">
        <v>982</v>
      </c>
      <c r="E675" t="s">
        <v>33</v>
      </c>
      <c r="F675" t="s">
        <v>48</v>
      </c>
      <c r="G675" t="s">
        <v>34</v>
      </c>
      <c r="H675" t="s">
        <v>77</v>
      </c>
      <c r="I675" t="s">
        <v>25</v>
      </c>
      <c r="J675" t="s">
        <v>85</v>
      </c>
      <c r="K675" t="s">
        <v>27</v>
      </c>
      <c r="L675" t="s">
        <v>51</v>
      </c>
      <c r="M675" s="46">
        <v>27300</v>
      </c>
      <c r="N675">
        <v>3.1E-2</v>
      </c>
      <c r="O675">
        <v>0</v>
      </c>
      <c r="P675" t="s">
        <v>29</v>
      </c>
      <c r="Q675" t="s">
        <v>126</v>
      </c>
      <c r="R675">
        <v>85</v>
      </c>
      <c r="S675">
        <v>2203.5100000000002</v>
      </c>
      <c r="T675">
        <f>Deals_[[#This Row],[Amount]]*Deals_[[#This Row],[Probability_Pct]]</f>
        <v>0</v>
      </c>
    </row>
    <row r="676" spans="1:20" x14ac:dyDescent="0.2">
      <c r="A676" t="s">
        <v>1232</v>
      </c>
      <c r="B676" s="7">
        <v>46254</v>
      </c>
      <c r="C676" s="7">
        <v>46329</v>
      </c>
      <c r="D676" t="s">
        <v>1233</v>
      </c>
      <c r="E676" t="s">
        <v>62</v>
      </c>
      <c r="F676" t="s">
        <v>48</v>
      </c>
      <c r="G676" t="s">
        <v>23</v>
      </c>
      <c r="H676" t="s">
        <v>77</v>
      </c>
      <c r="I676" t="s">
        <v>35</v>
      </c>
      <c r="J676" t="s">
        <v>43</v>
      </c>
      <c r="K676" t="s">
        <v>37</v>
      </c>
      <c r="L676" t="s">
        <v>44</v>
      </c>
      <c r="M676" s="46">
        <v>11800</v>
      </c>
      <c r="N676">
        <v>4.1000000000000002E-2</v>
      </c>
      <c r="O676">
        <v>0.05</v>
      </c>
      <c r="P676" t="s">
        <v>38</v>
      </c>
      <c r="R676">
        <v>75</v>
      </c>
      <c r="S676">
        <v>943.14</v>
      </c>
      <c r="T676">
        <f>Deals_[[#This Row],[Amount]]*Deals_[[#This Row],[Probability_Pct]]</f>
        <v>590</v>
      </c>
    </row>
    <row r="677" spans="1:20" x14ac:dyDescent="0.2">
      <c r="A677" t="s">
        <v>1234</v>
      </c>
      <c r="B677" s="7">
        <v>46130</v>
      </c>
      <c r="C677" s="7">
        <v>46251</v>
      </c>
      <c r="D677" t="s">
        <v>1235</v>
      </c>
      <c r="E677" t="s">
        <v>62</v>
      </c>
      <c r="F677" t="s">
        <v>22</v>
      </c>
      <c r="G677" t="s">
        <v>34</v>
      </c>
      <c r="H677" t="s">
        <v>41</v>
      </c>
      <c r="I677" t="s">
        <v>84</v>
      </c>
      <c r="J677" t="s">
        <v>26</v>
      </c>
      <c r="K677" t="s">
        <v>78</v>
      </c>
      <c r="L677" t="s">
        <v>28</v>
      </c>
      <c r="M677" s="46">
        <v>95000</v>
      </c>
      <c r="N677">
        <v>0.14799999999999999</v>
      </c>
      <c r="O677">
        <v>0.55000000000000004</v>
      </c>
      <c r="P677" t="s">
        <v>79</v>
      </c>
      <c r="R677">
        <v>121</v>
      </c>
      <c r="S677">
        <v>6747.18</v>
      </c>
      <c r="T677">
        <f>Deals_[[#This Row],[Amount]]*Deals_[[#This Row],[Probability_Pct]]</f>
        <v>52250.000000000007</v>
      </c>
    </row>
    <row r="678" spans="1:20" x14ac:dyDescent="0.2">
      <c r="A678" t="s">
        <v>1236</v>
      </c>
      <c r="B678" s="7">
        <v>46257</v>
      </c>
      <c r="C678" s="7">
        <v>46334</v>
      </c>
      <c r="D678" t="s">
        <v>1237</v>
      </c>
      <c r="E678" t="s">
        <v>21</v>
      </c>
      <c r="F678" t="s">
        <v>22</v>
      </c>
      <c r="G678" t="s">
        <v>23</v>
      </c>
      <c r="H678" t="s">
        <v>49</v>
      </c>
      <c r="I678" t="s">
        <v>42</v>
      </c>
      <c r="J678" t="s">
        <v>85</v>
      </c>
      <c r="K678" t="s">
        <v>88</v>
      </c>
      <c r="L678" t="s">
        <v>44</v>
      </c>
      <c r="M678" s="46">
        <v>95700</v>
      </c>
      <c r="N678">
        <v>0.157</v>
      </c>
      <c r="O678">
        <v>0.35</v>
      </c>
      <c r="P678" t="s">
        <v>38</v>
      </c>
      <c r="R678">
        <v>77</v>
      </c>
      <c r="S678">
        <v>6721.52</v>
      </c>
      <c r="T678">
        <f>Deals_[[#This Row],[Amount]]*Deals_[[#This Row],[Probability_Pct]]</f>
        <v>33495</v>
      </c>
    </row>
    <row r="679" spans="1:20" x14ac:dyDescent="0.2">
      <c r="A679" t="s">
        <v>1238</v>
      </c>
      <c r="B679" s="7">
        <v>46162</v>
      </c>
      <c r="C679" s="7">
        <v>46245</v>
      </c>
      <c r="D679" t="s">
        <v>1239</v>
      </c>
      <c r="E679" t="s">
        <v>33</v>
      </c>
      <c r="F679" t="s">
        <v>22</v>
      </c>
      <c r="G679" t="s">
        <v>23</v>
      </c>
      <c r="H679" t="s">
        <v>41</v>
      </c>
      <c r="I679" t="s">
        <v>35</v>
      </c>
      <c r="J679" t="s">
        <v>43</v>
      </c>
      <c r="K679" t="s">
        <v>78</v>
      </c>
      <c r="L679" t="s">
        <v>51</v>
      </c>
      <c r="M679" s="46">
        <v>53900</v>
      </c>
      <c r="N679">
        <v>0.17299999999999999</v>
      </c>
      <c r="O679">
        <v>0.55000000000000004</v>
      </c>
      <c r="P679" t="s">
        <v>79</v>
      </c>
      <c r="R679">
        <v>83</v>
      </c>
      <c r="S679">
        <v>3712.5</v>
      </c>
      <c r="T679">
        <f>Deals_[[#This Row],[Amount]]*Deals_[[#This Row],[Probability_Pct]]</f>
        <v>29645.000000000004</v>
      </c>
    </row>
    <row r="680" spans="1:20" x14ac:dyDescent="0.2">
      <c r="A680" t="s">
        <v>1240</v>
      </c>
      <c r="B680" s="7">
        <v>46061</v>
      </c>
      <c r="C680" s="7">
        <v>46194</v>
      </c>
      <c r="D680" t="s">
        <v>1241</v>
      </c>
      <c r="E680" t="s">
        <v>91</v>
      </c>
      <c r="F680" t="s">
        <v>48</v>
      </c>
      <c r="G680" t="s">
        <v>63</v>
      </c>
      <c r="H680" t="s">
        <v>69</v>
      </c>
      <c r="I680" t="s">
        <v>84</v>
      </c>
      <c r="J680" t="s">
        <v>57</v>
      </c>
      <c r="K680" t="s">
        <v>27</v>
      </c>
      <c r="L680" t="s">
        <v>44</v>
      </c>
      <c r="M680" s="46">
        <v>15100</v>
      </c>
      <c r="N680">
        <v>0.14599999999999999</v>
      </c>
      <c r="O680">
        <v>0</v>
      </c>
      <c r="P680" t="s">
        <v>29</v>
      </c>
      <c r="Q680" t="s">
        <v>30</v>
      </c>
      <c r="R680">
        <v>133</v>
      </c>
      <c r="S680">
        <v>1075.19</v>
      </c>
      <c r="T680">
        <f>Deals_[[#This Row],[Amount]]*Deals_[[#This Row],[Probability_Pct]]</f>
        <v>0</v>
      </c>
    </row>
    <row r="681" spans="1:20" x14ac:dyDescent="0.2">
      <c r="A681" t="s">
        <v>1242</v>
      </c>
      <c r="B681" s="7">
        <v>46160</v>
      </c>
      <c r="C681" s="7">
        <v>46213</v>
      </c>
      <c r="D681" t="s">
        <v>47</v>
      </c>
      <c r="E681" t="s">
        <v>91</v>
      </c>
      <c r="F681" t="s">
        <v>22</v>
      </c>
      <c r="G681" t="s">
        <v>63</v>
      </c>
      <c r="H681" t="s">
        <v>49</v>
      </c>
      <c r="I681" t="s">
        <v>84</v>
      </c>
      <c r="J681" t="s">
        <v>85</v>
      </c>
      <c r="K681" t="s">
        <v>50</v>
      </c>
      <c r="L681" t="s">
        <v>51</v>
      </c>
      <c r="M681" s="46">
        <v>89500</v>
      </c>
      <c r="N681">
        <v>9.0999999999999998E-2</v>
      </c>
      <c r="O681">
        <v>1</v>
      </c>
      <c r="P681" t="s">
        <v>29</v>
      </c>
      <c r="R681">
        <v>53</v>
      </c>
      <c r="S681">
        <v>6777.56</v>
      </c>
      <c r="T681">
        <f>Deals_[[#This Row],[Amount]]*Deals_[[#This Row],[Probability_Pct]]</f>
        <v>89500</v>
      </c>
    </row>
    <row r="682" spans="1:20" x14ac:dyDescent="0.2">
      <c r="A682" t="s">
        <v>1243</v>
      </c>
      <c r="B682" s="7">
        <v>46190</v>
      </c>
      <c r="C682" s="7">
        <v>46293</v>
      </c>
      <c r="D682" t="s">
        <v>1244</v>
      </c>
      <c r="E682" t="s">
        <v>62</v>
      </c>
      <c r="F682" t="s">
        <v>48</v>
      </c>
      <c r="G682" t="s">
        <v>63</v>
      </c>
      <c r="H682" t="s">
        <v>41</v>
      </c>
      <c r="I682" t="s">
        <v>99</v>
      </c>
      <c r="J682" t="s">
        <v>26</v>
      </c>
      <c r="K682" t="s">
        <v>58</v>
      </c>
      <c r="L682" t="s">
        <v>51</v>
      </c>
      <c r="M682" s="46">
        <v>24600</v>
      </c>
      <c r="N682">
        <v>7.1999999999999995E-2</v>
      </c>
      <c r="O682">
        <v>0.7</v>
      </c>
      <c r="P682" t="s">
        <v>59</v>
      </c>
      <c r="R682">
        <v>103</v>
      </c>
      <c r="S682">
        <v>1903.07</v>
      </c>
      <c r="T682">
        <f>Deals_[[#This Row],[Amount]]*Deals_[[#This Row],[Probability_Pct]]</f>
        <v>17220</v>
      </c>
    </row>
    <row r="683" spans="1:20" x14ac:dyDescent="0.2">
      <c r="A683" t="s">
        <v>1245</v>
      </c>
      <c r="B683" s="7">
        <v>46198</v>
      </c>
      <c r="C683" s="7">
        <v>46299</v>
      </c>
      <c r="D683" t="s">
        <v>1246</v>
      </c>
      <c r="E683" t="s">
        <v>82</v>
      </c>
      <c r="F683" t="s">
        <v>48</v>
      </c>
      <c r="G683" t="s">
        <v>55</v>
      </c>
      <c r="H683" t="s">
        <v>41</v>
      </c>
      <c r="I683" t="s">
        <v>84</v>
      </c>
      <c r="J683" t="s">
        <v>26</v>
      </c>
      <c r="K683" t="s">
        <v>78</v>
      </c>
      <c r="L683" t="s">
        <v>44</v>
      </c>
      <c r="M683" s="46">
        <v>14600</v>
      </c>
      <c r="N683">
        <v>0.21299999999999999</v>
      </c>
      <c r="O683">
        <v>0.6</v>
      </c>
      <c r="P683" t="s">
        <v>79</v>
      </c>
      <c r="R683">
        <v>101</v>
      </c>
      <c r="S683">
        <v>957.57</v>
      </c>
      <c r="T683">
        <f>Deals_[[#This Row],[Amount]]*Deals_[[#This Row],[Probability_Pct]]</f>
        <v>8760</v>
      </c>
    </row>
    <row r="684" spans="1:20" x14ac:dyDescent="0.2">
      <c r="A684" t="s">
        <v>1247</v>
      </c>
      <c r="B684" s="7">
        <v>46111</v>
      </c>
      <c r="C684" s="7">
        <v>46151</v>
      </c>
      <c r="D684" t="s">
        <v>974</v>
      </c>
      <c r="E684" t="s">
        <v>111</v>
      </c>
      <c r="F684" t="s">
        <v>22</v>
      </c>
      <c r="G684" t="s">
        <v>92</v>
      </c>
      <c r="H684" t="s">
        <v>64</v>
      </c>
      <c r="I684" t="s">
        <v>65</v>
      </c>
      <c r="J684" t="s">
        <v>43</v>
      </c>
      <c r="K684" t="s">
        <v>78</v>
      </c>
      <c r="L684" t="s">
        <v>44</v>
      </c>
      <c r="M684" s="46">
        <v>50200</v>
      </c>
      <c r="N684">
        <v>9.9000000000000005E-2</v>
      </c>
      <c r="O684">
        <v>0.6</v>
      </c>
      <c r="P684" t="s">
        <v>79</v>
      </c>
      <c r="R684">
        <v>40</v>
      </c>
      <c r="S684">
        <v>3770</v>
      </c>
      <c r="T684">
        <f>Deals_[[#This Row],[Amount]]*Deals_[[#This Row],[Probability_Pct]]</f>
        <v>30120</v>
      </c>
    </row>
    <row r="685" spans="1:20" x14ac:dyDescent="0.2">
      <c r="A685" t="s">
        <v>1248</v>
      </c>
      <c r="B685" s="7">
        <v>46238</v>
      </c>
      <c r="C685" s="7">
        <v>46273</v>
      </c>
      <c r="D685" t="s">
        <v>1249</v>
      </c>
      <c r="E685" t="s">
        <v>33</v>
      </c>
      <c r="F685" t="s">
        <v>48</v>
      </c>
      <c r="G685" t="s">
        <v>55</v>
      </c>
      <c r="H685" t="s">
        <v>49</v>
      </c>
      <c r="I685" t="s">
        <v>99</v>
      </c>
      <c r="J685" t="s">
        <v>26</v>
      </c>
      <c r="K685" t="s">
        <v>78</v>
      </c>
      <c r="L685" t="s">
        <v>28</v>
      </c>
      <c r="M685" s="46">
        <v>29300</v>
      </c>
      <c r="N685">
        <v>7.0999999999999994E-2</v>
      </c>
      <c r="O685">
        <v>0.55000000000000004</v>
      </c>
      <c r="P685" t="s">
        <v>79</v>
      </c>
      <c r="R685">
        <v>35</v>
      </c>
      <c r="S685">
        <v>2267.9</v>
      </c>
      <c r="T685">
        <f>Deals_[[#This Row],[Amount]]*Deals_[[#This Row],[Probability_Pct]]</f>
        <v>16115.000000000002</v>
      </c>
    </row>
    <row r="686" spans="1:20" x14ac:dyDescent="0.2">
      <c r="A686" t="s">
        <v>1250</v>
      </c>
      <c r="B686" s="7">
        <v>46091</v>
      </c>
      <c r="C686" s="7">
        <v>46238</v>
      </c>
      <c r="D686" t="s">
        <v>1251</v>
      </c>
      <c r="E686" t="s">
        <v>21</v>
      </c>
      <c r="F686" t="s">
        <v>48</v>
      </c>
      <c r="G686" t="s">
        <v>23</v>
      </c>
      <c r="H686" t="s">
        <v>41</v>
      </c>
      <c r="I686" t="s">
        <v>84</v>
      </c>
      <c r="J686" t="s">
        <v>85</v>
      </c>
      <c r="K686" t="s">
        <v>58</v>
      </c>
      <c r="L686" t="s">
        <v>51</v>
      </c>
      <c r="M686" s="46">
        <v>17800</v>
      </c>
      <c r="N686">
        <v>0.152</v>
      </c>
      <c r="O686">
        <v>0.8</v>
      </c>
      <c r="P686" t="s">
        <v>59</v>
      </c>
      <c r="R686">
        <v>147</v>
      </c>
      <c r="S686">
        <v>1258.53</v>
      </c>
      <c r="T686">
        <f>Deals_[[#This Row],[Amount]]*Deals_[[#This Row],[Probability_Pct]]</f>
        <v>14240</v>
      </c>
    </row>
    <row r="687" spans="1:20" x14ac:dyDescent="0.2">
      <c r="A687" t="s">
        <v>1252</v>
      </c>
      <c r="B687" s="7">
        <v>45960</v>
      </c>
      <c r="C687" s="7">
        <v>46077</v>
      </c>
      <c r="D687" t="s">
        <v>457</v>
      </c>
      <c r="E687" t="s">
        <v>62</v>
      </c>
      <c r="F687" t="s">
        <v>48</v>
      </c>
      <c r="G687" t="s">
        <v>23</v>
      </c>
      <c r="H687" t="s">
        <v>41</v>
      </c>
      <c r="I687" t="s">
        <v>35</v>
      </c>
      <c r="J687" t="s">
        <v>85</v>
      </c>
      <c r="K687" t="s">
        <v>106</v>
      </c>
      <c r="L687" t="s">
        <v>28</v>
      </c>
      <c r="M687" s="46">
        <v>8300</v>
      </c>
      <c r="N687">
        <v>5.0000000000000001E-3</v>
      </c>
      <c r="O687">
        <v>0.25</v>
      </c>
      <c r="P687" t="s">
        <v>38</v>
      </c>
      <c r="R687">
        <v>117</v>
      </c>
      <c r="S687">
        <v>688.26</v>
      </c>
      <c r="T687">
        <f>Deals_[[#This Row],[Amount]]*Deals_[[#This Row],[Probability_Pct]]</f>
        <v>2075</v>
      </c>
    </row>
    <row r="688" spans="1:20" x14ac:dyDescent="0.2">
      <c r="A688" t="s">
        <v>1253</v>
      </c>
      <c r="B688" s="7">
        <v>46046</v>
      </c>
      <c r="C688" s="7">
        <v>46194</v>
      </c>
      <c r="D688" t="s">
        <v>370</v>
      </c>
      <c r="E688" t="s">
        <v>62</v>
      </c>
      <c r="F688" t="s">
        <v>48</v>
      </c>
      <c r="G688" t="s">
        <v>23</v>
      </c>
      <c r="H688" t="s">
        <v>98</v>
      </c>
      <c r="I688" t="s">
        <v>25</v>
      </c>
      <c r="J688" t="s">
        <v>36</v>
      </c>
      <c r="K688" t="s">
        <v>50</v>
      </c>
      <c r="L688" t="s">
        <v>44</v>
      </c>
      <c r="M688" s="46">
        <v>21900</v>
      </c>
      <c r="N688">
        <v>9.5000000000000001E-2</v>
      </c>
      <c r="O688">
        <v>0.95</v>
      </c>
      <c r="P688" t="s">
        <v>29</v>
      </c>
      <c r="R688">
        <v>148</v>
      </c>
      <c r="S688">
        <v>1652.42</v>
      </c>
      <c r="T688">
        <f>Deals_[[#This Row],[Amount]]*Deals_[[#This Row],[Probability_Pct]]</f>
        <v>20805</v>
      </c>
    </row>
    <row r="689" spans="1:20" x14ac:dyDescent="0.2">
      <c r="A689" t="s">
        <v>1254</v>
      </c>
      <c r="B689" s="7">
        <v>46132</v>
      </c>
      <c r="C689" s="7">
        <v>46240</v>
      </c>
      <c r="D689" t="s">
        <v>110</v>
      </c>
      <c r="E689" t="s">
        <v>91</v>
      </c>
      <c r="F689" t="s">
        <v>48</v>
      </c>
      <c r="G689" t="s">
        <v>34</v>
      </c>
      <c r="H689" t="s">
        <v>49</v>
      </c>
      <c r="I689" t="s">
        <v>35</v>
      </c>
      <c r="J689" t="s">
        <v>85</v>
      </c>
      <c r="K689" t="s">
        <v>58</v>
      </c>
      <c r="L689" t="s">
        <v>28</v>
      </c>
      <c r="M689" s="46">
        <v>12500</v>
      </c>
      <c r="N689">
        <v>8.7999999999999995E-2</v>
      </c>
      <c r="O689">
        <v>0.75</v>
      </c>
      <c r="P689" t="s">
        <v>59</v>
      </c>
      <c r="R689">
        <v>108</v>
      </c>
      <c r="S689">
        <v>949.5</v>
      </c>
      <c r="T689">
        <f>Deals_[[#This Row],[Amount]]*Deals_[[#This Row],[Probability_Pct]]</f>
        <v>9375</v>
      </c>
    </row>
    <row r="690" spans="1:20" x14ac:dyDescent="0.2">
      <c r="A690" t="s">
        <v>1255</v>
      </c>
      <c r="B690" s="7">
        <v>46055</v>
      </c>
      <c r="C690" s="7">
        <v>46180</v>
      </c>
      <c r="D690" t="s">
        <v>1088</v>
      </c>
      <c r="E690" t="s">
        <v>54</v>
      </c>
      <c r="F690" t="s">
        <v>74</v>
      </c>
      <c r="G690" t="s">
        <v>63</v>
      </c>
      <c r="H690" t="s">
        <v>120</v>
      </c>
      <c r="I690" t="s">
        <v>84</v>
      </c>
      <c r="J690" t="s">
        <v>43</v>
      </c>
      <c r="K690" t="s">
        <v>27</v>
      </c>
      <c r="L690" t="s">
        <v>51</v>
      </c>
      <c r="M690" s="46">
        <v>347300</v>
      </c>
      <c r="N690">
        <v>0.11700000000000001</v>
      </c>
      <c r="O690">
        <v>0</v>
      </c>
      <c r="P690" t="s">
        <v>29</v>
      </c>
      <c r="Q690" t="s">
        <v>126</v>
      </c>
      <c r="R690">
        <v>125</v>
      </c>
      <c r="S690">
        <v>25544.58</v>
      </c>
      <c r="T690">
        <f>Deals_[[#This Row],[Amount]]*Deals_[[#This Row],[Probability_Pct]]</f>
        <v>0</v>
      </c>
    </row>
    <row r="691" spans="1:20" x14ac:dyDescent="0.2">
      <c r="A691" t="s">
        <v>1256</v>
      </c>
      <c r="B691" s="7">
        <v>46254</v>
      </c>
      <c r="C691" s="7">
        <v>46294</v>
      </c>
      <c r="D691" t="s">
        <v>1257</v>
      </c>
      <c r="E691" t="s">
        <v>33</v>
      </c>
      <c r="F691" t="s">
        <v>48</v>
      </c>
      <c r="G691" t="s">
        <v>34</v>
      </c>
      <c r="H691" t="s">
        <v>49</v>
      </c>
      <c r="I691" t="s">
        <v>99</v>
      </c>
      <c r="J691" t="s">
        <v>57</v>
      </c>
      <c r="K691" t="s">
        <v>37</v>
      </c>
      <c r="L691" t="s">
        <v>28</v>
      </c>
      <c r="M691" s="46">
        <v>28200</v>
      </c>
      <c r="N691">
        <v>6.5000000000000002E-2</v>
      </c>
      <c r="O691">
        <v>0.15</v>
      </c>
      <c r="P691" t="s">
        <v>38</v>
      </c>
      <c r="R691">
        <v>40</v>
      </c>
      <c r="S691">
        <v>2196.81</v>
      </c>
      <c r="T691">
        <f>Deals_[[#This Row],[Amount]]*Deals_[[#This Row],[Probability_Pct]]</f>
        <v>4230</v>
      </c>
    </row>
    <row r="692" spans="1:20" x14ac:dyDescent="0.2">
      <c r="A692" t="s">
        <v>1258</v>
      </c>
      <c r="B692" s="7">
        <v>46254</v>
      </c>
      <c r="C692" s="7">
        <v>46329</v>
      </c>
      <c r="D692" t="s">
        <v>1116</v>
      </c>
      <c r="E692" t="s">
        <v>68</v>
      </c>
      <c r="F692" t="s">
        <v>48</v>
      </c>
      <c r="G692" t="s">
        <v>23</v>
      </c>
      <c r="H692" t="s">
        <v>83</v>
      </c>
      <c r="I692" t="s">
        <v>65</v>
      </c>
      <c r="J692" t="s">
        <v>43</v>
      </c>
      <c r="K692" t="s">
        <v>37</v>
      </c>
      <c r="L692" t="s">
        <v>28</v>
      </c>
      <c r="M692" s="46">
        <v>16400</v>
      </c>
      <c r="N692">
        <v>0.14499999999999999</v>
      </c>
      <c r="O692">
        <v>0.05</v>
      </c>
      <c r="P692" t="s">
        <v>38</v>
      </c>
      <c r="R692">
        <v>75</v>
      </c>
      <c r="S692">
        <v>1168.5999999999999</v>
      </c>
      <c r="T692">
        <f>Deals_[[#This Row],[Amount]]*Deals_[[#This Row],[Probability_Pct]]</f>
        <v>820</v>
      </c>
    </row>
    <row r="693" spans="1:20" x14ac:dyDescent="0.2">
      <c r="A693" t="s">
        <v>1259</v>
      </c>
      <c r="B693" s="7">
        <v>45942</v>
      </c>
      <c r="C693" s="7">
        <v>46067</v>
      </c>
      <c r="D693" t="s">
        <v>1260</v>
      </c>
      <c r="E693" t="s">
        <v>111</v>
      </c>
      <c r="F693" t="s">
        <v>48</v>
      </c>
      <c r="G693" t="s">
        <v>34</v>
      </c>
      <c r="H693" t="s">
        <v>41</v>
      </c>
      <c r="I693" t="s">
        <v>84</v>
      </c>
      <c r="J693" t="s">
        <v>36</v>
      </c>
      <c r="K693" t="s">
        <v>37</v>
      </c>
      <c r="L693" t="s">
        <v>28</v>
      </c>
      <c r="M693" s="46">
        <v>29900</v>
      </c>
      <c r="N693">
        <v>5.3999999999999999E-2</v>
      </c>
      <c r="O693">
        <v>0.1</v>
      </c>
      <c r="P693" t="s">
        <v>38</v>
      </c>
      <c r="R693">
        <v>125</v>
      </c>
      <c r="S693">
        <v>2358.23</v>
      </c>
      <c r="T693">
        <f>Deals_[[#This Row],[Amount]]*Deals_[[#This Row],[Probability_Pct]]</f>
        <v>2990</v>
      </c>
    </row>
    <row r="694" spans="1:20" x14ac:dyDescent="0.2">
      <c r="A694" t="s">
        <v>1261</v>
      </c>
      <c r="B694" s="7">
        <v>45942</v>
      </c>
      <c r="C694" s="7">
        <v>45995</v>
      </c>
      <c r="D694" t="s">
        <v>581</v>
      </c>
      <c r="E694" t="s">
        <v>62</v>
      </c>
      <c r="F694" t="s">
        <v>48</v>
      </c>
      <c r="G694" t="s">
        <v>92</v>
      </c>
      <c r="H694" t="s">
        <v>49</v>
      </c>
      <c r="I694" t="s">
        <v>42</v>
      </c>
      <c r="J694" t="s">
        <v>26</v>
      </c>
      <c r="K694" t="s">
        <v>37</v>
      </c>
      <c r="L694" t="s">
        <v>51</v>
      </c>
      <c r="M694" s="46">
        <v>23000</v>
      </c>
      <c r="N694">
        <v>6.3E-2</v>
      </c>
      <c r="O694">
        <v>0.1</v>
      </c>
      <c r="P694" t="s">
        <v>38</v>
      </c>
      <c r="R694">
        <v>53</v>
      </c>
      <c r="S694">
        <v>1795.17</v>
      </c>
      <c r="T694">
        <f>Deals_[[#This Row],[Amount]]*Deals_[[#This Row],[Probability_Pct]]</f>
        <v>2300</v>
      </c>
    </row>
    <row r="695" spans="1:20" x14ac:dyDescent="0.2">
      <c r="A695" t="s">
        <v>1262</v>
      </c>
      <c r="B695" s="7">
        <v>46247</v>
      </c>
      <c r="C695" s="7">
        <v>46310</v>
      </c>
      <c r="D695" t="s">
        <v>1263</v>
      </c>
      <c r="E695" t="s">
        <v>111</v>
      </c>
      <c r="F695" t="s">
        <v>48</v>
      </c>
      <c r="G695" t="s">
        <v>92</v>
      </c>
      <c r="H695" t="s">
        <v>137</v>
      </c>
      <c r="I695" t="s">
        <v>84</v>
      </c>
      <c r="J695" t="s">
        <v>26</v>
      </c>
      <c r="K695" t="s">
        <v>88</v>
      </c>
      <c r="L695" t="s">
        <v>44</v>
      </c>
      <c r="M695" s="46">
        <v>22200</v>
      </c>
      <c r="N695">
        <v>0.129</v>
      </c>
      <c r="O695">
        <v>0.35</v>
      </c>
      <c r="P695" t="s">
        <v>38</v>
      </c>
      <c r="R695">
        <v>63</v>
      </c>
      <c r="S695">
        <v>1610.75</v>
      </c>
      <c r="T695">
        <f>Deals_[[#This Row],[Amount]]*Deals_[[#This Row],[Probability_Pct]]</f>
        <v>7769.9999999999991</v>
      </c>
    </row>
    <row r="696" spans="1:20" x14ac:dyDescent="0.2">
      <c r="A696" t="s">
        <v>1264</v>
      </c>
      <c r="B696" s="7">
        <v>46065</v>
      </c>
      <c r="C696" s="7">
        <v>46097</v>
      </c>
      <c r="D696" t="s">
        <v>105</v>
      </c>
      <c r="E696" t="s">
        <v>62</v>
      </c>
      <c r="F696" t="s">
        <v>22</v>
      </c>
      <c r="G696" t="s">
        <v>63</v>
      </c>
      <c r="H696" t="s">
        <v>95</v>
      </c>
      <c r="I696" t="s">
        <v>99</v>
      </c>
      <c r="J696" t="s">
        <v>26</v>
      </c>
      <c r="K696" t="s">
        <v>78</v>
      </c>
      <c r="L696" t="s">
        <v>44</v>
      </c>
      <c r="M696" s="46">
        <v>93900</v>
      </c>
      <c r="N696">
        <v>7.6999999999999999E-2</v>
      </c>
      <c r="O696">
        <v>0.55000000000000004</v>
      </c>
      <c r="P696" t="s">
        <v>79</v>
      </c>
      <c r="R696">
        <v>32</v>
      </c>
      <c r="S696">
        <v>7220.67</v>
      </c>
      <c r="T696">
        <f>Deals_[[#This Row],[Amount]]*Deals_[[#This Row],[Probability_Pct]]</f>
        <v>51645.000000000007</v>
      </c>
    </row>
    <row r="697" spans="1:20" x14ac:dyDescent="0.2">
      <c r="A697" t="s">
        <v>1265</v>
      </c>
      <c r="B697" s="7">
        <v>46171</v>
      </c>
      <c r="C697" s="7">
        <v>46213</v>
      </c>
      <c r="D697" t="s">
        <v>1266</v>
      </c>
      <c r="E697" t="s">
        <v>21</v>
      </c>
      <c r="F697" t="s">
        <v>22</v>
      </c>
      <c r="G697" t="s">
        <v>55</v>
      </c>
      <c r="H697" t="s">
        <v>56</v>
      </c>
      <c r="I697" t="s">
        <v>42</v>
      </c>
      <c r="J697" t="s">
        <v>85</v>
      </c>
      <c r="K697" t="s">
        <v>88</v>
      </c>
      <c r="L697" t="s">
        <v>51</v>
      </c>
      <c r="M697" s="46">
        <v>82200</v>
      </c>
      <c r="N697">
        <v>0.31</v>
      </c>
      <c r="O697">
        <v>0.35</v>
      </c>
      <c r="P697" t="s">
        <v>38</v>
      </c>
      <c r="R697">
        <v>42</v>
      </c>
      <c r="S697">
        <v>4724.87</v>
      </c>
      <c r="T697">
        <f>Deals_[[#This Row],[Amount]]*Deals_[[#This Row],[Probability_Pct]]</f>
        <v>28769.999999999996</v>
      </c>
    </row>
    <row r="698" spans="1:20" x14ac:dyDescent="0.2">
      <c r="A698" t="s">
        <v>1267</v>
      </c>
      <c r="B698" s="7">
        <v>46185</v>
      </c>
      <c r="C698" s="7">
        <v>46242</v>
      </c>
      <c r="D698" t="s">
        <v>1268</v>
      </c>
      <c r="E698" t="s">
        <v>62</v>
      </c>
      <c r="F698" t="s">
        <v>48</v>
      </c>
      <c r="G698" t="s">
        <v>92</v>
      </c>
      <c r="H698" t="s">
        <v>41</v>
      </c>
      <c r="I698" t="s">
        <v>42</v>
      </c>
      <c r="J698" t="s">
        <v>85</v>
      </c>
      <c r="K698" t="s">
        <v>37</v>
      </c>
      <c r="L698" t="s">
        <v>51</v>
      </c>
      <c r="M698" s="46">
        <v>11000</v>
      </c>
      <c r="N698">
        <v>0.152</v>
      </c>
      <c r="O698">
        <v>0.1</v>
      </c>
      <c r="P698" t="s">
        <v>38</v>
      </c>
      <c r="R698">
        <v>57</v>
      </c>
      <c r="S698">
        <v>776.9</v>
      </c>
      <c r="T698">
        <f>Deals_[[#This Row],[Amount]]*Deals_[[#This Row],[Probability_Pct]]</f>
        <v>1100</v>
      </c>
    </row>
    <row r="699" spans="1:20" x14ac:dyDescent="0.2">
      <c r="A699" t="s">
        <v>1269</v>
      </c>
      <c r="B699" s="7">
        <v>46159</v>
      </c>
      <c r="C699" s="7">
        <v>46205</v>
      </c>
      <c r="D699" t="s">
        <v>1270</v>
      </c>
      <c r="E699" t="s">
        <v>54</v>
      </c>
      <c r="F699" t="s">
        <v>48</v>
      </c>
      <c r="G699" t="s">
        <v>63</v>
      </c>
      <c r="H699" t="s">
        <v>137</v>
      </c>
      <c r="I699" t="s">
        <v>42</v>
      </c>
      <c r="J699" t="s">
        <v>57</v>
      </c>
      <c r="K699" t="s">
        <v>88</v>
      </c>
      <c r="L699" t="s">
        <v>51</v>
      </c>
      <c r="M699" s="46">
        <v>16500</v>
      </c>
      <c r="N699">
        <v>7.9000000000000001E-2</v>
      </c>
      <c r="O699">
        <v>0.35</v>
      </c>
      <c r="P699" t="s">
        <v>38</v>
      </c>
      <c r="R699">
        <v>46</v>
      </c>
      <c r="S699">
        <v>1266.25</v>
      </c>
      <c r="T699">
        <f>Deals_[[#This Row],[Amount]]*Deals_[[#This Row],[Probability_Pct]]</f>
        <v>5775</v>
      </c>
    </row>
    <row r="700" spans="1:20" x14ac:dyDescent="0.2">
      <c r="A700" t="s">
        <v>1271</v>
      </c>
      <c r="B700" s="7">
        <v>46055</v>
      </c>
      <c r="C700" s="7">
        <v>46091</v>
      </c>
      <c r="D700" t="s">
        <v>700</v>
      </c>
      <c r="E700" t="s">
        <v>33</v>
      </c>
      <c r="F700" t="s">
        <v>48</v>
      </c>
      <c r="G700" t="s">
        <v>92</v>
      </c>
      <c r="H700" t="s">
        <v>64</v>
      </c>
      <c r="I700" t="s">
        <v>84</v>
      </c>
      <c r="J700" t="s">
        <v>85</v>
      </c>
      <c r="K700" t="s">
        <v>58</v>
      </c>
      <c r="L700" t="s">
        <v>44</v>
      </c>
      <c r="M700" s="46">
        <v>22800</v>
      </c>
      <c r="N700">
        <v>0.222</v>
      </c>
      <c r="O700">
        <v>0.7</v>
      </c>
      <c r="P700" t="s">
        <v>59</v>
      </c>
      <c r="R700">
        <v>36</v>
      </c>
      <c r="S700">
        <v>1479.04</v>
      </c>
      <c r="T700">
        <f>Deals_[[#This Row],[Amount]]*Deals_[[#This Row],[Probability_Pct]]</f>
        <v>15959.999999999998</v>
      </c>
    </row>
    <row r="701" spans="1:20" x14ac:dyDescent="0.2">
      <c r="A701" t="s">
        <v>1272</v>
      </c>
      <c r="B701" s="7">
        <v>46169</v>
      </c>
      <c r="C701" s="7">
        <v>46292</v>
      </c>
      <c r="D701" t="s">
        <v>616</v>
      </c>
      <c r="E701" t="s">
        <v>91</v>
      </c>
      <c r="F701" t="s">
        <v>48</v>
      </c>
      <c r="G701" t="s">
        <v>92</v>
      </c>
      <c r="H701" t="s">
        <v>95</v>
      </c>
      <c r="I701" t="s">
        <v>25</v>
      </c>
      <c r="J701" t="s">
        <v>26</v>
      </c>
      <c r="K701" t="s">
        <v>78</v>
      </c>
      <c r="L701" t="s">
        <v>28</v>
      </c>
      <c r="M701" s="46">
        <v>29200</v>
      </c>
      <c r="N701">
        <v>0.14799999999999999</v>
      </c>
      <c r="O701">
        <v>0.55000000000000004</v>
      </c>
      <c r="P701" t="s">
        <v>79</v>
      </c>
      <c r="R701">
        <v>123</v>
      </c>
      <c r="S701">
        <v>2073.3200000000002</v>
      </c>
      <c r="T701">
        <f>Deals_[[#This Row],[Amount]]*Deals_[[#This Row],[Probability_Pct]]</f>
        <v>16060.000000000002</v>
      </c>
    </row>
    <row r="702" spans="1:20" x14ac:dyDescent="0.2">
      <c r="A702" t="s">
        <v>1273</v>
      </c>
      <c r="B702" s="7">
        <v>46111</v>
      </c>
      <c r="C702" s="7">
        <v>46198</v>
      </c>
      <c r="D702" t="s">
        <v>740</v>
      </c>
      <c r="E702" t="s">
        <v>111</v>
      </c>
      <c r="F702" t="s">
        <v>74</v>
      </c>
      <c r="G702" t="s">
        <v>92</v>
      </c>
      <c r="H702" t="s">
        <v>69</v>
      </c>
      <c r="I702" t="s">
        <v>65</v>
      </c>
      <c r="J702" t="s">
        <v>43</v>
      </c>
      <c r="K702" t="s">
        <v>50</v>
      </c>
      <c r="L702" t="s">
        <v>51</v>
      </c>
      <c r="M702" s="46">
        <v>85700</v>
      </c>
      <c r="N702">
        <v>0.17399999999999999</v>
      </c>
      <c r="O702">
        <v>1</v>
      </c>
      <c r="P702" t="s">
        <v>29</v>
      </c>
      <c r="R702">
        <v>87</v>
      </c>
      <c r="S702">
        <v>5899.36</v>
      </c>
      <c r="T702">
        <f>Deals_[[#This Row],[Amount]]*Deals_[[#This Row],[Probability_Pct]]</f>
        <v>85700</v>
      </c>
    </row>
    <row r="703" spans="1:20" x14ac:dyDescent="0.2">
      <c r="A703" t="s">
        <v>1274</v>
      </c>
      <c r="B703" s="7">
        <v>46122</v>
      </c>
      <c r="C703" s="7">
        <v>46190</v>
      </c>
      <c r="D703" t="s">
        <v>1275</v>
      </c>
      <c r="E703" t="s">
        <v>82</v>
      </c>
      <c r="F703" t="s">
        <v>48</v>
      </c>
      <c r="G703" t="s">
        <v>63</v>
      </c>
      <c r="H703" t="s">
        <v>41</v>
      </c>
      <c r="I703" t="s">
        <v>65</v>
      </c>
      <c r="J703" t="s">
        <v>26</v>
      </c>
      <c r="K703" t="s">
        <v>58</v>
      </c>
      <c r="L703" t="s">
        <v>44</v>
      </c>
      <c r="M703" s="46">
        <v>13000</v>
      </c>
      <c r="N703">
        <v>0.20200000000000001</v>
      </c>
      <c r="O703">
        <v>0.75</v>
      </c>
      <c r="P703" t="s">
        <v>59</v>
      </c>
      <c r="R703">
        <v>68</v>
      </c>
      <c r="S703">
        <v>865.03</v>
      </c>
      <c r="T703">
        <f>Deals_[[#This Row],[Amount]]*Deals_[[#This Row],[Probability_Pct]]</f>
        <v>9750</v>
      </c>
    </row>
    <row r="704" spans="1:20" x14ac:dyDescent="0.2">
      <c r="A704" t="s">
        <v>1276</v>
      </c>
      <c r="B704" s="7">
        <v>46257</v>
      </c>
      <c r="C704" s="7">
        <v>46313</v>
      </c>
      <c r="D704" t="s">
        <v>1277</v>
      </c>
      <c r="E704" t="s">
        <v>54</v>
      </c>
      <c r="F704" t="s">
        <v>22</v>
      </c>
      <c r="G704" t="s">
        <v>63</v>
      </c>
      <c r="H704" t="s">
        <v>120</v>
      </c>
      <c r="I704" t="s">
        <v>25</v>
      </c>
      <c r="J704" t="s">
        <v>36</v>
      </c>
      <c r="K704" t="s">
        <v>37</v>
      </c>
      <c r="L704" t="s">
        <v>44</v>
      </c>
      <c r="M704" s="46">
        <v>62600</v>
      </c>
      <c r="N704">
        <v>0.13500000000000001</v>
      </c>
      <c r="O704">
        <v>0.1</v>
      </c>
      <c r="P704" t="s">
        <v>38</v>
      </c>
      <c r="R704">
        <v>56</v>
      </c>
      <c r="S704">
        <v>4510.8999999999996</v>
      </c>
      <c r="T704">
        <f>Deals_[[#This Row],[Amount]]*Deals_[[#This Row],[Probability_Pct]]</f>
        <v>6260</v>
      </c>
    </row>
    <row r="705" spans="1:20" x14ac:dyDescent="0.2">
      <c r="A705" t="s">
        <v>1278</v>
      </c>
      <c r="B705" s="7">
        <v>46223</v>
      </c>
      <c r="C705" s="7">
        <v>46277</v>
      </c>
      <c r="D705" t="s">
        <v>1279</v>
      </c>
      <c r="E705" t="s">
        <v>91</v>
      </c>
      <c r="F705" t="s">
        <v>48</v>
      </c>
      <c r="G705" t="s">
        <v>55</v>
      </c>
      <c r="H705" t="s">
        <v>98</v>
      </c>
      <c r="I705" t="s">
        <v>35</v>
      </c>
      <c r="J705" t="s">
        <v>57</v>
      </c>
      <c r="K705" t="s">
        <v>50</v>
      </c>
      <c r="L705" t="s">
        <v>28</v>
      </c>
      <c r="M705" s="46">
        <v>26300</v>
      </c>
      <c r="N705">
        <v>0.11600000000000001</v>
      </c>
      <c r="O705">
        <v>1</v>
      </c>
      <c r="P705" t="s">
        <v>29</v>
      </c>
      <c r="R705">
        <v>54</v>
      </c>
      <c r="S705">
        <v>1937.38</v>
      </c>
      <c r="T705">
        <f>Deals_[[#This Row],[Amount]]*Deals_[[#This Row],[Probability_Pct]]</f>
        <v>26300</v>
      </c>
    </row>
    <row r="706" spans="1:20" x14ac:dyDescent="0.2">
      <c r="A706" t="s">
        <v>1280</v>
      </c>
      <c r="B706" s="7">
        <v>46147</v>
      </c>
      <c r="C706" s="7">
        <v>46193</v>
      </c>
      <c r="D706" t="s">
        <v>1281</v>
      </c>
      <c r="E706" t="s">
        <v>68</v>
      </c>
      <c r="F706" t="s">
        <v>22</v>
      </c>
      <c r="G706" t="s">
        <v>34</v>
      </c>
      <c r="H706" t="s">
        <v>98</v>
      </c>
      <c r="I706" t="s">
        <v>25</v>
      </c>
      <c r="J706" t="s">
        <v>57</v>
      </c>
      <c r="K706" t="s">
        <v>58</v>
      </c>
      <c r="L706" t="s">
        <v>28</v>
      </c>
      <c r="M706" s="46">
        <v>73500</v>
      </c>
      <c r="N706">
        <v>0.18</v>
      </c>
      <c r="O706">
        <v>0.7</v>
      </c>
      <c r="P706" t="s">
        <v>59</v>
      </c>
      <c r="R706">
        <v>46</v>
      </c>
      <c r="S706">
        <v>5021.42</v>
      </c>
      <c r="T706">
        <f>Deals_[[#This Row],[Amount]]*Deals_[[#This Row],[Probability_Pct]]</f>
        <v>51450</v>
      </c>
    </row>
    <row r="707" spans="1:20" x14ac:dyDescent="0.2">
      <c r="A707" t="s">
        <v>1282</v>
      </c>
      <c r="B707" s="7">
        <v>46263</v>
      </c>
      <c r="C707" s="7">
        <v>46314</v>
      </c>
      <c r="D707" t="s">
        <v>141</v>
      </c>
      <c r="E707" t="s">
        <v>21</v>
      </c>
      <c r="F707" t="s">
        <v>48</v>
      </c>
      <c r="G707" t="s">
        <v>92</v>
      </c>
      <c r="H707" t="s">
        <v>69</v>
      </c>
      <c r="I707" t="s">
        <v>42</v>
      </c>
      <c r="J707" t="s">
        <v>85</v>
      </c>
      <c r="K707" t="s">
        <v>88</v>
      </c>
      <c r="L707" t="s">
        <v>44</v>
      </c>
      <c r="M707" s="46">
        <v>14500</v>
      </c>
      <c r="N707">
        <v>4.0000000000000001E-3</v>
      </c>
      <c r="O707">
        <v>0.35</v>
      </c>
      <c r="P707" t="s">
        <v>38</v>
      </c>
      <c r="R707">
        <v>51</v>
      </c>
      <c r="S707">
        <v>1203.72</v>
      </c>
      <c r="T707">
        <f>Deals_[[#This Row],[Amount]]*Deals_[[#This Row],[Probability_Pct]]</f>
        <v>5075</v>
      </c>
    </row>
    <row r="708" spans="1:20" x14ac:dyDescent="0.2">
      <c r="A708" t="s">
        <v>1283</v>
      </c>
      <c r="B708" s="7">
        <v>46078</v>
      </c>
      <c r="C708" s="7">
        <v>46244</v>
      </c>
      <c r="D708" t="s">
        <v>476</v>
      </c>
      <c r="E708" t="s">
        <v>54</v>
      </c>
      <c r="F708" t="s">
        <v>74</v>
      </c>
      <c r="G708" t="s">
        <v>34</v>
      </c>
      <c r="H708" t="s">
        <v>77</v>
      </c>
      <c r="I708" t="s">
        <v>84</v>
      </c>
      <c r="J708" t="s">
        <v>85</v>
      </c>
      <c r="K708" t="s">
        <v>27</v>
      </c>
      <c r="L708" t="s">
        <v>28</v>
      </c>
      <c r="M708" s="46">
        <v>165800</v>
      </c>
      <c r="N708">
        <v>9.2999999999999999E-2</v>
      </c>
      <c r="O708">
        <v>0</v>
      </c>
      <c r="P708" t="s">
        <v>29</v>
      </c>
      <c r="Q708" t="s">
        <v>30</v>
      </c>
      <c r="R708">
        <v>166</v>
      </c>
      <c r="S708">
        <v>12532.85</v>
      </c>
      <c r="T708">
        <f>Deals_[[#This Row],[Amount]]*Deals_[[#This Row],[Probability_Pct]]</f>
        <v>0</v>
      </c>
    </row>
    <row r="709" spans="1:20" x14ac:dyDescent="0.2">
      <c r="A709" t="s">
        <v>1284</v>
      </c>
      <c r="B709" s="7">
        <v>46068</v>
      </c>
      <c r="C709" s="7">
        <v>46111</v>
      </c>
      <c r="D709" t="s">
        <v>1285</v>
      </c>
      <c r="E709" t="s">
        <v>62</v>
      </c>
      <c r="F709" t="s">
        <v>74</v>
      </c>
      <c r="G709" t="s">
        <v>92</v>
      </c>
      <c r="H709" t="s">
        <v>24</v>
      </c>
      <c r="I709" t="s">
        <v>99</v>
      </c>
      <c r="J709" t="s">
        <v>36</v>
      </c>
      <c r="K709" t="s">
        <v>37</v>
      </c>
      <c r="L709" t="s">
        <v>44</v>
      </c>
      <c r="M709" s="46">
        <v>339000</v>
      </c>
      <c r="N709">
        <v>4.3999999999999997E-2</v>
      </c>
      <c r="O709">
        <v>0.05</v>
      </c>
      <c r="P709" t="s">
        <v>38</v>
      </c>
      <c r="R709">
        <v>43</v>
      </c>
      <c r="S709">
        <v>26994.73</v>
      </c>
      <c r="T709">
        <f>Deals_[[#This Row],[Amount]]*Deals_[[#This Row],[Probability_Pct]]</f>
        <v>16950</v>
      </c>
    </row>
    <row r="710" spans="1:20" x14ac:dyDescent="0.2">
      <c r="A710" t="s">
        <v>1286</v>
      </c>
      <c r="B710" s="7">
        <v>46230</v>
      </c>
      <c r="C710" s="7">
        <v>46326</v>
      </c>
      <c r="D710" t="s">
        <v>1287</v>
      </c>
      <c r="E710" t="s">
        <v>111</v>
      </c>
      <c r="F710" t="s">
        <v>22</v>
      </c>
      <c r="G710" t="s">
        <v>23</v>
      </c>
      <c r="H710" t="s">
        <v>120</v>
      </c>
      <c r="I710" t="s">
        <v>35</v>
      </c>
      <c r="J710" t="s">
        <v>43</v>
      </c>
      <c r="K710" t="s">
        <v>37</v>
      </c>
      <c r="L710" t="s">
        <v>51</v>
      </c>
      <c r="M710" s="46">
        <v>87100</v>
      </c>
      <c r="N710">
        <v>0</v>
      </c>
      <c r="O710">
        <v>0.1</v>
      </c>
      <c r="P710" t="s">
        <v>38</v>
      </c>
      <c r="R710">
        <v>96</v>
      </c>
      <c r="S710">
        <v>7258.33</v>
      </c>
      <c r="T710">
        <f>Deals_[[#This Row],[Amount]]*Deals_[[#This Row],[Probability_Pct]]</f>
        <v>8710</v>
      </c>
    </row>
    <row r="711" spans="1:20" x14ac:dyDescent="0.2">
      <c r="A711" t="s">
        <v>1288</v>
      </c>
      <c r="B711" s="7">
        <v>46090</v>
      </c>
      <c r="C711" s="7">
        <v>46165</v>
      </c>
      <c r="D711" t="s">
        <v>1289</v>
      </c>
      <c r="E711" t="s">
        <v>82</v>
      </c>
      <c r="F711" t="s">
        <v>48</v>
      </c>
      <c r="G711" t="s">
        <v>63</v>
      </c>
      <c r="H711" t="s">
        <v>24</v>
      </c>
      <c r="I711" t="s">
        <v>99</v>
      </c>
      <c r="J711" t="s">
        <v>43</v>
      </c>
      <c r="K711" t="s">
        <v>58</v>
      </c>
      <c r="L711" t="s">
        <v>28</v>
      </c>
      <c r="M711" s="46">
        <v>23100</v>
      </c>
      <c r="N711">
        <v>9.6000000000000002E-2</v>
      </c>
      <c r="O711">
        <v>0.75</v>
      </c>
      <c r="P711" t="s">
        <v>59</v>
      </c>
      <c r="R711">
        <v>75</v>
      </c>
      <c r="S711">
        <v>1739.85</v>
      </c>
      <c r="T711">
        <f>Deals_[[#This Row],[Amount]]*Deals_[[#This Row],[Probability_Pct]]</f>
        <v>17325</v>
      </c>
    </row>
    <row r="712" spans="1:20" x14ac:dyDescent="0.2">
      <c r="A712" t="s">
        <v>1290</v>
      </c>
      <c r="B712" s="7">
        <v>45964</v>
      </c>
      <c r="C712" s="7">
        <v>46053</v>
      </c>
      <c r="D712" t="s">
        <v>474</v>
      </c>
      <c r="E712" t="s">
        <v>91</v>
      </c>
      <c r="F712" t="s">
        <v>48</v>
      </c>
      <c r="G712" t="s">
        <v>55</v>
      </c>
      <c r="H712" t="s">
        <v>64</v>
      </c>
      <c r="I712" t="s">
        <v>35</v>
      </c>
      <c r="J712" t="s">
        <v>57</v>
      </c>
      <c r="K712" t="s">
        <v>37</v>
      </c>
      <c r="L712" t="s">
        <v>28</v>
      </c>
      <c r="M712" s="46">
        <v>23200</v>
      </c>
      <c r="N712">
        <v>0.13800000000000001</v>
      </c>
      <c r="O712">
        <v>0.1</v>
      </c>
      <c r="P712" t="s">
        <v>38</v>
      </c>
      <c r="R712">
        <v>89</v>
      </c>
      <c r="S712">
        <v>1667.35</v>
      </c>
      <c r="T712">
        <f>Deals_[[#This Row],[Amount]]*Deals_[[#This Row],[Probability_Pct]]</f>
        <v>2320</v>
      </c>
    </row>
    <row r="713" spans="1:20" x14ac:dyDescent="0.2">
      <c r="A713" t="s">
        <v>1291</v>
      </c>
      <c r="B713" s="7">
        <v>45994</v>
      </c>
      <c r="C713" s="7">
        <v>46095</v>
      </c>
      <c r="D713" t="s">
        <v>1292</v>
      </c>
      <c r="E713" t="s">
        <v>33</v>
      </c>
      <c r="F713" t="s">
        <v>22</v>
      </c>
      <c r="G713" t="s">
        <v>23</v>
      </c>
      <c r="H713" t="s">
        <v>83</v>
      </c>
      <c r="I713" t="s">
        <v>42</v>
      </c>
      <c r="J713" t="s">
        <v>26</v>
      </c>
      <c r="K713" t="s">
        <v>37</v>
      </c>
      <c r="L713" t="s">
        <v>28</v>
      </c>
      <c r="M713" s="46">
        <v>41700</v>
      </c>
      <c r="N713">
        <v>0.19400000000000001</v>
      </c>
      <c r="O713">
        <v>0.1</v>
      </c>
      <c r="P713" t="s">
        <v>38</v>
      </c>
      <c r="R713">
        <v>101</v>
      </c>
      <c r="S713">
        <v>2799.66</v>
      </c>
      <c r="T713">
        <f>Deals_[[#This Row],[Amount]]*Deals_[[#This Row],[Probability_Pct]]</f>
        <v>4170</v>
      </c>
    </row>
    <row r="714" spans="1:20" x14ac:dyDescent="0.2">
      <c r="A714" t="s">
        <v>1293</v>
      </c>
      <c r="B714" s="7">
        <v>46137</v>
      </c>
      <c r="C714" s="7">
        <v>46175</v>
      </c>
      <c r="D714" t="s">
        <v>1294</v>
      </c>
      <c r="E714" t="s">
        <v>54</v>
      </c>
      <c r="F714" t="s">
        <v>48</v>
      </c>
      <c r="G714" t="s">
        <v>23</v>
      </c>
      <c r="H714" t="s">
        <v>69</v>
      </c>
      <c r="I714" t="s">
        <v>35</v>
      </c>
      <c r="J714" t="s">
        <v>57</v>
      </c>
      <c r="K714" t="s">
        <v>88</v>
      </c>
      <c r="L714" t="s">
        <v>51</v>
      </c>
      <c r="M714" s="46">
        <v>17600</v>
      </c>
      <c r="N714">
        <v>0.14799999999999999</v>
      </c>
      <c r="O714">
        <v>0.35</v>
      </c>
      <c r="P714" t="s">
        <v>38</v>
      </c>
      <c r="R714">
        <v>38</v>
      </c>
      <c r="S714">
        <v>1249.67</v>
      </c>
      <c r="T714">
        <f>Deals_[[#This Row],[Amount]]*Deals_[[#This Row],[Probability_Pct]]</f>
        <v>6160</v>
      </c>
    </row>
    <row r="715" spans="1:20" x14ac:dyDescent="0.2">
      <c r="A715" t="s">
        <v>1295</v>
      </c>
      <c r="B715" s="7">
        <v>45940</v>
      </c>
      <c r="C715" s="7">
        <v>46043</v>
      </c>
      <c r="D715" t="s">
        <v>206</v>
      </c>
      <c r="E715" t="s">
        <v>33</v>
      </c>
      <c r="F715" t="s">
        <v>22</v>
      </c>
      <c r="G715" t="s">
        <v>23</v>
      </c>
      <c r="H715" t="s">
        <v>77</v>
      </c>
      <c r="I715" t="s">
        <v>42</v>
      </c>
      <c r="J715" t="s">
        <v>43</v>
      </c>
      <c r="K715" t="s">
        <v>106</v>
      </c>
      <c r="L715" t="s">
        <v>51</v>
      </c>
      <c r="M715" s="46">
        <v>76600</v>
      </c>
      <c r="N715">
        <v>0</v>
      </c>
      <c r="O715">
        <v>0.15</v>
      </c>
      <c r="P715" t="s">
        <v>38</v>
      </c>
      <c r="R715">
        <v>103</v>
      </c>
      <c r="S715">
        <v>6383.33</v>
      </c>
      <c r="T715">
        <f>Deals_[[#This Row],[Amount]]*Deals_[[#This Row],[Probability_Pct]]</f>
        <v>11490</v>
      </c>
    </row>
    <row r="716" spans="1:20" x14ac:dyDescent="0.2">
      <c r="A716" t="s">
        <v>1296</v>
      </c>
      <c r="B716" s="7">
        <v>46152</v>
      </c>
      <c r="C716" s="7">
        <v>46260</v>
      </c>
      <c r="D716" t="s">
        <v>1297</v>
      </c>
      <c r="E716" t="s">
        <v>82</v>
      </c>
      <c r="F716" t="s">
        <v>22</v>
      </c>
      <c r="G716" t="s">
        <v>23</v>
      </c>
      <c r="H716" t="s">
        <v>137</v>
      </c>
      <c r="I716" t="s">
        <v>84</v>
      </c>
      <c r="J716" t="s">
        <v>26</v>
      </c>
      <c r="K716" t="s">
        <v>50</v>
      </c>
      <c r="L716" t="s">
        <v>51</v>
      </c>
      <c r="M716" s="46">
        <v>42900</v>
      </c>
      <c r="N716">
        <v>0.10299999999999999</v>
      </c>
      <c r="O716">
        <v>1</v>
      </c>
      <c r="P716" t="s">
        <v>29</v>
      </c>
      <c r="R716">
        <v>108</v>
      </c>
      <c r="S716">
        <v>3205.23</v>
      </c>
      <c r="T716">
        <f>Deals_[[#This Row],[Amount]]*Deals_[[#This Row],[Probability_Pct]]</f>
        <v>42900</v>
      </c>
    </row>
    <row r="717" spans="1:20" x14ac:dyDescent="0.2">
      <c r="A717" t="s">
        <v>1298</v>
      </c>
      <c r="B717" s="7">
        <v>46045</v>
      </c>
      <c r="C717" s="7">
        <v>46138</v>
      </c>
      <c r="D717" t="s">
        <v>523</v>
      </c>
      <c r="E717" t="s">
        <v>111</v>
      </c>
      <c r="F717" t="s">
        <v>74</v>
      </c>
      <c r="G717" t="s">
        <v>23</v>
      </c>
      <c r="H717" t="s">
        <v>95</v>
      </c>
      <c r="I717" t="s">
        <v>84</v>
      </c>
      <c r="J717" t="s">
        <v>36</v>
      </c>
      <c r="K717" t="s">
        <v>50</v>
      </c>
      <c r="L717" t="s">
        <v>44</v>
      </c>
      <c r="M717" s="46">
        <v>221500</v>
      </c>
      <c r="N717">
        <v>0.16200000000000001</v>
      </c>
      <c r="O717">
        <v>1</v>
      </c>
      <c r="P717" t="s">
        <v>29</v>
      </c>
      <c r="R717">
        <v>93</v>
      </c>
      <c r="S717">
        <v>15466.92</v>
      </c>
      <c r="T717">
        <f>Deals_[[#This Row],[Amount]]*Deals_[[#This Row],[Probability_Pct]]</f>
        <v>221500</v>
      </c>
    </row>
    <row r="718" spans="1:20" x14ac:dyDescent="0.2">
      <c r="A718" t="s">
        <v>1299</v>
      </c>
      <c r="B718" s="7">
        <v>46115</v>
      </c>
      <c r="C718" s="7">
        <v>46232</v>
      </c>
      <c r="D718" t="s">
        <v>487</v>
      </c>
      <c r="E718" t="s">
        <v>91</v>
      </c>
      <c r="F718" t="s">
        <v>48</v>
      </c>
      <c r="G718" t="s">
        <v>63</v>
      </c>
      <c r="H718" t="s">
        <v>56</v>
      </c>
      <c r="I718" t="s">
        <v>84</v>
      </c>
      <c r="J718" t="s">
        <v>57</v>
      </c>
      <c r="K718" t="s">
        <v>37</v>
      </c>
      <c r="L718" t="s">
        <v>51</v>
      </c>
      <c r="M718" s="46">
        <v>7300</v>
      </c>
      <c r="N718">
        <v>0.107</v>
      </c>
      <c r="O718">
        <v>0.1</v>
      </c>
      <c r="P718" t="s">
        <v>38</v>
      </c>
      <c r="R718">
        <v>117</v>
      </c>
      <c r="S718">
        <v>543.34</v>
      </c>
      <c r="T718">
        <f>Deals_[[#This Row],[Amount]]*Deals_[[#This Row],[Probability_Pct]]</f>
        <v>730</v>
      </c>
    </row>
    <row r="719" spans="1:20" x14ac:dyDescent="0.2">
      <c r="A719" t="s">
        <v>1300</v>
      </c>
      <c r="B719" s="7">
        <v>46101</v>
      </c>
      <c r="C719" s="7">
        <v>46237</v>
      </c>
      <c r="D719" t="s">
        <v>882</v>
      </c>
      <c r="E719" t="s">
        <v>33</v>
      </c>
      <c r="F719" t="s">
        <v>48</v>
      </c>
      <c r="G719" t="s">
        <v>92</v>
      </c>
      <c r="H719" t="s">
        <v>95</v>
      </c>
      <c r="I719" t="s">
        <v>42</v>
      </c>
      <c r="J719" t="s">
        <v>36</v>
      </c>
      <c r="K719" t="s">
        <v>50</v>
      </c>
      <c r="L719" t="s">
        <v>51</v>
      </c>
      <c r="M719" s="46">
        <v>26900</v>
      </c>
      <c r="N719">
        <v>0</v>
      </c>
      <c r="O719">
        <v>0.95</v>
      </c>
      <c r="P719" t="s">
        <v>29</v>
      </c>
      <c r="R719">
        <v>136</v>
      </c>
      <c r="S719">
        <v>2241.67</v>
      </c>
      <c r="T719">
        <f>Deals_[[#This Row],[Amount]]*Deals_[[#This Row],[Probability_Pct]]</f>
        <v>25555</v>
      </c>
    </row>
    <row r="720" spans="1:20" x14ac:dyDescent="0.2">
      <c r="A720" t="s">
        <v>1301</v>
      </c>
      <c r="B720" s="7">
        <v>46164</v>
      </c>
      <c r="C720" s="7">
        <v>46277</v>
      </c>
      <c r="D720" t="s">
        <v>429</v>
      </c>
      <c r="E720" t="s">
        <v>54</v>
      </c>
      <c r="F720" t="s">
        <v>22</v>
      </c>
      <c r="G720" t="s">
        <v>23</v>
      </c>
      <c r="H720" t="s">
        <v>56</v>
      </c>
      <c r="I720" t="s">
        <v>84</v>
      </c>
      <c r="J720" t="s">
        <v>85</v>
      </c>
      <c r="K720" t="s">
        <v>27</v>
      </c>
      <c r="L720" t="s">
        <v>51</v>
      </c>
      <c r="M720" s="46">
        <v>87300</v>
      </c>
      <c r="N720">
        <v>0.106</v>
      </c>
      <c r="O720">
        <v>0</v>
      </c>
      <c r="P720" t="s">
        <v>29</v>
      </c>
      <c r="Q720" t="s">
        <v>209</v>
      </c>
      <c r="R720">
        <v>113</v>
      </c>
      <c r="S720">
        <v>6507.4</v>
      </c>
      <c r="T720">
        <f>Deals_[[#This Row],[Amount]]*Deals_[[#This Row],[Probability_Pct]]</f>
        <v>0</v>
      </c>
    </row>
    <row r="721" spans="1:20" x14ac:dyDescent="0.2">
      <c r="A721" t="s">
        <v>1302</v>
      </c>
      <c r="B721" s="7">
        <v>46103</v>
      </c>
      <c r="C721" s="7">
        <v>46163</v>
      </c>
      <c r="D721" t="s">
        <v>1303</v>
      </c>
      <c r="E721" t="s">
        <v>21</v>
      </c>
      <c r="F721" t="s">
        <v>22</v>
      </c>
      <c r="G721" t="s">
        <v>55</v>
      </c>
      <c r="H721" t="s">
        <v>98</v>
      </c>
      <c r="I721" t="s">
        <v>65</v>
      </c>
      <c r="J721" t="s">
        <v>36</v>
      </c>
      <c r="K721" t="s">
        <v>88</v>
      </c>
      <c r="L721" t="s">
        <v>44</v>
      </c>
      <c r="M721" s="46">
        <v>36600</v>
      </c>
      <c r="N721">
        <v>0.22500000000000001</v>
      </c>
      <c r="O721">
        <v>0.35</v>
      </c>
      <c r="P721" t="s">
        <v>38</v>
      </c>
      <c r="R721">
        <v>60</v>
      </c>
      <c r="S721">
        <v>2362.4499999999998</v>
      </c>
      <c r="T721">
        <f>Deals_[[#This Row],[Amount]]*Deals_[[#This Row],[Probability_Pct]]</f>
        <v>12810</v>
      </c>
    </row>
    <row r="722" spans="1:20" x14ac:dyDescent="0.2">
      <c r="A722" t="s">
        <v>1304</v>
      </c>
      <c r="B722" s="7">
        <v>46207</v>
      </c>
      <c r="C722" s="7">
        <v>46250</v>
      </c>
      <c r="D722" t="s">
        <v>1305</v>
      </c>
      <c r="E722" t="s">
        <v>21</v>
      </c>
      <c r="F722" t="s">
        <v>48</v>
      </c>
      <c r="G722" t="s">
        <v>34</v>
      </c>
      <c r="H722" t="s">
        <v>120</v>
      </c>
      <c r="I722" t="s">
        <v>65</v>
      </c>
      <c r="J722" t="s">
        <v>26</v>
      </c>
      <c r="K722" t="s">
        <v>106</v>
      </c>
      <c r="L722" t="s">
        <v>28</v>
      </c>
      <c r="M722" s="46">
        <v>20300</v>
      </c>
      <c r="N722">
        <v>0.155</v>
      </c>
      <c r="O722">
        <v>0.15</v>
      </c>
      <c r="P722" t="s">
        <v>38</v>
      </c>
      <c r="R722">
        <v>43</v>
      </c>
      <c r="S722">
        <v>1429.22</v>
      </c>
      <c r="T722">
        <f>Deals_[[#This Row],[Amount]]*Deals_[[#This Row],[Probability_Pct]]</f>
        <v>3045</v>
      </c>
    </row>
    <row r="723" spans="1:20" x14ac:dyDescent="0.2">
      <c r="A723" t="s">
        <v>1306</v>
      </c>
      <c r="B723" s="7">
        <v>45984</v>
      </c>
      <c r="C723" s="7">
        <v>46131</v>
      </c>
      <c r="D723" t="s">
        <v>1058</v>
      </c>
      <c r="E723" t="s">
        <v>54</v>
      </c>
      <c r="F723" t="s">
        <v>48</v>
      </c>
      <c r="G723" t="s">
        <v>55</v>
      </c>
      <c r="H723" t="s">
        <v>120</v>
      </c>
      <c r="I723" t="s">
        <v>35</v>
      </c>
      <c r="J723" t="s">
        <v>36</v>
      </c>
      <c r="K723" t="s">
        <v>78</v>
      </c>
      <c r="L723" t="s">
        <v>28</v>
      </c>
      <c r="M723" s="46">
        <v>16800</v>
      </c>
      <c r="N723">
        <v>0.11600000000000001</v>
      </c>
      <c r="O723">
        <v>0.55000000000000004</v>
      </c>
      <c r="P723" t="s">
        <v>79</v>
      </c>
      <c r="R723">
        <v>147</v>
      </c>
      <c r="S723">
        <v>1238.1099999999999</v>
      </c>
      <c r="T723">
        <f>Deals_[[#This Row],[Amount]]*Deals_[[#This Row],[Probability_Pct]]</f>
        <v>9240</v>
      </c>
    </row>
    <row r="724" spans="1:20" x14ac:dyDescent="0.2">
      <c r="A724" t="s">
        <v>1307</v>
      </c>
      <c r="B724" s="7">
        <v>46057</v>
      </c>
      <c r="C724" s="7">
        <v>46199</v>
      </c>
      <c r="D724" t="s">
        <v>1308</v>
      </c>
      <c r="E724" t="s">
        <v>82</v>
      </c>
      <c r="F724" t="s">
        <v>48</v>
      </c>
      <c r="G724" t="s">
        <v>34</v>
      </c>
      <c r="H724" t="s">
        <v>83</v>
      </c>
      <c r="I724" t="s">
        <v>42</v>
      </c>
      <c r="J724" t="s">
        <v>36</v>
      </c>
      <c r="K724" t="s">
        <v>78</v>
      </c>
      <c r="L724" t="s">
        <v>44</v>
      </c>
      <c r="M724" s="46">
        <v>18900</v>
      </c>
      <c r="N724">
        <v>0.125</v>
      </c>
      <c r="O724">
        <v>0.55000000000000004</v>
      </c>
      <c r="P724" t="s">
        <v>79</v>
      </c>
      <c r="R724">
        <v>142</v>
      </c>
      <c r="S724">
        <v>1377.79</v>
      </c>
      <c r="T724">
        <f>Deals_[[#This Row],[Amount]]*Deals_[[#This Row],[Probability_Pct]]</f>
        <v>10395</v>
      </c>
    </row>
    <row r="725" spans="1:20" x14ac:dyDescent="0.2">
      <c r="A725" t="s">
        <v>1309</v>
      </c>
      <c r="B725" s="7">
        <v>46263</v>
      </c>
      <c r="C725" s="7">
        <v>46335</v>
      </c>
      <c r="D725" t="s">
        <v>631</v>
      </c>
      <c r="E725" t="s">
        <v>54</v>
      </c>
      <c r="F725" t="s">
        <v>48</v>
      </c>
      <c r="G725" t="s">
        <v>92</v>
      </c>
      <c r="H725" t="s">
        <v>64</v>
      </c>
      <c r="I725" t="s">
        <v>25</v>
      </c>
      <c r="J725" t="s">
        <v>43</v>
      </c>
      <c r="K725" t="s">
        <v>37</v>
      </c>
      <c r="L725" t="s">
        <v>44</v>
      </c>
      <c r="M725" s="46">
        <v>23100</v>
      </c>
      <c r="N725">
        <v>0</v>
      </c>
      <c r="O725">
        <v>0.15</v>
      </c>
      <c r="P725" t="s">
        <v>38</v>
      </c>
      <c r="R725">
        <v>72</v>
      </c>
      <c r="S725">
        <v>1925</v>
      </c>
      <c r="T725">
        <f>Deals_[[#This Row],[Amount]]*Deals_[[#This Row],[Probability_Pct]]</f>
        <v>3465</v>
      </c>
    </row>
    <row r="726" spans="1:20" x14ac:dyDescent="0.2">
      <c r="A726" t="s">
        <v>1310</v>
      </c>
      <c r="B726" s="7">
        <v>46148</v>
      </c>
      <c r="C726" s="7">
        <v>46184</v>
      </c>
      <c r="D726" t="s">
        <v>183</v>
      </c>
      <c r="E726" t="s">
        <v>111</v>
      </c>
      <c r="F726" t="s">
        <v>74</v>
      </c>
      <c r="G726" t="s">
        <v>55</v>
      </c>
      <c r="H726" t="s">
        <v>69</v>
      </c>
      <c r="I726" t="s">
        <v>35</v>
      </c>
      <c r="J726" t="s">
        <v>36</v>
      </c>
      <c r="K726" t="s">
        <v>37</v>
      </c>
      <c r="L726" t="s">
        <v>28</v>
      </c>
      <c r="M726" s="46">
        <v>177200</v>
      </c>
      <c r="N726">
        <v>6.6000000000000003E-2</v>
      </c>
      <c r="O726">
        <v>0.15</v>
      </c>
      <c r="P726" t="s">
        <v>38</v>
      </c>
      <c r="R726">
        <v>36</v>
      </c>
      <c r="S726">
        <v>13791.55</v>
      </c>
      <c r="T726">
        <f>Deals_[[#This Row],[Amount]]*Deals_[[#This Row],[Probability_Pct]]</f>
        <v>26580</v>
      </c>
    </row>
    <row r="727" spans="1:20" x14ac:dyDescent="0.2">
      <c r="A727" t="s">
        <v>1311</v>
      </c>
      <c r="B727" s="7">
        <v>46125</v>
      </c>
      <c r="C727" s="7">
        <v>46170</v>
      </c>
      <c r="D727" t="s">
        <v>777</v>
      </c>
      <c r="E727" t="s">
        <v>21</v>
      </c>
      <c r="F727" t="s">
        <v>22</v>
      </c>
      <c r="G727" t="s">
        <v>34</v>
      </c>
      <c r="H727" t="s">
        <v>49</v>
      </c>
      <c r="I727" t="s">
        <v>35</v>
      </c>
      <c r="J727" t="s">
        <v>36</v>
      </c>
      <c r="K727" t="s">
        <v>50</v>
      </c>
      <c r="L727" t="s">
        <v>51</v>
      </c>
      <c r="M727" s="46">
        <v>69400</v>
      </c>
      <c r="N727">
        <v>0.214</v>
      </c>
      <c r="O727">
        <v>1</v>
      </c>
      <c r="P727" t="s">
        <v>29</v>
      </c>
      <c r="R727">
        <v>45</v>
      </c>
      <c r="S727">
        <v>4544.37</v>
      </c>
      <c r="T727">
        <f>Deals_[[#This Row],[Amount]]*Deals_[[#This Row],[Probability_Pct]]</f>
        <v>69400</v>
      </c>
    </row>
    <row r="728" spans="1:20" x14ac:dyDescent="0.2">
      <c r="A728" t="s">
        <v>1312</v>
      </c>
      <c r="B728" s="7">
        <v>46160</v>
      </c>
      <c r="C728" s="7">
        <v>46268</v>
      </c>
      <c r="D728" t="s">
        <v>1313</v>
      </c>
      <c r="E728" t="s">
        <v>111</v>
      </c>
      <c r="F728" t="s">
        <v>48</v>
      </c>
      <c r="G728" t="s">
        <v>34</v>
      </c>
      <c r="H728" t="s">
        <v>137</v>
      </c>
      <c r="I728" t="s">
        <v>84</v>
      </c>
      <c r="J728" t="s">
        <v>85</v>
      </c>
      <c r="K728" t="s">
        <v>37</v>
      </c>
      <c r="L728" t="s">
        <v>51</v>
      </c>
      <c r="M728" s="46">
        <v>11300</v>
      </c>
      <c r="N728">
        <v>7.9000000000000001E-2</v>
      </c>
      <c r="O728">
        <v>0.15</v>
      </c>
      <c r="P728" t="s">
        <v>38</v>
      </c>
      <c r="R728">
        <v>108</v>
      </c>
      <c r="S728">
        <v>867.56</v>
      </c>
      <c r="T728">
        <f>Deals_[[#This Row],[Amount]]*Deals_[[#This Row],[Probability_Pct]]</f>
        <v>1695</v>
      </c>
    </row>
    <row r="729" spans="1:20" x14ac:dyDescent="0.2">
      <c r="A729" t="s">
        <v>1314</v>
      </c>
      <c r="B729" s="7">
        <v>46195</v>
      </c>
      <c r="C729" s="7">
        <v>46277</v>
      </c>
      <c r="D729" t="s">
        <v>1315</v>
      </c>
      <c r="E729" t="s">
        <v>54</v>
      </c>
      <c r="F729" t="s">
        <v>74</v>
      </c>
      <c r="G729" t="s">
        <v>92</v>
      </c>
      <c r="H729" t="s">
        <v>49</v>
      </c>
      <c r="I729" t="s">
        <v>42</v>
      </c>
      <c r="J729" t="s">
        <v>57</v>
      </c>
      <c r="K729" t="s">
        <v>50</v>
      </c>
      <c r="L729" t="s">
        <v>28</v>
      </c>
      <c r="M729" s="46">
        <v>213000</v>
      </c>
      <c r="N729">
        <v>2.1999999999999999E-2</v>
      </c>
      <c r="O729">
        <v>1</v>
      </c>
      <c r="P729" t="s">
        <v>29</v>
      </c>
      <c r="R729">
        <v>82</v>
      </c>
      <c r="S729">
        <v>17354.55</v>
      </c>
      <c r="T729">
        <f>Deals_[[#This Row],[Amount]]*Deals_[[#This Row],[Probability_Pct]]</f>
        <v>213000</v>
      </c>
    </row>
    <row r="730" spans="1:20" x14ac:dyDescent="0.2">
      <c r="A730" t="s">
        <v>1316</v>
      </c>
      <c r="B730" s="7">
        <v>46099</v>
      </c>
      <c r="C730" s="7">
        <v>46227</v>
      </c>
      <c r="D730" t="s">
        <v>1317</v>
      </c>
      <c r="E730" t="s">
        <v>91</v>
      </c>
      <c r="F730" t="s">
        <v>74</v>
      </c>
      <c r="G730" t="s">
        <v>34</v>
      </c>
      <c r="H730" t="s">
        <v>49</v>
      </c>
      <c r="I730" t="s">
        <v>65</v>
      </c>
      <c r="J730" t="s">
        <v>43</v>
      </c>
      <c r="K730" t="s">
        <v>58</v>
      </c>
      <c r="L730" t="s">
        <v>28</v>
      </c>
      <c r="M730" s="46">
        <v>182100</v>
      </c>
      <c r="N730">
        <v>0.18099999999999999</v>
      </c>
      <c r="O730">
        <v>0.8</v>
      </c>
      <c r="P730" t="s">
        <v>59</v>
      </c>
      <c r="R730">
        <v>128</v>
      </c>
      <c r="S730">
        <v>12426.86</v>
      </c>
      <c r="T730">
        <f>Deals_[[#This Row],[Amount]]*Deals_[[#This Row],[Probability_Pct]]</f>
        <v>145680</v>
      </c>
    </row>
    <row r="731" spans="1:20" x14ac:dyDescent="0.2">
      <c r="A731" t="s">
        <v>1318</v>
      </c>
      <c r="B731" s="7">
        <v>45953</v>
      </c>
      <c r="C731" s="7">
        <v>46066</v>
      </c>
      <c r="D731" t="s">
        <v>1319</v>
      </c>
      <c r="E731" t="s">
        <v>68</v>
      </c>
      <c r="F731" t="s">
        <v>48</v>
      </c>
      <c r="G731" t="s">
        <v>34</v>
      </c>
      <c r="H731" t="s">
        <v>98</v>
      </c>
      <c r="I731" t="s">
        <v>84</v>
      </c>
      <c r="J731" t="s">
        <v>36</v>
      </c>
      <c r="K731" t="s">
        <v>37</v>
      </c>
      <c r="L731" t="s">
        <v>51</v>
      </c>
      <c r="M731" s="46">
        <v>17100</v>
      </c>
      <c r="N731">
        <v>9.7000000000000003E-2</v>
      </c>
      <c r="O731">
        <v>0.05</v>
      </c>
      <c r="P731" t="s">
        <v>38</v>
      </c>
      <c r="R731">
        <v>113</v>
      </c>
      <c r="S731">
        <v>1287.4100000000001</v>
      </c>
      <c r="T731">
        <f>Deals_[[#This Row],[Amount]]*Deals_[[#This Row],[Probability_Pct]]</f>
        <v>855</v>
      </c>
    </row>
    <row r="732" spans="1:20" x14ac:dyDescent="0.2">
      <c r="A732" t="s">
        <v>1320</v>
      </c>
      <c r="B732" s="7">
        <v>46195</v>
      </c>
      <c r="C732" s="7">
        <v>46300</v>
      </c>
      <c r="D732" t="s">
        <v>309</v>
      </c>
      <c r="E732" t="s">
        <v>33</v>
      </c>
      <c r="F732" t="s">
        <v>48</v>
      </c>
      <c r="G732" t="s">
        <v>23</v>
      </c>
      <c r="H732" t="s">
        <v>69</v>
      </c>
      <c r="I732" t="s">
        <v>84</v>
      </c>
      <c r="J732" t="s">
        <v>85</v>
      </c>
      <c r="K732" t="s">
        <v>37</v>
      </c>
      <c r="L732" t="s">
        <v>51</v>
      </c>
      <c r="M732" s="46">
        <v>25300</v>
      </c>
      <c r="N732">
        <v>0.23400000000000001</v>
      </c>
      <c r="O732">
        <v>0.1</v>
      </c>
      <c r="P732" t="s">
        <v>38</v>
      </c>
      <c r="R732">
        <v>105</v>
      </c>
      <c r="S732">
        <v>1614.54</v>
      </c>
      <c r="T732">
        <f>Deals_[[#This Row],[Amount]]*Deals_[[#This Row],[Probability_Pct]]</f>
        <v>2530</v>
      </c>
    </row>
    <row r="733" spans="1:20" x14ac:dyDescent="0.2">
      <c r="A733" t="s">
        <v>1321</v>
      </c>
      <c r="B733" s="7">
        <v>46251</v>
      </c>
      <c r="C733" s="7">
        <v>46277</v>
      </c>
      <c r="D733" t="s">
        <v>1322</v>
      </c>
      <c r="E733" t="s">
        <v>21</v>
      </c>
      <c r="F733" t="s">
        <v>22</v>
      </c>
      <c r="G733" t="s">
        <v>23</v>
      </c>
      <c r="H733" t="s">
        <v>24</v>
      </c>
      <c r="I733" t="s">
        <v>25</v>
      </c>
      <c r="J733" t="s">
        <v>36</v>
      </c>
      <c r="K733" t="s">
        <v>27</v>
      </c>
      <c r="L733" t="s">
        <v>28</v>
      </c>
      <c r="M733" s="46">
        <v>78800</v>
      </c>
      <c r="N733">
        <v>7.5999999999999998E-2</v>
      </c>
      <c r="O733">
        <v>0</v>
      </c>
      <c r="P733" t="s">
        <v>29</v>
      </c>
      <c r="Q733" t="s">
        <v>126</v>
      </c>
      <c r="R733">
        <v>26</v>
      </c>
      <c r="S733">
        <v>6066.99</v>
      </c>
      <c r="T733">
        <f>Deals_[[#This Row],[Amount]]*Deals_[[#This Row],[Probability_Pct]]</f>
        <v>0</v>
      </c>
    </row>
    <row r="734" spans="1:20" x14ac:dyDescent="0.2">
      <c r="A734" t="s">
        <v>1323</v>
      </c>
      <c r="B734" s="7">
        <v>46209</v>
      </c>
      <c r="C734" s="7">
        <v>46323</v>
      </c>
      <c r="D734" t="s">
        <v>1324</v>
      </c>
      <c r="E734" t="s">
        <v>33</v>
      </c>
      <c r="F734" t="s">
        <v>74</v>
      </c>
      <c r="G734" t="s">
        <v>63</v>
      </c>
      <c r="H734" t="s">
        <v>64</v>
      </c>
      <c r="I734" t="s">
        <v>42</v>
      </c>
      <c r="J734" t="s">
        <v>26</v>
      </c>
      <c r="K734" t="s">
        <v>37</v>
      </c>
      <c r="L734" t="s">
        <v>28</v>
      </c>
      <c r="M734" s="46">
        <v>281100</v>
      </c>
      <c r="N734">
        <v>0.11</v>
      </c>
      <c r="O734">
        <v>0.1</v>
      </c>
      <c r="P734" t="s">
        <v>38</v>
      </c>
      <c r="R734">
        <v>114</v>
      </c>
      <c r="S734">
        <v>20849.150000000001</v>
      </c>
      <c r="T734">
        <f>Deals_[[#This Row],[Amount]]*Deals_[[#This Row],[Probability_Pct]]</f>
        <v>28110</v>
      </c>
    </row>
    <row r="735" spans="1:20" x14ac:dyDescent="0.2">
      <c r="A735" t="s">
        <v>1325</v>
      </c>
      <c r="B735" s="7">
        <v>46064</v>
      </c>
      <c r="C735" s="7">
        <v>46116</v>
      </c>
      <c r="D735" t="s">
        <v>1326</v>
      </c>
      <c r="E735" t="s">
        <v>33</v>
      </c>
      <c r="F735" t="s">
        <v>48</v>
      </c>
      <c r="G735" t="s">
        <v>92</v>
      </c>
      <c r="H735" t="s">
        <v>64</v>
      </c>
      <c r="I735" t="s">
        <v>65</v>
      </c>
      <c r="J735" t="s">
        <v>57</v>
      </c>
      <c r="K735" t="s">
        <v>50</v>
      </c>
      <c r="L735" t="s">
        <v>51</v>
      </c>
      <c r="M735" s="46">
        <v>29000</v>
      </c>
      <c r="N735">
        <v>0.15</v>
      </c>
      <c r="O735">
        <v>1</v>
      </c>
      <c r="P735" t="s">
        <v>29</v>
      </c>
      <c r="R735">
        <v>52</v>
      </c>
      <c r="S735">
        <v>2054.88</v>
      </c>
      <c r="T735">
        <f>Deals_[[#This Row],[Amount]]*Deals_[[#This Row],[Probability_Pct]]</f>
        <v>29000</v>
      </c>
    </row>
    <row r="736" spans="1:20" x14ac:dyDescent="0.2">
      <c r="A736" t="s">
        <v>1327</v>
      </c>
      <c r="B736" s="7">
        <v>46139</v>
      </c>
      <c r="C736" s="7">
        <v>46227</v>
      </c>
      <c r="D736" t="s">
        <v>1328</v>
      </c>
      <c r="E736" t="s">
        <v>54</v>
      </c>
      <c r="F736" t="s">
        <v>48</v>
      </c>
      <c r="G736" t="s">
        <v>63</v>
      </c>
      <c r="H736" t="s">
        <v>56</v>
      </c>
      <c r="I736" t="s">
        <v>25</v>
      </c>
      <c r="J736" t="s">
        <v>26</v>
      </c>
      <c r="K736" t="s">
        <v>88</v>
      </c>
      <c r="L736" t="s">
        <v>28</v>
      </c>
      <c r="M736" s="46">
        <v>10000</v>
      </c>
      <c r="N736">
        <v>8.7999999999999995E-2</v>
      </c>
      <c r="O736">
        <v>0.35</v>
      </c>
      <c r="P736" t="s">
        <v>38</v>
      </c>
      <c r="R736">
        <v>88</v>
      </c>
      <c r="S736">
        <v>760.22</v>
      </c>
      <c r="T736">
        <f>Deals_[[#This Row],[Amount]]*Deals_[[#This Row],[Probability_Pct]]</f>
        <v>3500</v>
      </c>
    </row>
    <row r="737" spans="1:20" x14ac:dyDescent="0.2">
      <c r="A737" t="s">
        <v>1329</v>
      </c>
      <c r="B737" s="7">
        <v>46037</v>
      </c>
      <c r="C737" s="7">
        <v>46168</v>
      </c>
      <c r="D737" t="s">
        <v>1330</v>
      </c>
      <c r="E737" t="s">
        <v>33</v>
      </c>
      <c r="F737" t="s">
        <v>74</v>
      </c>
      <c r="G737" t="s">
        <v>63</v>
      </c>
      <c r="H737" t="s">
        <v>41</v>
      </c>
      <c r="I737" t="s">
        <v>42</v>
      </c>
      <c r="J737" t="s">
        <v>85</v>
      </c>
      <c r="K737" t="s">
        <v>27</v>
      </c>
      <c r="L737" t="s">
        <v>51</v>
      </c>
      <c r="M737" s="46">
        <v>207900</v>
      </c>
      <c r="N737">
        <v>0</v>
      </c>
      <c r="O737">
        <v>0.05</v>
      </c>
      <c r="P737" t="s">
        <v>29</v>
      </c>
      <c r="Q737" t="s">
        <v>126</v>
      </c>
      <c r="R737">
        <v>131</v>
      </c>
      <c r="S737">
        <v>17325</v>
      </c>
      <c r="T737">
        <f>Deals_[[#This Row],[Amount]]*Deals_[[#This Row],[Probability_Pct]]</f>
        <v>10395</v>
      </c>
    </row>
    <row r="738" spans="1:20" x14ac:dyDescent="0.2">
      <c r="A738" t="s">
        <v>1331</v>
      </c>
      <c r="B738" s="7">
        <v>46095</v>
      </c>
      <c r="C738" s="7">
        <v>46242</v>
      </c>
      <c r="D738" t="s">
        <v>1332</v>
      </c>
      <c r="E738" t="s">
        <v>91</v>
      </c>
      <c r="F738" t="s">
        <v>22</v>
      </c>
      <c r="G738" t="s">
        <v>63</v>
      </c>
      <c r="H738" t="s">
        <v>137</v>
      </c>
      <c r="I738" t="s">
        <v>42</v>
      </c>
      <c r="J738" t="s">
        <v>57</v>
      </c>
      <c r="K738" t="s">
        <v>88</v>
      </c>
      <c r="L738" t="s">
        <v>28</v>
      </c>
      <c r="M738" s="46">
        <v>78100</v>
      </c>
      <c r="N738">
        <v>5.6000000000000001E-2</v>
      </c>
      <c r="O738">
        <v>0.35</v>
      </c>
      <c r="P738" t="s">
        <v>38</v>
      </c>
      <c r="R738">
        <v>147</v>
      </c>
      <c r="S738">
        <v>6144.94</v>
      </c>
      <c r="T738">
        <f>Deals_[[#This Row],[Amount]]*Deals_[[#This Row],[Probability_Pct]]</f>
        <v>27335</v>
      </c>
    </row>
    <row r="739" spans="1:20" x14ac:dyDescent="0.2">
      <c r="A739" t="s">
        <v>1333</v>
      </c>
      <c r="B739" s="7">
        <v>46181</v>
      </c>
      <c r="C739" s="7">
        <v>46217</v>
      </c>
      <c r="D739" t="s">
        <v>1334</v>
      </c>
      <c r="E739" t="s">
        <v>54</v>
      </c>
      <c r="F739" t="s">
        <v>74</v>
      </c>
      <c r="G739" t="s">
        <v>63</v>
      </c>
      <c r="H739" t="s">
        <v>98</v>
      </c>
      <c r="I739" t="s">
        <v>25</v>
      </c>
      <c r="J739" t="s">
        <v>57</v>
      </c>
      <c r="K739" t="s">
        <v>78</v>
      </c>
      <c r="L739" t="s">
        <v>51</v>
      </c>
      <c r="M739" s="46">
        <v>148200</v>
      </c>
      <c r="N739">
        <v>0.11700000000000001</v>
      </c>
      <c r="O739">
        <v>0.6</v>
      </c>
      <c r="P739" t="s">
        <v>79</v>
      </c>
      <c r="R739">
        <v>36</v>
      </c>
      <c r="S739">
        <v>10910.2</v>
      </c>
      <c r="T739">
        <f>Deals_[[#This Row],[Amount]]*Deals_[[#This Row],[Probability_Pct]]</f>
        <v>88920</v>
      </c>
    </row>
    <row r="740" spans="1:20" x14ac:dyDescent="0.2">
      <c r="A740" t="s">
        <v>1335</v>
      </c>
      <c r="B740" s="7">
        <v>45999</v>
      </c>
      <c r="C740" s="7">
        <v>46098</v>
      </c>
      <c r="D740" t="s">
        <v>1336</v>
      </c>
      <c r="E740" t="s">
        <v>62</v>
      </c>
      <c r="F740" t="s">
        <v>22</v>
      </c>
      <c r="G740" t="s">
        <v>23</v>
      </c>
      <c r="H740" t="s">
        <v>77</v>
      </c>
      <c r="I740" t="s">
        <v>65</v>
      </c>
      <c r="J740" t="s">
        <v>26</v>
      </c>
      <c r="K740" t="s">
        <v>88</v>
      </c>
      <c r="L740" t="s">
        <v>51</v>
      </c>
      <c r="M740" s="46">
        <v>67900</v>
      </c>
      <c r="N740">
        <v>1.9E-2</v>
      </c>
      <c r="O740">
        <v>0.35</v>
      </c>
      <c r="P740" t="s">
        <v>38</v>
      </c>
      <c r="R740">
        <v>99</v>
      </c>
      <c r="S740">
        <v>5552.54</v>
      </c>
      <c r="T740">
        <f>Deals_[[#This Row],[Amount]]*Deals_[[#This Row],[Probability_Pct]]</f>
        <v>23765</v>
      </c>
    </row>
    <row r="741" spans="1:20" x14ac:dyDescent="0.2">
      <c r="A741" t="s">
        <v>1337</v>
      </c>
      <c r="B741" s="7">
        <v>46136</v>
      </c>
      <c r="C741" s="7">
        <v>46252</v>
      </c>
      <c r="D741" t="s">
        <v>1338</v>
      </c>
      <c r="E741" t="s">
        <v>21</v>
      </c>
      <c r="F741" t="s">
        <v>48</v>
      </c>
      <c r="G741" t="s">
        <v>34</v>
      </c>
      <c r="H741" t="s">
        <v>137</v>
      </c>
      <c r="I741" t="s">
        <v>35</v>
      </c>
      <c r="J741" t="s">
        <v>43</v>
      </c>
      <c r="K741" t="s">
        <v>88</v>
      </c>
      <c r="L741" t="s">
        <v>28</v>
      </c>
      <c r="M741" s="46">
        <v>7800</v>
      </c>
      <c r="N741">
        <v>6.2E-2</v>
      </c>
      <c r="O741">
        <v>0.35</v>
      </c>
      <c r="P741" t="s">
        <v>38</v>
      </c>
      <c r="R741">
        <v>116</v>
      </c>
      <c r="S741">
        <v>609.53</v>
      </c>
      <c r="T741">
        <f>Deals_[[#This Row],[Amount]]*Deals_[[#This Row],[Probability_Pct]]</f>
        <v>2730</v>
      </c>
    </row>
    <row r="742" spans="1:20" x14ac:dyDescent="0.2">
      <c r="A742" t="s">
        <v>1339</v>
      </c>
      <c r="B742" s="7">
        <v>45994</v>
      </c>
      <c r="C742" s="7">
        <v>46033</v>
      </c>
      <c r="D742" t="s">
        <v>571</v>
      </c>
      <c r="E742" t="s">
        <v>33</v>
      </c>
      <c r="F742" t="s">
        <v>48</v>
      </c>
      <c r="G742" t="s">
        <v>23</v>
      </c>
      <c r="H742" t="s">
        <v>41</v>
      </c>
      <c r="I742" t="s">
        <v>42</v>
      </c>
      <c r="J742" t="s">
        <v>43</v>
      </c>
      <c r="K742" t="s">
        <v>88</v>
      </c>
      <c r="L742" t="s">
        <v>44</v>
      </c>
      <c r="M742" s="46">
        <v>18800</v>
      </c>
      <c r="N742">
        <v>0.156</v>
      </c>
      <c r="O742">
        <v>0.4</v>
      </c>
      <c r="P742" t="s">
        <v>38</v>
      </c>
      <c r="R742">
        <v>39</v>
      </c>
      <c r="S742">
        <v>1321.6</v>
      </c>
      <c r="T742">
        <f>Deals_[[#This Row],[Amount]]*Deals_[[#This Row],[Probability_Pct]]</f>
        <v>7520</v>
      </c>
    </row>
    <row r="743" spans="1:20" x14ac:dyDescent="0.2">
      <c r="A743" t="s">
        <v>1340</v>
      </c>
      <c r="B743" s="7">
        <v>46179</v>
      </c>
      <c r="C743" s="7">
        <v>46213</v>
      </c>
      <c r="D743" t="s">
        <v>1341</v>
      </c>
      <c r="E743" t="s">
        <v>62</v>
      </c>
      <c r="F743" t="s">
        <v>48</v>
      </c>
      <c r="G743" t="s">
        <v>34</v>
      </c>
      <c r="H743" t="s">
        <v>120</v>
      </c>
      <c r="I743" t="s">
        <v>65</v>
      </c>
      <c r="J743" t="s">
        <v>43</v>
      </c>
      <c r="K743" t="s">
        <v>78</v>
      </c>
      <c r="L743" t="s">
        <v>28</v>
      </c>
      <c r="M743" s="46">
        <v>17600</v>
      </c>
      <c r="N743">
        <v>0.114</v>
      </c>
      <c r="O743">
        <v>0.55000000000000004</v>
      </c>
      <c r="P743" t="s">
        <v>79</v>
      </c>
      <c r="R743">
        <v>34</v>
      </c>
      <c r="S743">
        <v>1299.18</v>
      </c>
      <c r="T743">
        <f>Deals_[[#This Row],[Amount]]*Deals_[[#This Row],[Probability_Pct]]</f>
        <v>9680</v>
      </c>
    </row>
    <row r="744" spans="1:20" x14ac:dyDescent="0.2">
      <c r="A744" t="s">
        <v>1342</v>
      </c>
      <c r="B744" s="7">
        <v>45996</v>
      </c>
      <c r="C744" s="7">
        <v>46091</v>
      </c>
      <c r="D744" t="s">
        <v>1343</v>
      </c>
      <c r="E744" t="s">
        <v>21</v>
      </c>
      <c r="F744" t="s">
        <v>48</v>
      </c>
      <c r="G744" t="s">
        <v>34</v>
      </c>
      <c r="H744" t="s">
        <v>83</v>
      </c>
      <c r="I744" t="s">
        <v>84</v>
      </c>
      <c r="J744" t="s">
        <v>36</v>
      </c>
      <c r="K744" t="s">
        <v>37</v>
      </c>
      <c r="L744" t="s">
        <v>44</v>
      </c>
      <c r="M744" s="46">
        <v>25600</v>
      </c>
      <c r="N744">
        <v>0.153</v>
      </c>
      <c r="O744">
        <v>0.1</v>
      </c>
      <c r="P744" t="s">
        <v>38</v>
      </c>
      <c r="R744">
        <v>95</v>
      </c>
      <c r="S744">
        <v>1806.76</v>
      </c>
      <c r="T744">
        <f>Deals_[[#This Row],[Amount]]*Deals_[[#This Row],[Probability_Pct]]</f>
        <v>2560</v>
      </c>
    </row>
    <row r="745" spans="1:20" x14ac:dyDescent="0.2">
      <c r="A745" t="s">
        <v>1344</v>
      </c>
      <c r="B745" s="7">
        <v>46119</v>
      </c>
      <c r="C745" s="7">
        <v>46244</v>
      </c>
      <c r="D745" t="s">
        <v>1345</v>
      </c>
      <c r="E745" t="s">
        <v>62</v>
      </c>
      <c r="F745" t="s">
        <v>22</v>
      </c>
      <c r="G745" t="s">
        <v>23</v>
      </c>
      <c r="H745" t="s">
        <v>49</v>
      </c>
      <c r="I745" t="s">
        <v>99</v>
      </c>
      <c r="J745" t="s">
        <v>85</v>
      </c>
      <c r="K745" t="s">
        <v>27</v>
      </c>
      <c r="L745" t="s">
        <v>28</v>
      </c>
      <c r="M745" s="46">
        <v>66800</v>
      </c>
      <c r="N745">
        <v>7.6999999999999999E-2</v>
      </c>
      <c r="O745">
        <v>0.05</v>
      </c>
      <c r="P745" t="s">
        <v>29</v>
      </c>
      <c r="Q745" t="s">
        <v>152</v>
      </c>
      <c r="R745">
        <v>125</v>
      </c>
      <c r="S745">
        <v>5138.9799999999996</v>
      </c>
      <c r="T745">
        <f>Deals_[[#This Row],[Amount]]*Deals_[[#This Row],[Probability_Pct]]</f>
        <v>3340</v>
      </c>
    </row>
    <row r="746" spans="1:20" x14ac:dyDescent="0.2">
      <c r="A746" t="s">
        <v>1346</v>
      </c>
      <c r="B746" s="7">
        <v>46246</v>
      </c>
      <c r="C746" s="7">
        <v>46277</v>
      </c>
      <c r="D746" t="s">
        <v>1347</v>
      </c>
      <c r="E746" t="s">
        <v>91</v>
      </c>
      <c r="F746" t="s">
        <v>74</v>
      </c>
      <c r="G746" t="s">
        <v>63</v>
      </c>
      <c r="H746" t="s">
        <v>24</v>
      </c>
      <c r="I746" t="s">
        <v>99</v>
      </c>
      <c r="J746" t="s">
        <v>26</v>
      </c>
      <c r="K746" t="s">
        <v>106</v>
      </c>
      <c r="L746" t="s">
        <v>44</v>
      </c>
      <c r="M746" s="46">
        <v>178500</v>
      </c>
      <c r="N746">
        <v>2.7E-2</v>
      </c>
      <c r="O746">
        <v>0.25</v>
      </c>
      <c r="P746" t="s">
        <v>38</v>
      </c>
      <c r="R746">
        <v>31</v>
      </c>
      <c r="S746">
        <v>14468.53</v>
      </c>
      <c r="T746">
        <f>Deals_[[#This Row],[Amount]]*Deals_[[#This Row],[Probability_Pct]]</f>
        <v>44625</v>
      </c>
    </row>
    <row r="747" spans="1:20" x14ac:dyDescent="0.2">
      <c r="A747" t="s">
        <v>1348</v>
      </c>
      <c r="B747" s="7">
        <v>45961</v>
      </c>
      <c r="C747" s="7">
        <v>46071</v>
      </c>
      <c r="D747" t="s">
        <v>1349</v>
      </c>
      <c r="E747" t="s">
        <v>82</v>
      </c>
      <c r="F747" t="s">
        <v>48</v>
      </c>
      <c r="G747" t="s">
        <v>92</v>
      </c>
      <c r="H747" t="s">
        <v>120</v>
      </c>
      <c r="I747" t="s">
        <v>65</v>
      </c>
      <c r="J747" t="s">
        <v>85</v>
      </c>
      <c r="K747" t="s">
        <v>50</v>
      </c>
      <c r="L747" t="s">
        <v>51</v>
      </c>
      <c r="M747" s="46">
        <v>16000</v>
      </c>
      <c r="N747">
        <v>0.123</v>
      </c>
      <c r="O747">
        <v>1</v>
      </c>
      <c r="P747" t="s">
        <v>29</v>
      </c>
      <c r="R747">
        <v>110</v>
      </c>
      <c r="S747">
        <v>1168.9000000000001</v>
      </c>
      <c r="T747">
        <f>Deals_[[#This Row],[Amount]]*Deals_[[#This Row],[Probability_Pct]]</f>
        <v>16000</v>
      </c>
    </row>
    <row r="748" spans="1:20" x14ac:dyDescent="0.2">
      <c r="A748" t="s">
        <v>1350</v>
      </c>
      <c r="B748" s="7">
        <v>46119</v>
      </c>
      <c r="C748" s="7">
        <v>46161</v>
      </c>
      <c r="D748" t="s">
        <v>1088</v>
      </c>
      <c r="E748" t="s">
        <v>54</v>
      </c>
      <c r="F748" t="s">
        <v>22</v>
      </c>
      <c r="G748" t="s">
        <v>34</v>
      </c>
      <c r="H748" t="s">
        <v>120</v>
      </c>
      <c r="I748" t="s">
        <v>25</v>
      </c>
      <c r="J748" t="s">
        <v>43</v>
      </c>
      <c r="K748" t="s">
        <v>50</v>
      </c>
      <c r="L748" t="s">
        <v>51</v>
      </c>
      <c r="M748" s="46">
        <v>89100</v>
      </c>
      <c r="N748">
        <v>0.13800000000000001</v>
      </c>
      <c r="O748">
        <v>1</v>
      </c>
      <c r="P748" t="s">
        <v>29</v>
      </c>
      <c r="R748">
        <v>42</v>
      </c>
      <c r="S748">
        <v>6402.88</v>
      </c>
      <c r="T748">
        <f>Deals_[[#This Row],[Amount]]*Deals_[[#This Row],[Probability_Pct]]</f>
        <v>89100</v>
      </c>
    </row>
    <row r="749" spans="1:20" x14ac:dyDescent="0.2">
      <c r="A749" t="s">
        <v>1351</v>
      </c>
      <c r="B749" s="7">
        <v>45971</v>
      </c>
      <c r="C749" s="7">
        <v>46056</v>
      </c>
      <c r="D749" t="s">
        <v>1352</v>
      </c>
      <c r="E749" t="s">
        <v>62</v>
      </c>
      <c r="F749" t="s">
        <v>22</v>
      </c>
      <c r="G749" t="s">
        <v>55</v>
      </c>
      <c r="H749" t="s">
        <v>77</v>
      </c>
      <c r="I749" t="s">
        <v>99</v>
      </c>
      <c r="J749" t="s">
        <v>43</v>
      </c>
      <c r="K749" t="s">
        <v>37</v>
      </c>
      <c r="L749" t="s">
        <v>44</v>
      </c>
      <c r="M749" s="46">
        <v>95000</v>
      </c>
      <c r="N749">
        <v>2.5000000000000001E-2</v>
      </c>
      <c r="O749">
        <v>0.1</v>
      </c>
      <c r="P749" t="s">
        <v>38</v>
      </c>
      <c r="R749">
        <v>85</v>
      </c>
      <c r="S749">
        <v>7721</v>
      </c>
      <c r="T749">
        <f>Deals_[[#This Row],[Amount]]*Deals_[[#This Row],[Probability_Pct]]</f>
        <v>9500</v>
      </c>
    </row>
    <row r="750" spans="1:20" x14ac:dyDescent="0.2">
      <c r="A750" t="s">
        <v>1353</v>
      </c>
      <c r="B750" s="7">
        <v>46020</v>
      </c>
      <c r="C750" s="7">
        <v>46106</v>
      </c>
      <c r="D750" t="s">
        <v>608</v>
      </c>
      <c r="E750" t="s">
        <v>68</v>
      </c>
      <c r="F750" t="s">
        <v>74</v>
      </c>
      <c r="G750" t="s">
        <v>23</v>
      </c>
      <c r="H750" t="s">
        <v>64</v>
      </c>
      <c r="I750" t="s">
        <v>25</v>
      </c>
      <c r="J750" t="s">
        <v>85</v>
      </c>
      <c r="K750" t="s">
        <v>88</v>
      </c>
      <c r="L750" t="s">
        <v>51</v>
      </c>
      <c r="M750" s="46">
        <v>187800</v>
      </c>
      <c r="N750">
        <v>0.11899999999999999</v>
      </c>
      <c r="O750">
        <v>0.4</v>
      </c>
      <c r="P750" t="s">
        <v>38</v>
      </c>
      <c r="R750">
        <v>86</v>
      </c>
      <c r="S750">
        <v>13784.89</v>
      </c>
      <c r="T750">
        <f>Deals_[[#This Row],[Amount]]*Deals_[[#This Row],[Probability_Pct]]</f>
        <v>75120</v>
      </c>
    </row>
    <row r="751" spans="1:20" x14ac:dyDescent="0.2">
      <c r="A751" t="s">
        <v>1354</v>
      </c>
      <c r="B751" s="7">
        <v>45970</v>
      </c>
      <c r="C751" s="7">
        <v>46066</v>
      </c>
      <c r="D751" t="s">
        <v>431</v>
      </c>
      <c r="E751" t="s">
        <v>91</v>
      </c>
      <c r="F751" t="s">
        <v>48</v>
      </c>
      <c r="G751" t="s">
        <v>63</v>
      </c>
      <c r="H751" t="s">
        <v>98</v>
      </c>
      <c r="I751" t="s">
        <v>65</v>
      </c>
      <c r="J751" t="s">
        <v>85</v>
      </c>
      <c r="K751" t="s">
        <v>50</v>
      </c>
      <c r="L751" t="s">
        <v>44</v>
      </c>
      <c r="M751" s="46">
        <v>8100</v>
      </c>
      <c r="N751">
        <v>0.157</v>
      </c>
      <c r="O751">
        <v>1</v>
      </c>
      <c r="P751" t="s">
        <v>29</v>
      </c>
      <c r="R751">
        <v>96</v>
      </c>
      <c r="S751">
        <v>569.16</v>
      </c>
      <c r="T751">
        <f>Deals_[[#This Row],[Amount]]*Deals_[[#This Row],[Probability_Pct]]</f>
        <v>8100</v>
      </c>
    </row>
    <row r="752" spans="1:20" x14ac:dyDescent="0.2">
      <c r="A752" t="s">
        <v>1355</v>
      </c>
      <c r="B752" s="7">
        <v>46123</v>
      </c>
      <c r="C752" s="7">
        <v>46191</v>
      </c>
      <c r="D752" t="s">
        <v>243</v>
      </c>
      <c r="E752" t="s">
        <v>68</v>
      </c>
      <c r="F752" t="s">
        <v>48</v>
      </c>
      <c r="G752" t="s">
        <v>63</v>
      </c>
      <c r="H752" t="s">
        <v>95</v>
      </c>
      <c r="I752" t="s">
        <v>99</v>
      </c>
      <c r="J752" t="s">
        <v>57</v>
      </c>
      <c r="K752" t="s">
        <v>106</v>
      </c>
      <c r="L752" t="s">
        <v>44</v>
      </c>
      <c r="M752" s="46">
        <v>22600</v>
      </c>
      <c r="N752">
        <v>0</v>
      </c>
      <c r="O752">
        <v>0.2</v>
      </c>
      <c r="P752" t="s">
        <v>38</v>
      </c>
      <c r="R752">
        <v>68</v>
      </c>
      <c r="S752">
        <v>1883.33</v>
      </c>
      <c r="T752">
        <f>Deals_[[#This Row],[Amount]]*Deals_[[#This Row],[Probability_Pct]]</f>
        <v>4520</v>
      </c>
    </row>
    <row r="753" spans="1:20" x14ac:dyDescent="0.2">
      <c r="A753" t="s">
        <v>1356</v>
      </c>
      <c r="B753" s="7">
        <v>46225</v>
      </c>
      <c r="C753" s="7">
        <v>46294</v>
      </c>
      <c r="D753" t="s">
        <v>1357</v>
      </c>
      <c r="E753" t="s">
        <v>82</v>
      </c>
      <c r="F753" t="s">
        <v>48</v>
      </c>
      <c r="G753" t="s">
        <v>92</v>
      </c>
      <c r="H753" t="s">
        <v>24</v>
      </c>
      <c r="I753" t="s">
        <v>25</v>
      </c>
      <c r="J753" t="s">
        <v>26</v>
      </c>
      <c r="K753" t="s">
        <v>37</v>
      </c>
      <c r="L753" t="s">
        <v>51</v>
      </c>
      <c r="M753" s="46">
        <v>25000</v>
      </c>
      <c r="N753">
        <v>0.13200000000000001</v>
      </c>
      <c r="O753">
        <v>0.1</v>
      </c>
      <c r="P753" t="s">
        <v>38</v>
      </c>
      <c r="R753">
        <v>69</v>
      </c>
      <c r="S753">
        <v>1808.26</v>
      </c>
      <c r="T753">
        <f>Deals_[[#This Row],[Amount]]*Deals_[[#This Row],[Probability_Pct]]</f>
        <v>2500</v>
      </c>
    </row>
    <row r="754" spans="1:20" x14ac:dyDescent="0.2">
      <c r="A754" t="s">
        <v>1358</v>
      </c>
      <c r="B754" s="7">
        <v>46103</v>
      </c>
      <c r="C754" s="7">
        <v>46131</v>
      </c>
      <c r="D754" t="s">
        <v>190</v>
      </c>
      <c r="E754" t="s">
        <v>62</v>
      </c>
      <c r="F754" t="s">
        <v>48</v>
      </c>
      <c r="G754" t="s">
        <v>23</v>
      </c>
      <c r="H754" t="s">
        <v>69</v>
      </c>
      <c r="I754" t="s">
        <v>84</v>
      </c>
      <c r="J754" t="s">
        <v>85</v>
      </c>
      <c r="K754" t="s">
        <v>37</v>
      </c>
      <c r="L754" t="s">
        <v>51</v>
      </c>
      <c r="M754" s="46">
        <v>16000</v>
      </c>
      <c r="N754">
        <v>1.2E-2</v>
      </c>
      <c r="O754">
        <v>0.15</v>
      </c>
      <c r="P754" t="s">
        <v>38</v>
      </c>
      <c r="R754">
        <v>28</v>
      </c>
      <c r="S754">
        <v>1317.34</v>
      </c>
      <c r="T754">
        <f>Deals_[[#This Row],[Amount]]*Deals_[[#This Row],[Probability_Pct]]</f>
        <v>2400</v>
      </c>
    </row>
    <row r="755" spans="1:20" x14ac:dyDescent="0.2">
      <c r="A755" t="s">
        <v>1359</v>
      </c>
      <c r="B755" s="7">
        <v>46186</v>
      </c>
      <c r="C755" s="7">
        <v>46249</v>
      </c>
      <c r="D755" t="s">
        <v>494</v>
      </c>
      <c r="E755" t="s">
        <v>68</v>
      </c>
      <c r="F755" t="s">
        <v>22</v>
      </c>
      <c r="G755" t="s">
        <v>92</v>
      </c>
      <c r="H755" t="s">
        <v>64</v>
      </c>
      <c r="I755" t="s">
        <v>42</v>
      </c>
      <c r="J755" t="s">
        <v>57</v>
      </c>
      <c r="K755" t="s">
        <v>106</v>
      </c>
      <c r="L755" t="s">
        <v>51</v>
      </c>
      <c r="M755" s="46">
        <v>54500</v>
      </c>
      <c r="N755">
        <v>0.154</v>
      </c>
      <c r="O755">
        <v>0.2</v>
      </c>
      <c r="P755" t="s">
        <v>38</v>
      </c>
      <c r="R755">
        <v>63</v>
      </c>
      <c r="S755">
        <v>3842.15</v>
      </c>
      <c r="T755">
        <f>Deals_[[#This Row],[Amount]]*Deals_[[#This Row],[Probability_Pct]]</f>
        <v>10900</v>
      </c>
    </row>
    <row r="756" spans="1:20" x14ac:dyDescent="0.2">
      <c r="A756" t="s">
        <v>1360</v>
      </c>
      <c r="B756" s="7">
        <v>46007</v>
      </c>
      <c r="C756" s="7">
        <v>46054</v>
      </c>
      <c r="D756" t="s">
        <v>259</v>
      </c>
      <c r="E756" t="s">
        <v>62</v>
      </c>
      <c r="F756" t="s">
        <v>48</v>
      </c>
      <c r="G756" t="s">
        <v>92</v>
      </c>
      <c r="H756" t="s">
        <v>98</v>
      </c>
      <c r="I756" t="s">
        <v>99</v>
      </c>
      <c r="J756" t="s">
        <v>57</v>
      </c>
      <c r="K756" t="s">
        <v>78</v>
      </c>
      <c r="L756" t="s">
        <v>44</v>
      </c>
      <c r="M756" s="46">
        <v>27100</v>
      </c>
      <c r="N756">
        <v>0.13800000000000001</v>
      </c>
      <c r="O756">
        <v>0.55000000000000004</v>
      </c>
      <c r="P756" t="s">
        <v>79</v>
      </c>
      <c r="R756">
        <v>47</v>
      </c>
      <c r="S756">
        <v>1946.98</v>
      </c>
      <c r="T756">
        <f>Deals_[[#This Row],[Amount]]*Deals_[[#This Row],[Probability_Pct]]</f>
        <v>14905.000000000002</v>
      </c>
    </row>
    <row r="757" spans="1:20" x14ac:dyDescent="0.2">
      <c r="A757" t="s">
        <v>1361</v>
      </c>
      <c r="B757" s="7">
        <v>46131</v>
      </c>
      <c r="C757" s="7">
        <v>46186</v>
      </c>
      <c r="D757" t="s">
        <v>955</v>
      </c>
      <c r="E757" t="s">
        <v>68</v>
      </c>
      <c r="F757" t="s">
        <v>48</v>
      </c>
      <c r="G757" t="s">
        <v>92</v>
      </c>
      <c r="H757" t="s">
        <v>95</v>
      </c>
      <c r="I757" t="s">
        <v>25</v>
      </c>
      <c r="J757" t="s">
        <v>57</v>
      </c>
      <c r="K757" t="s">
        <v>78</v>
      </c>
      <c r="L757" t="s">
        <v>51</v>
      </c>
      <c r="M757" s="46">
        <v>29200</v>
      </c>
      <c r="N757">
        <v>7.5999999999999998E-2</v>
      </c>
      <c r="O757">
        <v>0.55000000000000004</v>
      </c>
      <c r="P757" t="s">
        <v>79</v>
      </c>
      <c r="R757">
        <v>55</v>
      </c>
      <c r="S757">
        <v>2247.64</v>
      </c>
      <c r="T757">
        <f>Deals_[[#This Row],[Amount]]*Deals_[[#This Row],[Probability_Pct]]</f>
        <v>16060.000000000002</v>
      </c>
    </row>
    <row r="758" spans="1:20" x14ac:dyDescent="0.2">
      <c r="A758" t="s">
        <v>1362</v>
      </c>
      <c r="B758" s="7">
        <v>46036</v>
      </c>
      <c r="C758" s="7">
        <v>46100</v>
      </c>
      <c r="D758" t="s">
        <v>829</v>
      </c>
      <c r="E758" t="s">
        <v>21</v>
      </c>
      <c r="F758" t="s">
        <v>48</v>
      </c>
      <c r="G758" t="s">
        <v>92</v>
      </c>
      <c r="H758" t="s">
        <v>56</v>
      </c>
      <c r="I758" t="s">
        <v>35</v>
      </c>
      <c r="J758" t="s">
        <v>85</v>
      </c>
      <c r="K758" t="s">
        <v>106</v>
      </c>
      <c r="L758" t="s">
        <v>28</v>
      </c>
      <c r="M758" s="46">
        <v>25300</v>
      </c>
      <c r="N758">
        <v>0.153</v>
      </c>
      <c r="O758">
        <v>0.2</v>
      </c>
      <c r="P758" t="s">
        <v>38</v>
      </c>
      <c r="R758">
        <v>64</v>
      </c>
      <c r="S758">
        <v>1785.34</v>
      </c>
      <c r="T758">
        <f>Deals_[[#This Row],[Amount]]*Deals_[[#This Row],[Probability_Pct]]</f>
        <v>5060</v>
      </c>
    </row>
    <row r="759" spans="1:20" x14ac:dyDescent="0.2">
      <c r="A759" t="s">
        <v>1363</v>
      </c>
      <c r="B759" s="7">
        <v>45954</v>
      </c>
      <c r="C759" s="7">
        <v>46037</v>
      </c>
      <c r="D759" t="s">
        <v>1364</v>
      </c>
      <c r="E759" t="s">
        <v>33</v>
      </c>
      <c r="F759" t="s">
        <v>22</v>
      </c>
      <c r="G759" t="s">
        <v>63</v>
      </c>
      <c r="H759" t="s">
        <v>41</v>
      </c>
      <c r="I759" t="s">
        <v>65</v>
      </c>
      <c r="J759" t="s">
        <v>36</v>
      </c>
      <c r="K759" t="s">
        <v>37</v>
      </c>
      <c r="L759" t="s">
        <v>44</v>
      </c>
      <c r="M759" s="46">
        <v>42500</v>
      </c>
      <c r="N759">
        <v>7.0000000000000001E-3</v>
      </c>
      <c r="O759">
        <v>0.1</v>
      </c>
      <c r="P759" t="s">
        <v>38</v>
      </c>
      <c r="R759">
        <v>83</v>
      </c>
      <c r="S759">
        <v>3516.95</v>
      </c>
      <c r="T759">
        <f>Deals_[[#This Row],[Amount]]*Deals_[[#This Row],[Probability_Pct]]</f>
        <v>4250</v>
      </c>
    </row>
    <row r="760" spans="1:20" x14ac:dyDescent="0.2">
      <c r="A760" t="s">
        <v>1365</v>
      </c>
      <c r="B760" s="7">
        <v>46055</v>
      </c>
      <c r="C760" s="7">
        <v>46177</v>
      </c>
      <c r="D760" t="s">
        <v>1366</v>
      </c>
      <c r="E760" t="s">
        <v>33</v>
      </c>
      <c r="F760" t="s">
        <v>48</v>
      </c>
      <c r="G760" t="s">
        <v>55</v>
      </c>
      <c r="H760" t="s">
        <v>77</v>
      </c>
      <c r="I760" t="s">
        <v>35</v>
      </c>
      <c r="J760" t="s">
        <v>85</v>
      </c>
      <c r="K760" t="s">
        <v>58</v>
      </c>
      <c r="L760" t="s">
        <v>44</v>
      </c>
      <c r="M760" s="46">
        <v>17000</v>
      </c>
      <c r="N760">
        <v>0</v>
      </c>
      <c r="O760">
        <v>0.75</v>
      </c>
      <c r="P760" t="s">
        <v>59</v>
      </c>
      <c r="R760">
        <v>122</v>
      </c>
      <c r="S760">
        <v>1416.67</v>
      </c>
      <c r="T760">
        <f>Deals_[[#This Row],[Amount]]*Deals_[[#This Row],[Probability_Pct]]</f>
        <v>12750</v>
      </c>
    </row>
    <row r="761" spans="1:20" x14ac:dyDescent="0.2">
      <c r="A761" t="s">
        <v>1367</v>
      </c>
      <c r="B761" s="7">
        <v>46165</v>
      </c>
      <c r="C761" s="7">
        <v>46241</v>
      </c>
      <c r="D761" t="s">
        <v>1368</v>
      </c>
      <c r="E761" t="s">
        <v>82</v>
      </c>
      <c r="F761" t="s">
        <v>74</v>
      </c>
      <c r="G761" t="s">
        <v>23</v>
      </c>
      <c r="H761" t="s">
        <v>95</v>
      </c>
      <c r="I761" t="s">
        <v>65</v>
      </c>
      <c r="J761" t="s">
        <v>85</v>
      </c>
      <c r="K761" t="s">
        <v>37</v>
      </c>
      <c r="L761" t="s">
        <v>28</v>
      </c>
      <c r="M761" s="46">
        <v>219800</v>
      </c>
      <c r="N761">
        <v>7.4999999999999997E-2</v>
      </c>
      <c r="O761">
        <v>0.1</v>
      </c>
      <c r="P761" t="s">
        <v>38</v>
      </c>
      <c r="R761">
        <v>76</v>
      </c>
      <c r="S761">
        <v>16951.53</v>
      </c>
      <c r="T761">
        <f>Deals_[[#This Row],[Amount]]*Deals_[[#This Row],[Probability_Pct]]</f>
        <v>21980</v>
      </c>
    </row>
    <row r="762" spans="1:20" x14ac:dyDescent="0.2">
      <c r="A762" t="s">
        <v>1369</v>
      </c>
      <c r="B762" s="7">
        <v>46094</v>
      </c>
      <c r="C762" s="7">
        <v>46154</v>
      </c>
      <c r="D762" t="s">
        <v>1370</v>
      </c>
      <c r="E762" t="s">
        <v>21</v>
      </c>
      <c r="F762" t="s">
        <v>22</v>
      </c>
      <c r="G762" t="s">
        <v>55</v>
      </c>
      <c r="H762" t="s">
        <v>49</v>
      </c>
      <c r="I762" t="s">
        <v>35</v>
      </c>
      <c r="J762" t="s">
        <v>85</v>
      </c>
      <c r="K762" t="s">
        <v>37</v>
      </c>
      <c r="L762" t="s">
        <v>51</v>
      </c>
      <c r="M762" s="46">
        <v>67000</v>
      </c>
      <c r="N762">
        <v>5.0999999999999997E-2</v>
      </c>
      <c r="O762">
        <v>0.1</v>
      </c>
      <c r="P762" t="s">
        <v>38</v>
      </c>
      <c r="R762">
        <v>60</v>
      </c>
      <c r="S762">
        <v>5297.78</v>
      </c>
      <c r="T762">
        <f>Deals_[[#This Row],[Amount]]*Deals_[[#This Row],[Probability_Pct]]</f>
        <v>6700</v>
      </c>
    </row>
    <row r="763" spans="1:20" x14ac:dyDescent="0.2">
      <c r="A763" t="s">
        <v>1371</v>
      </c>
      <c r="B763" s="7">
        <v>45978</v>
      </c>
      <c r="C763" s="7">
        <v>46104</v>
      </c>
      <c r="D763" t="s">
        <v>1372</v>
      </c>
      <c r="E763" t="s">
        <v>54</v>
      </c>
      <c r="F763" t="s">
        <v>74</v>
      </c>
      <c r="G763" t="s">
        <v>63</v>
      </c>
      <c r="H763" t="s">
        <v>120</v>
      </c>
      <c r="I763" t="s">
        <v>84</v>
      </c>
      <c r="J763" t="s">
        <v>26</v>
      </c>
      <c r="K763" t="s">
        <v>27</v>
      </c>
      <c r="L763" t="s">
        <v>28</v>
      </c>
      <c r="M763" s="46">
        <v>131500</v>
      </c>
      <c r="N763">
        <v>2.5999999999999999E-2</v>
      </c>
      <c r="O763">
        <v>0</v>
      </c>
      <c r="P763" t="s">
        <v>29</v>
      </c>
      <c r="Q763" t="s">
        <v>222</v>
      </c>
      <c r="R763">
        <v>126</v>
      </c>
      <c r="S763">
        <v>10678.05</v>
      </c>
      <c r="T763">
        <f>Deals_[[#This Row],[Amount]]*Deals_[[#This Row],[Probability_Pct]]</f>
        <v>0</v>
      </c>
    </row>
    <row r="764" spans="1:20" x14ac:dyDescent="0.2">
      <c r="A764" t="s">
        <v>1373</v>
      </c>
      <c r="B764" s="7">
        <v>46054</v>
      </c>
      <c r="C764" s="7">
        <v>46167</v>
      </c>
      <c r="D764" t="s">
        <v>1324</v>
      </c>
      <c r="E764" t="s">
        <v>82</v>
      </c>
      <c r="F764" t="s">
        <v>22</v>
      </c>
      <c r="G764" t="s">
        <v>55</v>
      </c>
      <c r="H764" t="s">
        <v>69</v>
      </c>
      <c r="I764" t="s">
        <v>84</v>
      </c>
      <c r="J764" t="s">
        <v>43</v>
      </c>
      <c r="K764" t="s">
        <v>27</v>
      </c>
      <c r="L764" t="s">
        <v>51</v>
      </c>
      <c r="M764" s="46">
        <v>34000</v>
      </c>
      <c r="N764">
        <v>7.8E-2</v>
      </c>
      <c r="O764">
        <v>0</v>
      </c>
      <c r="P764" t="s">
        <v>29</v>
      </c>
      <c r="Q764" t="s">
        <v>188</v>
      </c>
      <c r="R764">
        <v>113</v>
      </c>
      <c r="S764">
        <v>2611.0700000000002</v>
      </c>
      <c r="T764">
        <f>Deals_[[#This Row],[Amount]]*Deals_[[#This Row],[Probability_Pct]]</f>
        <v>0</v>
      </c>
    </row>
    <row r="765" spans="1:20" x14ac:dyDescent="0.2">
      <c r="A765" t="s">
        <v>1374</v>
      </c>
      <c r="B765" s="7">
        <v>46210</v>
      </c>
      <c r="C765" s="7">
        <v>46307</v>
      </c>
      <c r="D765" t="s">
        <v>1375</v>
      </c>
      <c r="E765" t="s">
        <v>111</v>
      </c>
      <c r="F765" t="s">
        <v>22</v>
      </c>
      <c r="G765" t="s">
        <v>55</v>
      </c>
      <c r="H765" t="s">
        <v>69</v>
      </c>
      <c r="I765" t="s">
        <v>84</v>
      </c>
      <c r="J765" t="s">
        <v>36</v>
      </c>
      <c r="K765" t="s">
        <v>58</v>
      </c>
      <c r="L765" t="s">
        <v>44</v>
      </c>
      <c r="M765" s="46">
        <v>74600</v>
      </c>
      <c r="N765">
        <v>0.154</v>
      </c>
      <c r="O765">
        <v>0.75</v>
      </c>
      <c r="P765" t="s">
        <v>59</v>
      </c>
      <c r="R765">
        <v>97</v>
      </c>
      <c r="S765">
        <v>5258.96</v>
      </c>
      <c r="T765">
        <f>Deals_[[#This Row],[Amount]]*Deals_[[#This Row],[Probability_Pct]]</f>
        <v>55950</v>
      </c>
    </row>
    <row r="766" spans="1:20" x14ac:dyDescent="0.2">
      <c r="A766" t="s">
        <v>1376</v>
      </c>
      <c r="B766" s="7">
        <v>46250</v>
      </c>
      <c r="C766" s="7">
        <v>46302</v>
      </c>
      <c r="D766" t="s">
        <v>523</v>
      </c>
      <c r="E766" t="s">
        <v>33</v>
      </c>
      <c r="F766" t="s">
        <v>22</v>
      </c>
      <c r="G766" t="s">
        <v>55</v>
      </c>
      <c r="H766" t="s">
        <v>77</v>
      </c>
      <c r="I766" t="s">
        <v>84</v>
      </c>
      <c r="J766" t="s">
        <v>57</v>
      </c>
      <c r="K766" t="s">
        <v>37</v>
      </c>
      <c r="L766" t="s">
        <v>51</v>
      </c>
      <c r="M766" s="46">
        <v>39900</v>
      </c>
      <c r="N766">
        <v>0.11799999999999999</v>
      </c>
      <c r="O766">
        <v>0.1</v>
      </c>
      <c r="P766" t="s">
        <v>38</v>
      </c>
      <c r="R766">
        <v>52</v>
      </c>
      <c r="S766">
        <v>2932.18</v>
      </c>
      <c r="T766">
        <f>Deals_[[#This Row],[Amount]]*Deals_[[#This Row],[Probability_Pct]]</f>
        <v>3990</v>
      </c>
    </row>
    <row r="767" spans="1:20" x14ac:dyDescent="0.2">
      <c r="A767" t="s">
        <v>1377</v>
      </c>
      <c r="B767" s="7">
        <v>45988</v>
      </c>
      <c r="C767" s="7">
        <v>46026</v>
      </c>
      <c r="D767" t="s">
        <v>130</v>
      </c>
      <c r="E767" t="s">
        <v>33</v>
      </c>
      <c r="F767" t="s">
        <v>48</v>
      </c>
      <c r="G767" t="s">
        <v>92</v>
      </c>
      <c r="H767" t="s">
        <v>69</v>
      </c>
      <c r="I767" t="s">
        <v>65</v>
      </c>
      <c r="J767" t="s">
        <v>85</v>
      </c>
      <c r="K767" t="s">
        <v>78</v>
      </c>
      <c r="L767" t="s">
        <v>51</v>
      </c>
      <c r="M767" s="46">
        <v>25900</v>
      </c>
      <c r="N767">
        <v>0.13800000000000001</v>
      </c>
      <c r="O767">
        <v>0.55000000000000004</v>
      </c>
      <c r="P767" t="s">
        <v>79</v>
      </c>
      <c r="R767">
        <v>38</v>
      </c>
      <c r="S767">
        <v>1861.13</v>
      </c>
      <c r="T767">
        <f>Deals_[[#This Row],[Amount]]*Deals_[[#This Row],[Probability_Pct]]</f>
        <v>14245.000000000002</v>
      </c>
    </row>
    <row r="768" spans="1:20" x14ac:dyDescent="0.2">
      <c r="A768" t="s">
        <v>1378</v>
      </c>
      <c r="B768" s="7">
        <v>45953</v>
      </c>
      <c r="C768" s="7">
        <v>46019</v>
      </c>
      <c r="D768" t="s">
        <v>1139</v>
      </c>
      <c r="E768" t="s">
        <v>33</v>
      </c>
      <c r="F768" t="s">
        <v>22</v>
      </c>
      <c r="G768" t="s">
        <v>55</v>
      </c>
      <c r="H768" t="s">
        <v>24</v>
      </c>
      <c r="I768" t="s">
        <v>99</v>
      </c>
      <c r="J768" t="s">
        <v>26</v>
      </c>
      <c r="K768" t="s">
        <v>50</v>
      </c>
      <c r="L768" t="s">
        <v>44</v>
      </c>
      <c r="M768" s="46">
        <v>99300</v>
      </c>
      <c r="N768">
        <v>0.106</v>
      </c>
      <c r="O768">
        <v>1</v>
      </c>
      <c r="P768" t="s">
        <v>29</v>
      </c>
      <c r="R768">
        <v>66</v>
      </c>
      <c r="S768">
        <v>7399.73</v>
      </c>
      <c r="T768">
        <f>Deals_[[#This Row],[Amount]]*Deals_[[#This Row],[Probability_Pct]]</f>
        <v>99300</v>
      </c>
    </row>
    <row r="769" spans="1:20" x14ac:dyDescent="0.2">
      <c r="A769" t="s">
        <v>1379</v>
      </c>
      <c r="B769" s="7">
        <v>45935</v>
      </c>
      <c r="C769" s="7">
        <v>46026</v>
      </c>
      <c r="D769" t="s">
        <v>427</v>
      </c>
      <c r="E769" t="s">
        <v>111</v>
      </c>
      <c r="F769" t="s">
        <v>22</v>
      </c>
      <c r="G769" t="s">
        <v>34</v>
      </c>
      <c r="H769" t="s">
        <v>98</v>
      </c>
      <c r="I769" t="s">
        <v>25</v>
      </c>
      <c r="J769" t="s">
        <v>43</v>
      </c>
      <c r="K769" t="s">
        <v>58</v>
      </c>
      <c r="L769" t="s">
        <v>51</v>
      </c>
      <c r="M769" s="46">
        <v>79600</v>
      </c>
      <c r="N769">
        <v>5.8000000000000003E-2</v>
      </c>
      <c r="O769">
        <v>0.75</v>
      </c>
      <c r="P769" t="s">
        <v>59</v>
      </c>
      <c r="R769">
        <v>91</v>
      </c>
      <c r="S769">
        <v>6247.08</v>
      </c>
      <c r="T769">
        <f>Deals_[[#This Row],[Amount]]*Deals_[[#This Row],[Probability_Pct]]</f>
        <v>59700</v>
      </c>
    </row>
    <row r="770" spans="1:20" x14ac:dyDescent="0.2">
      <c r="A770" t="s">
        <v>1380</v>
      </c>
      <c r="B770" s="7">
        <v>46175</v>
      </c>
      <c r="C770" s="7">
        <v>46310</v>
      </c>
      <c r="D770" t="s">
        <v>1381</v>
      </c>
      <c r="E770" t="s">
        <v>54</v>
      </c>
      <c r="F770" t="s">
        <v>74</v>
      </c>
      <c r="G770" t="s">
        <v>34</v>
      </c>
      <c r="H770" t="s">
        <v>24</v>
      </c>
      <c r="I770" t="s">
        <v>65</v>
      </c>
      <c r="J770" t="s">
        <v>36</v>
      </c>
      <c r="K770" t="s">
        <v>106</v>
      </c>
      <c r="L770" t="s">
        <v>51</v>
      </c>
      <c r="M770" s="46">
        <v>231500</v>
      </c>
      <c r="N770">
        <v>0.13900000000000001</v>
      </c>
      <c r="O770">
        <v>0.2</v>
      </c>
      <c r="P770" t="s">
        <v>38</v>
      </c>
      <c r="R770">
        <v>135</v>
      </c>
      <c r="S770">
        <v>16613.43</v>
      </c>
      <c r="T770">
        <f>Deals_[[#This Row],[Amount]]*Deals_[[#This Row],[Probability_Pct]]</f>
        <v>46300</v>
      </c>
    </row>
    <row r="771" spans="1:20" x14ac:dyDescent="0.2">
      <c r="A771" t="s">
        <v>1382</v>
      </c>
      <c r="B771" s="7">
        <v>46249</v>
      </c>
      <c r="C771" s="7">
        <v>46311</v>
      </c>
      <c r="D771" t="s">
        <v>1383</v>
      </c>
      <c r="E771" t="s">
        <v>54</v>
      </c>
      <c r="F771" t="s">
        <v>74</v>
      </c>
      <c r="G771" t="s">
        <v>55</v>
      </c>
      <c r="H771" t="s">
        <v>56</v>
      </c>
      <c r="I771" t="s">
        <v>65</v>
      </c>
      <c r="J771" t="s">
        <v>36</v>
      </c>
      <c r="K771" t="s">
        <v>58</v>
      </c>
      <c r="L771" t="s">
        <v>44</v>
      </c>
      <c r="M771" s="46">
        <v>171700</v>
      </c>
      <c r="N771">
        <v>0.182</v>
      </c>
      <c r="O771">
        <v>0.7</v>
      </c>
      <c r="P771" t="s">
        <v>59</v>
      </c>
      <c r="R771">
        <v>62</v>
      </c>
      <c r="S771">
        <v>11710.63</v>
      </c>
      <c r="T771">
        <f>Deals_[[#This Row],[Amount]]*Deals_[[#This Row],[Probability_Pct]]</f>
        <v>120189.99999999999</v>
      </c>
    </row>
    <row r="772" spans="1:20" x14ac:dyDescent="0.2">
      <c r="A772" t="s">
        <v>1384</v>
      </c>
      <c r="B772" s="7">
        <v>45969</v>
      </c>
      <c r="C772" s="7">
        <v>46000</v>
      </c>
      <c r="D772" t="s">
        <v>1385</v>
      </c>
      <c r="E772" t="s">
        <v>111</v>
      </c>
      <c r="F772" t="s">
        <v>22</v>
      </c>
      <c r="G772" t="s">
        <v>92</v>
      </c>
      <c r="H772" t="s">
        <v>98</v>
      </c>
      <c r="I772" t="s">
        <v>42</v>
      </c>
      <c r="J772" t="s">
        <v>43</v>
      </c>
      <c r="K772" t="s">
        <v>78</v>
      </c>
      <c r="L772" t="s">
        <v>51</v>
      </c>
      <c r="M772" s="46">
        <v>63800</v>
      </c>
      <c r="N772">
        <v>2.1999999999999999E-2</v>
      </c>
      <c r="O772">
        <v>0.55000000000000004</v>
      </c>
      <c r="P772" t="s">
        <v>79</v>
      </c>
      <c r="R772">
        <v>31</v>
      </c>
      <c r="S772">
        <v>5197.87</v>
      </c>
      <c r="T772">
        <f>Deals_[[#This Row],[Amount]]*Deals_[[#This Row],[Probability_Pct]]</f>
        <v>35090</v>
      </c>
    </row>
    <row r="773" spans="1:20" x14ac:dyDescent="0.2">
      <c r="A773" t="s">
        <v>1386</v>
      </c>
      <c r="B773" s="7">
        <v>46089</v>
      </c>
      <c r="C773" s="7">
        <v>46193</v>
      </c>
      <c r="D773" t="s">
        <v>1126</v>
      </c>
      <c r="E773" t="s">
        <v>62</v>
      </c>
      <c r="F773" t="s">
        <v>48</v>
      </c>
      <c r="G773" t="s">
        <v>63</v>
      </c>
      <c r="H773" t="s">
        <v>56</v>
      </c>
      <c r="I773" t="s">
        <v>35</v>
      </c>
      <c r="J773" t="s">
        <v>85</v>
      </c>
      <c r="K773" t="s">
        <v>50</v>
      </c>
      <c r="L773" t="s">
        <v>28</v>
      </c>
      <c r="M773" s="46">
        <v>10700</v>
      </c>
      <c r="N773">
        <v>0.115</v>
      </c>
      <c r="O773">
        <v>1</v>
      </c>
      <c r="P773" t="s">
        <v>29</v>
      </c>
      <c r="R773">
        <v>104</v>
      </c>
      <c r="S773">
        <v>789.38</v>
      </c>
      <c r="T773">
        <f>Deals_[[#This Row],[Amount]]*Deals_[[#This Row],[Probability_Pct]]</f>
        <v>10700</v>
      </c>
    </row>
    <row r="774" spans="1:20" x14ac:dyDescent="0.2">
      <c r="A774" t="s">
        <v>1387</v>
      </c>
      <c r="B774" s="7">
        <v>46045</v>
      </c>
      <c r="C774" s="7">
        <v>46121</v>
      </c>
      <c r="D774" t="s">
        <v>1388</v>
      </c>
      <c r="E774" t="s">
        <v>21</v>
      </c>
      <c r="F774" t="s">
        <v>48</v>
      </c>
      <c r="G774" t="s">
        <v>34</v>
      </c>
      <c r="H774" t="s">
        <v>98</v>
      </c>
      <c r="I774" t="s">
        <v>84</v>
      </c>
      <c r="J774" t="s">
        <v>57</v>
      </c>
      <c r="K774" t="s">
        <v>50</v>
      </c>
      <c r="L774" t="s">
        <v>44</v>
      </c>
      <c r="M774" s="46">
        <v>8700</v>
      </c>
      <c r="N774">
        <v>0.14199999999999999</v>
      </c>
      <c r="O774">
        <v>0.95</v>
      </c>
      <c r="P774" t="s">
        <v>29</v>
      </c>
      <c r="R774">
        <v>76</v>
      </c>
      <c r="S774">
        <v>622.29999999999995</v>
      </c>
      <c r="T774">
        <f>Deals_[[#This Row],[Amount]]*Deals_[[#This Row],[Probability_Pct]]</f>
        <v>8265</v>
      </c>
    </row>
    <row r="775" spans="1:20" x14ac:dyDescent="0.2">
      <c r="A775" t="s">
        <v>1389</v>
      </c>
      <c r="B775" s="7">
        <v>45967</v>
      </c>
      <c r="C775" s="7">
        <v>46013</v>
      </c>
      <c r="D775" t="s">
        <v>623</v>
      </c>
      <c r="E775" t="s">
        <v>111</v>
      </c>
      <c r="F775" t="s">
        <v>74</v>
      </c>
      <c r="G775" t="s">
        <v>92</v>
      </c>
      <c r="H775" t="s">
        <v>98</v>
      </c>
      <c r="I775" t="s">
        <v>42</v>
      </c>
      <c r="J775" t="s">
        <v>26</v>
      </c>
      <c r="K775" t="s">
        <v>88</v>
      </c>
      <c r="L775" t="s">
        <v>51</v>
      </c>
      <c r="M775" s="46">
        <v>152100</v>
      </c>
      <c r="N775">
        <v>0.13200000000000001</v>
      </c>
      <c r="O775">
        <v>0.35</v>
      </c>
      <c r="P775" t="s">
        <v>38</v>
      </c>
      <c r="R775">
        <v>46</v>
      </c>
      <c r="S775">
        <v>11001.61</v>
      </c>
      <c r="T775">
        <f>Deals_[[#This Row],[Amount]]*Deals_[[#This Row],[Probability_Pct]]</f>
        <v>53235</v>
      </c>
    </row>
    <row r="776" spans="1:20" x14ac:dyDescent="0.2">
      <c r="A776" t="s">
        <v>1390</v>
      </c>
      <c r="B776" s="7">
        <v>46169</v>
      </c>
      <c r="C776" s="7">
        <v>46299</v>
      </c>
      <c r="D776" t="s">
        <v>394</v>
      </c>
      <c r="E776" t="s">
        <v>54</v>
      </c>
      <c r="F776" t="s">
        <v>22</v>
      </c>
      <c r="G776" t="s">
        <v>23</v>
      </c>
      <c r="H776" t="s">
        <v>98</v>
      </c>
      <c r="I776" t="s">
        <v>84</v>
      </c>
      <c r="J776" t="s">
        <v>57</v>
      </c>
      <c r="K776" t="s">
        <v>58</v>
      </c>
      <c r="L776" t="s">
        <v>51</v>
      </c>
      <c r="M776" s="46">
        <v>88700</v>
      </c>
      <c r="N776">
        <v>0.14299999999999999</v>
      </c>
      <c r="O776">
        <v>0.8</v>
      </c>
      <c r="P776" t="s">
        <v>59</v>
      </c>
      <c r="R776">
        <v>130</v>
      </c>
      <c r="S776">
        <v>6332.91</v>
      </c>
      <c r="T776">
        <f>Deals_[[#This Row],[Amount]]*Deals_[[#This Row],[Probability_Pct]]</f>
        <v>70960</v>
      </c>
    </row>
    <row r="777" spans="1:20" x14ac:dyDescent="0.2">
      <c r="A777" t="s">
        <v>1391</v>
      </c>
      <c r="B777" s="7">
        <v>46222</v>
      </c>
      <c r="C777" s="7">
        <v>46276</v>
      </c>
      <c r="D777" t="s">
        <v>447</v>
      </c>
      <c r="E777" t="s">
        <v>54</v>
      </c>
      <c r="F777" t="s">
        <v>48</v>
      </c>
      <c r="G777" t="s">
        <v>92</v>
      </c>
      <c r="H777" t="s">
        <v>83</v>
      </c>
      <c r="I777" t="s">
        <v>25</v>
      </c>
      <c r="J777" t="s">
        <v>36</v>
      </c>
      <c r="K777" t="s">
        <v>106</v>
      </c>
      <c r="L777" t="s">
        <v>44</v>
      </c>
      <c r="M777" s="46">
        <v>27200</v>
      </c>
      <c r="N777">
        <v>0.112</v>
      </c>
      <c r="O777">
        <v>0.2</v>
      </c>
      <c r="P777" t="s">
        <v>38</v>
      </c>
      <c r="R777">
        <v>54</v>
      </c>
      <c r="S777">
        <v>2012.43</v>
      </c>
      <c r="T777">
        <f>Deals_[[#This Row],[Amount]]*Deals_[[#This Row],[Probability_Pct]]</f>
        <v>5440</v>
      </c>
    </row>
    <row r="778" spans="1:20" x14ac:dyDescent="0.2">
      <c r="A778" t="s">
        <v>1392</v>
      </c>
      <c r="B778" s="7">
        <v>46181</v>
      </c>
      <c r="C778" s="7">
        <v>46230</v>
      </c>
      <c r="D778" t="s">
        <v>1393</v>
      </c>
      <c r="E778" t="s">
        <v>111</v>
      </c>
      <c r="F778" t="s">
        <v>22</v>
      </c>
      <c r="G778" t="s">
        <v>92</v>
      </c>
      <c r="H778" t="s">
        <v>83</v>
      </c>
      <c r="I778" t="s">
        <v>25</v>
      </c>
      <c r="J778" t="s">
        <v>85</v>
      </c>
      <c r="K778" t="s">
        <v>50</v>
      </c>
      <c r="L778" t="s">
        <v>28</v>
      </c>
      <c r="M778" s="46">
        <v>42800</v>
      </c>
      <c r="N778">
        <v>0.217</v>
      </c>
      <c r="O778">
        <v>1</v>
      </c>
      <c r="P778" t="s">
        <v>29</v>
      </c>
      <c r="R778">
        <v>49</v>
      </c>
      <c r="S778">
        <v>2793.75</v>
      </c>
      <c r="T778">
        <f>Deals_[[#This Row],[Amount]]*Deals_[[#This Row],[Probability_Pct]]</f>
        <v>42800</v>
      </c>
    </row>
    <row r="779" spans="1:20" x14ac:dyDescent="0.2">
      <c r="A779" t="s">
        <v>1394</v>
      </c>
      <c r="B779" s="7">
        <v>46194</v>
      </c>
      <c r="C779" s="7">
        <v>46249</v>
      </c>
      <c r="D779" t="s">
        <v>1120</v>
      </c>
      <c r="E779" t="s">
        <v>21</v>
      </c>
      <c r="F779" t="s">
        <v>48</v>
      </c>
      <c r="G779" t="s">
        <v>63</v>
      </c>
      <c r="H779" t="s">
        <v>137</v>
      </c>
      <c r="I779" t="s">
        <v>35</v>
      </c>
      <c r="J779" t="s">
        <v>26</v>
      </c>
      <c r="K779" t="s">
        <v>106</v>
      </c>
      <c r="L779" t="s">
        <v>28</v>
      </c>
      <c r="M779" s="46">
        <v>13400</v>
      </c>
      <c r="N779">
        <v>0.1</v>
      </c>
      <c r="O779">
        <v>0.2</v>
      </c>
      <c r="P779" t="s">
        <v>38</v>
      </c>
      <c r="R779">
        <v>55</v>
      </c>
      <c r="S779">
        <v>1005.3</v>
      </c>
      <c r="T779">
        <f>Deals_[[#This Row],[Amount]]*Deals_[[#This Row],[Probability_Pct]]</f>
        <v>2680</v>
      </c>
    </row>
    <row r="780" spans="1:20" x14ac:dyDescent="0.2">
      <c r="A780" t="s">
        <v>1395</v>
      </c>
      <c r="B780" s="7">
        <v>45939</v>
      </c>
      <c r="C780" s="7">
        <v>46013</v>
      </c>
      <c r="D780" t="s">
        <v>1039</v>
      </c>
      <c r="E780" t="s">
        <v>62</v>
      </c>
      <c r="F780" t="s">
        <v>48</v>
      </c>
      <c r="G780" t="s">
        <v>92</v>
      </c>
      <c r="H780" t="s">
        <v>56</v>
      </c>
      <c r="I780" t="s">
        <v>84</v>
      </c>
      <c r="J780" t="s">
        <v>26</v>
      </c>
      <c r="K780" t="s">
        <v>37</v>
      </c>
      <c r="L780" t="s">
        <v>44</v>
      </c>
      <c r="M780" s="46">
        <v>7000</v>
      </c>
      <c r="N780">
        <v>0.13200000000000001</v>
      </c>
      <c r="O780">
        <v>0.1</v>
      </c>
      <c r="P780" t="s">
        <v>38</v>
      </c>
      <c r="R780">
        <v>74</v>
      </c>
      <c r="S780">
        <v>506.34</v>
      </c>
      <c r="T780">
        <f>Deals_[[#This Row],[Amount]]*Deals_[[#This Row],[Probability_Pct]]</f>
        <v>700</v>
      </c>
    </row>
    <row r="781" spans="1:20" x14ac:dyDescent="0.2">
      <c r="A781" t="s">
        <v>1396</v>
      </c>
      <c r="B781" s="7">
        <v>46070</v>
      </c>
      <c r="C781" s="7">
        <v>46146</v>
      </c>
      <c r="D781" t="s">
        <v>729</v>
      </c>
      <c r="E781" t="s">
        <v>62</v>
      </c>
      <c r="F781" t="s">
        <v>74</v>
      </c>
      <c r="G781" t="s">
        <v>34</v>
      </c>
      <c r="H781" t="s">
        <v>98</v>
      </c>
      <c r="I781" t="s">
        <v>25</v>
      </c>
      <c r="J781" t="s">
        <v>43</v>
      </c>
      <c r="K781" t="s">
        <v>106</v>
      </c>
      <c r="L781" t="s">
        <v>44</v>
      </c>
      <c r="M781" s="46">
        <v>262400</v>
      </c>
      <c r="N781">
        <v>0.23599999999999999</v>
      </c>
      <c r="O781">
        <v>0.15</v>
      </c>
      <c r="P781" t="s">
        <v>38</v>
      </c>
      <c r="R781">
        <v>76</v>
      </c>
      <c r="S781">
        <v>16713.150000000001</v>
      </c>
      <c r="T781">
        <f>Deals_[[#This Row],[Amount]]*Deals_[[#This Row],[Probability_Pct]]</f>
        <v>39360</v>
      </c>
    </row>
    <row r="782" spans="1:20" x14ac:dyDescent="0.2">
      <c r="A782" t="s">
        <v>1397</v>
      </c>
      <c r="B782" s="7">
        <v>45972</v>
      </c>
      <c r="C782" s="7">
        <v>46111</v>
      </c>
      <c r="D782" t="s">
        <v>788</v>
      </c>
      <c r="E782" t="s">
        <v>54</v>
      </c>
      <c r="F782" t="s">
        <v>48</v>
      </c>
      <c r="G782" t="s">
        <v>23</v>
      </c>
      <c r="H782" t="s">
        <v>77</v>
      </c>
      <c r="I782" t="s">
        <v>65</v>
      </c>
      <c r="J782" t="s">
        <v>43</v>
      </c>
      <c r="K782" t="s">
        <v>37</v>
      </c>
      <c r="L782" t="s">
        <v>44</v>
      </c>
      <c r="M782" s="46">
        <v>7700</v>
      </c>
      <c r="N782">
        <v>0.10100000000000001</v>
      </c>
      <c r="O782">
        <v>0.1</v>
      </c>
      <c r="P782" t="s">
        <v>38</v>
      </c>
      <c r="R782">
        <v>139</v>
      </c>
      <c r="S782">
        <v>576.6</v>
      </c>
      <c r="T782">
        <f>Deals_[[#This Row],[Amount]]*Deals_[[#This Row],[Probability_Pct]]</f>
        <v>770</v>
      </c>
    </row>
    <row r="783" spans="1:20" x14ac:dyDescent="0.2">
      <c r="A783" t="s">
        <v>1398</v>
      </c>
      <c r="B783" s="7">
        <v>46255</v>
      </c>
      <c r="C783" s="7">
        <v>46277</v>
      </c>
      <c r="D783" t="s">
        <v>640</v>
      </c>
      <c r="E783" t="s">
        <v>62</v>
      </c>
      <c r="F783" t="s">
        <v>48</v>
      </c>
      <c r="G783" t="s">
        <v>55</v>
      </c>
      <c r="H783" t="s">
        <v>98</v>
      </c>
      <c r="I783" t="s">
        <v>65</v>
      </c>
      <c r="J783" t="s">
        <v>85</v>
      </c>
      <c r="K783" t="s">
        <v>50</v>
      </c>
      <c r="L783" t="s">
        <v>44</v>
      </c>
      <c r="M783" s="46">
        <v>24500</v>
      </c>
      <c r="N783">
        <v>0.113</v>
      </c>
      <c r="O783">
        <v>0.95</v>
      </c>
      <c r="P783" t="s">
        <v>29</v>
      </c>
      <c r="R783">
        <v>22</v>
      </c>
      <c r="S783">
        <v>1810.29</v>
      </c>
      <c r="T783">
        <f>Deals_[[#This Row],[Amount]]*Deals_[[#This Row],[Probability_Pct]]</f>
        <v>23275</v>
      </c>
    </row>
    <row r="784" spans="1:20" x14ac:dyDescent="0.2">
      <c r="A784" t="s">
        <v>1399</v>
      </c>
      <c r="B784" s="7">
        <v>45942</v>
      </c>
      <c r="C784" s="7">
        <v>45997</v>
      </c>
      <c r="D784" t="s">
        <v>1336</v>
      </c>
      <c r="E784" t="s">
        <v>111</v>
      </c>
      <c r="F784" t="s">
        <v>48</v>
      </c>
      <c r="G784" t="s">
        <v>55</v>
      </c>
      <c r="H784" t="s">
        <v>98</v>
      </c>
      <c r="I784" t="s">
        <v>65</v>
      </c>
      <c r="J784" t="s">
        <v>26</v>
      </c>
      <c r="K784" t="s">
        <v>106</v>
      </c>
      <c r="L784" t="s">
        <v>44</v>
      </c>
      <c r="M784" s="46">
        <v>6900</v>
      </c>
      <c r="N784">
        <v>1.6E-2</v>
      </c>
      <c r="O784">
        <v>0.2</v>
      </c>
      <c r="P784" t="s">
        <v>38</v>
      </c>
      <c r="R784">
        <v>55</v>
      </c>
      <c r="S784">
        <v>565.57000000000005</v>
      </c>
      <c r="T784">
        <f>Deals_[[#This Row],[Amount]]*Deals_[[#This Row],[Probability_Pct]]</f>
        <v>1380</v>
      </c>
    </row>
    <row r="785" spans="1:20" x14ac:dyDescent="0.2">
      <c r="A785" t="s">
        <v>1400</v>
      </c>
      <c r="B785" s="7">
        <v>46122</v>
      </c>
      <c r="C785" s="7">
        <v>46148</v>
      </c>
      <c r="D785" t="s">
        <v>775</v>
      </c>
      <c r="E785" t="s">
        <v>91</v>
      </c>
      <c r="F785" t="s">
        <v>48</v>
      </c>
      <c r="G785" t="s">
        <v>34</v>
      </c>
      <c r="H785" t="s">
        <v>98</v>
      </c>
      <c r="I785" t="s">
        <v>35</v>
      </c>
      <c r="J785" t="s">
        <v>43</v>
      </c>
      <c r="K785" t="s">
        <v>106</v>
      </c>
      <c r="L785" t="s">
        <v>51</v>
      </c>
      <c r="M785" s="46">
        <v>9200</v>
      </c>
      <c r="N785">
        <v>0.111</v>
      </c>
      <c r="O785">
        <v>0.2</v>
      </c>
      <c r="P785" t="s">
        <v>38</v>
      </c>
      <c r="R785">
        <v>26</v>
      </c>
      <c r="S785">
        <v>681.54</v>
      </c>
      <c r="T785">
        <f>Deals_[[#This Row],[Amount]]*Deals_[[#This Row],[Probability_Pct]]</f>
        <v>1840</v>
      </c>
    </row>
    <row r="786" spans="1:20" x14ac:dyDescent="0.2">
      <c r="A786" t="s">
        <v>1401</v>
      </c>
      <c r="B786" s="7">
        <v>45967</v>
      </c>
      <c r="C786" s="7">
        <v>46079</v>
      </c>
      <c r="D786" t="s">
        <v>316</v>
      </c>
      <c r="E786" t="s">
        <v>21</v>
      </c>
      <c r="F786" t="s">
        <v>74</v>
      </c>
      <c r="G786" t="s">
        <v>92</v>
      </c>
      <c r="H786" t="s">
        <v>95</v>
      </c>
      <c r="I786" t="s">
        <v>99</v>
      </c>
      <c r="J786" t="s">
        <v>85</v>
      </c>
      <c r="K786" t="s">
        <v>106</v>
      </c>
      <c r="L786" t="s">
        <v>51</v>
      </c>
      <c r="M786" s="46">
        <v>326700</v>
      </c>
      <c r="N786">
        <v>0.14399999999999999</v>
      </c>
      <c r="O786">
        <v>0.25</v>
      </c>
      <c r="P786" t="s">
        <v>38</v>
      </c>
      <c r="R786">
        <v>112</v>
      </c>
      <c r="S786">
        <v>23291.52</v>
      </c>
      <c r="T786">
        <f>Deals_[[#This Row],[Amount]]*Deals_[[#This Row],[Probability_Pct]]</f>
        <v>81675</v>
      </c>
    </row>
    <row r="787" spans="1:20" x14ac:dyDescent="0.2">
      <c r="A787" t="s">
        <v>1402</v>
      </c>
      <c r="B787" s="7">
        <v>46256</v>
      </c>
      <c r="C787" s="7">
        <v>46329</v>
      </c>
      <c r="D787" t="s">
        <v>1403</v>
      </c>
      <c r="E787" t="s">
        <v>82</v>
      </c>
      <c r="F787" t="s">
        <v>22</v>
      </c>
      <c r="G787" t="s">
        <v>92</v>
      </c>
      <c r="H787" t="s">
        <v>49</v>
      </c>
      <c r="I787" t="s">
        <v>25</v>
      </c>
      <c r="J787" t="s">
        <v>26</v>
      </c>
      <c r="K787" t="s">
        <v>78</v>
      </c>
      <c r="L787" t="s">
        <v>44</v>
      </c>
      <c r="M787" s="46">
        <v>87400</v>
      </c>
      <c r="N787">
        <v>6.9000000000000006E-2</v>
      </c>
      <c r="O787">
        <v>0.6</v>
      </c>
      <c r="P787" t="s">
        <v>79</v>
      </c>
      <c r="R787">
        <v>73</v>
      </c>
      <c r="S787">
        <v>6781.72</v>
      </c>
      <c r="T787">
        <f>Deals_[[#This Row],[Amount]]*Deals_[[#This Row],[Probability_Pct]]</f>
        <v>52440</v>
      </c>
    </row>
    <row r="788" spans="1:20" x14ac:dyDescent="0.2">
      <c r="A788" t="s">
        <v>1404</v>
      </c>
      <c r="B788" s="7">
        <v>46156</v>
      </c>
      <c r="C788" s="7">
        <v>46230</v>
      </c>
      <c r="D788" t="s">
        <v>1405</v>
      </c>
      <c r="E788" t="s">
        <v>54</v>
      </c>
      <c r="F788" t="s">
        <v>48</v>
      </c>
      <c r="G788" t="s">
        <v>92</v>
      </c>
      <c r="H788" t="s">
        <v>120</v>
      </c>
      <c r="I788" t="s">
        <v>25</v>
      </c>
      <c r="J788" t="s">
        <v>43</v>
      </c>
      <c r="K788" t="s">
        <v>50</v>
      </c>
      <c r="L788" t="s">
        <v>44</v>
      </c>
      <c r="M788" s="46">
        <v>21600</v>
      </c>
      <c r="N788">
        <v>0.17499999999999999</v>
      </c>
      <c r="O788">
        <v>1</v>
      </c>
      <c r="P788" t="s">
        <v>29</v>
      </c>
      <c r="R788">
        <v>74</v>
      </c>
      <c r="S788">
        <v>1484.8</v>
      </c>
      <c r="T788">
        <f>Deals_[[#This Row],[Amount]]*Deals_[[#This Row],[Probability_Pct]]</f>
        <v>21600</v>
      </c>
    </row>
    <row r="789" spans="1:20" x14ac:dyDescent="0.2">
      <c r="A789" t="s">
        <v>1406</v>
      </c>
      <c r="B789" s="7">
        <v>46103</v>
      </c>
      <c r="C789" s="7">
        <v>46250</v>
      </c>
      <c r="D789" t="s">
        <v>738</v>
      </c>
      <c r="E789" t="s">
        <v>33</v>
      </c>
      <c r="F789" t="s">
        <v>22</v>
      </c>
      <c r="G789" t="s">
        <v>23</v>
      </c>
      <c r="H789" t="s">
        <v>98</v>
      </c>
      <c r="I789" t="s">
        <v>25</v>
      </c>
      <c r="J789" t="s">
        <v>26</v>
      </c>
      <c r="K789" t="s">
        <v>58</v>
      </c>
      <c r="L789" t="s">
        <v>51</v>
      </c>
      <c r="M789" s="46">
        <v>87100</v>
      </c>
      <c r="N789">
        <v>8.2000000000000003E-2</v>
      </c>
      <c r="O789">
        <v>0.8</v>
      </c>
      <c r="P789" t="s">
        <v>59</v>
      </c>
      <c r="R789">
        <v>147</v>
      </c>
      <c r="S789">
        <v>6660.83</v>
      </c>
      <c r="T789">
        <f>Deals_[[#This Row],[Amount]]*Deals_[[#This Row],[Probability_Pct]]</f>
        <v>69680</v>
      </c>
    </row>
    <row r="790" spans="1:20" x14ac:dyDescent="0.2">
      <c r="A790" t="s">
        <v>1407</v>
      </c>
      <c r="B790" s="7">
        <v>46131</v>
      </c>
      <c r="C790" s="7">
        <v>46149</v>
      </c>
      <c r="D790" t="s">
        <v>1220</v>
      </c>
      <c r="E790" t="s">
        <v>91</v>
      </c>
      <c r="F790" t="s">
        <v>22</v>
      </c>
      <c r="G790" t="s">
        <v>23</v>
      </c>
      <c r="H790" t="s">
        <v>98</v>
      </c>
      <c r="I790" t="s">
        <v>35</v>
      </c>
      <c r="J790" t="s">
        <v>85</v>
      </c>
      <c r="K790" t="s">
        <v>50</v>
      </c>
      <c r="L790" t="s">
        <v>44</v>
      </c>
      <c r="M790" s="46">
        <v>35400</v>
      </c>
      <c r="N790">
        <v>1.6E-2</v>
      </c>
      <c r="O790">
        <v>1</v>
      </c>
      <c r="P790" t="s">
        <v>29</v>
      </c>
      <c r="R790">
        <v>18</v>
      </c>
      <c r="S790">
        <v>2903.07</v>
      </c>
      <c r="T790">
        <f>Deals_[[#This Row],[Amount]]*Deals_[[#This Row],[Probability_Pct]]</f>
        <v>35400</v>
      </c>
    </row>
    <row r="791" spans="1:20" x14ac:dyDescent="0.2">
      <c r="A791" t="s">
        <v>1408</v>
      </c>
      <c r="B791" s="7">
        <v>46277</v>
      </c>
      <c r="C791" s="7">
        <v>46292</v>
      </c>
      <c r="D791" t="s">
        <v>1009</v>
      </c>
      <c r="E791" t="s">
        <v>33</v>
      </c>
      <c r="F791" t="s">
        <v>48</v>
      </c>
      <c r="G791" t="s">
        <v>92</v>
      </c>
      <c r="H791" t="s">
        <v>77</v>
      </c>
      <c r="I791" t="s">
        <v>99</v>
      </c>
      <c r="J791" t="s">
        <v>43</v>
      </c>
      <c r="K791" t="s">
        <v>58</v>
      </c>
      <c r="L791" t="s">
        <v>28</v>
      </c>
      <c r="M791" s="46">
        <v>26400</v>
      </c>
      <c r="N791">
        <v>0.182</v>
      </c>
      <c r="O791">
        <v>0.75</v>
      </c>
      <c r="P791" t="s">
        <v>59</v>
      </c>
      <c r="R791">
        <v>15</v>
      </c>
      <c r="S791">
        <v>1800.14</v>
      </c>
      <c r="T791">
        <f>Deals_[[#This Row],[Amount]]*Deals_[[#This Row],[Probability_Pct]]</f>
        <v>19800</v>
      </c>
    </row>
    <row r="792" spans="1:20" x14ac:dyDescent="0.2">
      <c r="A792" t="s">
        <v>1409</v>
      </c>
      <c r="B792" s="7">
        <v>46242</v>
      </c>
      <c r="C792" s="7">
        <v>46327</v>
      </c>
      <c r="D792" t="s">
        <v>97</v>
      </c>
      <c r="E792" t="s">
        <v>91</v>
      </c>
      <c r="F792" t="s">
        <v>22</v>
      </c>
      <c r="G792" t="s">
        <v>55</v>
      </c>
      <c r="H792" t="s">
        <v>83</v>
      </c>
      <c r="I792" t="s">
        <v>35</v>
      </c>
      <c r="J792" t="s">
        <v>26</v>
      </c>
      <c r="K792" t="s">
        <v>106</v>
      </c>
      <c r="L792" t="s">
        <v>44</v>
      </c>
      <c r="M792" s="46">
        <v>87700</v>
      </c>
      <c r="N792">
        <v>0.11899999999999999</v>
      </c>
      <c r="O792">
        <v>0.2</v>
      </c>
      <c r="P792" t="s">
        <v>38</v>
      </c>
      <c r="R792">
        <v>85</v>
      </c>
      <c r="S792">
        <v>6440.75</v>
      </c>
      <c r="T792">
        <f>Deals_[[#This Row],[Amount]]*Deals_[[#This Row],[Probability_Pct]]</f>
        <v>17540</v>
      </c>
    </row>
    <row r="793" spans="1:20" x14ac:dyDescent="0.2">
      <c r="A793" t="s">
        <v>1410</v>
      </c>
      <c r="B793" s="7">
        <v>46161</v>
      </c>
      <c r="C793" s="7">
        <v>46262</v>
      </c>
      <c r="D793" t="s">
        <v>314</v>
      </c>
      <c r="E793" t="s">
        <v>54</v>
      </c>
      <c r="F793" t="s">
        <v>22</v>
      </c>
      <c r="G793" t="s">
        <v>92</v>
      </c>
      <c r="H793" t="s">
        <v>98</v>
      </c>
      <c r="I793" t="s">
        <v>65</v>
      </c>
      <c r="J793" t="s">
        <v>43</v>
      </c>
      <c r="K793" t="s">
        <v>88</v>
      </c>
      <c r="L793" t="s">
        <v>51</v>
      </c>
      <c r="M793" s="46">
        <v>47500</v>
      </c>
      <c r="N793">
        <v>9.8000000000000004E-2</v>
      </c>
      <c r="O793">
        <v>0.35</v>
      </c>
      <c r="P793" t="s">
        <v>38</v>
      </c>
      <c r="R793">
        <v>101</v>
      </c>
      <c r="S793">
        <v>3568.56</v>
      </c>
      <c r="T793">
        <f>Deals_[[#This Row],[Amount]]*Deals_[[#This Row],[Probability_Pct]]</f>
        <v>16625</v>
      </c>
    </row>
    <row r="794" spans="1:20" x14ac:dyDescent="0.2">
      <c r="A794" t="s">
        <v>1411</v>
      </c>
      <c r="B794" s="7">
        <v>45931</v>
      </c>
      <c r="C794" s="7">
        <v>46001</v>
      </c>
      <c r="D794" t="s">
        <v>1071</v>
      </c>
      <c r="E794" t="s">
        <v>111</v>
      </c>
      <c r="F794" t="s">
        <v>48</v>
      </c>
      <c r="G794" t="s">
        <v>34</v>
      </c>
      <c r="H794" t="s">
        <v>24</v>
      </c>
      <c r="I794" t="s">
        <v>42</v>
      </c>
      <c r="J794" t="s">
        <v>36</v>
      </c>
      <c r="K794" t="s">
        <v>58</v>
      </c>
      <c r="L794" t="s">
        <v>28</v>
      </c>
      <c r="M794" s="46">
        <v>23100</v>
      </c>
      <c r="N794">
        <v>0.26600000000000001</v>
      </c>
      <c r="O794">
        <v>0.75</v>
      </c>
      <c r="P794" t="s">
        <v>59</v>
      </c>
      <c r="R794">
        <v>70</v>
      </c>
      <c r="S794">
        <v>1412.69</v>
      </c>
      <c r="T794">
        <f>Deals_[[#This Row],[Amount]]*Deals_[[#This Row],[Probability_Pct]]</f>
        <v>17325</v>
      </c>
    </row>
    <row r="795" spans="1:20" x14ac:dyDescent="0.2">
      <c r="A795" t="s">
        <v>1412</v>
      </c>
      <c r="B795" s="7">
        <v>46270</v>
      </c>
      <c r="C795" s="7">
        <v>46334</v>
      </c>
      <c r="D795" t="s">
        <v>829</v>
      </c>
      <c r="E795" t="s">
        <v>62</v>
      </c>
      <c r="F795" t="s">
        <v>74</v>
      </c>
      <c r="G795" t="s">
        <v>63</v>
      </c>
      <c r="H795" t="s">
        <v>56</v>
      </c>
      <c r="I795" t="s">
        <v>25</v>
      </c>
      <c r="J795" t="s">
        <v>43</v>
      </c>
      <c r="K795" t="s">
        <v>88</v>
      </c>
      <c r="L795" t="s">
        <v>51</v>
      </c>
      <c r="M795" s="46">
        <v>216600</v>
      </c>
      <c r="N795">
        <v>0.17299999999999999</v>
      </c>
      <c r="O795">
        <v>0.3</v>
      </c>
      <c r="P795" t="s">
        <v>38</v>
      </c>
      <c r="R795">
        <v>64</v>
      </c>
      <c r="S795">
        <v>14927.49</v>
      </c>
      <c r="T795">
        <f>Deals_[[#This Row],[Amount]]*Deals_[[#This Row],[Probability_Pct]]</f>
        <v>64980</v>
      </c>
    </row>
    <row r="796" spans="1:20" x14ac:dyDescent="0.2">
      <c r="A796" t="s">
        <v>1413</v>
      </c>
      <c r="B796" s="7">
        <v>46193</v>
      </c>
      <c r="C796" s="7">
        <v>46273</v>
      </c>
      <c r="D796" t="s">
        <v>1084</v>
      </c>
      <c r="E796" t="s">
        <v>54</v>
      </c>
      <c r="F796" t="s">
        <v>48</v>
      </c>
      <c r="G796" t="s">
        <v>92</v>
      </c>
      <c r="H796" t="s">
        <v>56</v>
      </c>
      <c r="I796" t="s">
        <v>65</v>
      </c>
      <c r="J796" t="s">
        <v>26</v>
      </c>
      <c r="K796" t="s">
        <v>58</v>
      </c>
      <c r="L796" t="s">
        <v>44</v>
      </c>
      <c r="M796" s="46">
        <v>6300</v>
      </c>
      <c r="N796">
        <v>9.5000000000000001E-2</v>
      </c>
      <c r="O796">
        <v>0.75</v>
      </c>
      <c r="P796" t="s">
        <v>59</v>
      </c>
      <c r="R796">
        <v>80</v>
      </c>
      <c r="S796">
        <v>474.96</v>
      </c>
      <c r="T796">
        <f>Deals_[[#This Row],[Amount]]*Deals_[[#This Row],[Probability_Pct]]</f>
        <v>4725</v>
      </c>
    </row>
    <row r="797" spans="1:20" x14ac:dyDescent="0.2">
      <c r="A797" t="s">
        <v>1414</v>
      </c>
      <c r="B797" s="7">
        <v>46147</v>
      </c>
      <c r="C797" s="7">
        <v>46246</v>
      </c>
      <c r="D797" t="s">
        <v>1183</v>
      </c>
      <c r="E797" t="s">
        <v>68</v>
      </c>
      <c r="F797" t="s">
        <v>22</v>
      </c>
      <c r="G797" t="s">
        <v>63</v>
      </c>
      <c r="H797" t="s">
        <v>120</v>
      </c>
      <c r="I797" t="s">
        <v>25</v>
      </c>
      <c r="J797" t="s">
        <v>36</v>
      </c>
      <c r="K797" t="s">
        <v>37</v>
      </c>
      <c r="L797" t="s">
        <v>28</v>
      </c>
      <c r="M797" s="46">
        <v>86100</v>
      </c>
      <c r="N797">
        <v>9.7000000000000003E-2</v>
      </c>
      <c r="O797">
        <v>0.15</v>
      </c>
      <c r="P797" t="s">
        <v>38</v>
      </c>
      <c r="R797">
        <v>99</v>
      </c>
      <c r="S797">
        <v>6482.41</v>
      </c>
      <c r="T797">
        <f>Deals_[[#This Row],[Amount]]*Deals_[[#This Row],[Probability_Pct]]</f>
        <v>12915</v>
      </c>
    </row>
    <row r="798" spans="1:20" x14ac:dyDescent="0.2">
      <c r="A798" t="s">
        <v>1415</v>
      </c>
      <c r="B798" s="7">
        <v>46220</v>
      </c>
      <c r="C798" s="7">
        <v>46277</v>
      </c>
      <c r="D798" t="s">
        <v>1416</v>
      </c>
      <c r="E798" t="s">
        <v>33</v>
      </c>
      <c r="F798" t="s">
        <v>48</v>
      </c>
      <c r="G798" t="s">
        <v>34</v>
      </c>
      <c r="H798" t="s">
        <v>24</v>
      </c>
      <c r="I798" t="s">
        <v>65</v>
      </c>
      <c r="J798" t="s">
        <v>57</v>
      </c>
      <c r="K798" t="s">
        <v>50</v>
      </c>
      <c r="L798" t="s">
        <v>28</v>
      </c>
      <c r="M798" s="46">
        <v>27600</v>
      </c>
      <c r="N798">
        <v>7.2999999999999995E-2</v>
      </c>
      <c r="O798">
        <v>1</v>
      </c>
      <c r="P798" t="s">
        <v>29</v>
      </c>
      <c r="R798">
        <v>57</v>
      </c>
      <c r="S798">
        <v>2133.21</v>
      </c>
      <c r="T798">
        <f>Deals_[[#This Row],[Amount]]*Deals_[[#This Row],[Probability_Pct]]</f>
        <v>27600</v>
      </c>
    </row>
    <row r="799" spans="1:20" x14ac:dyDescent="0.2">
      <c r="A799" t="s">
        <v>1417</v>
      </c>
      <c r="B799" s="7">
        <v>46131</v>
      </c>
      <c r="C799" s="7">
        <v>46192</v>
      </c>
      <c r="D799" t="s">
        <v>1418</v>
      </c>
      <c r="E799" t="s">
        <v>21</v>
      </c>
      <c r="F799" t="s">
        <v>22</v>
      </c>
      <c r="G799" t="s">
        <v>23</v>
      </c>
      <c r="H799" t="s">
        <v>95</v>
      </c>
      <c r="I799" t="s">
        <v>42</v>
      </c>
      <c r="J799" t="s">
        <v>26</v>
      </c>
      <c r="K799" t="s">
        <v>37</v>
      </c>
      <c r="L799" t="s">
        <v>51</v>
      </c>
      <c r="M799" s="46">
        <v>26100</v>
      </c>
      <c r="N799">
        <v>2.9000000000000001E-2</v>
      </c>
      <c r="O799">
        <v>0.15</v>
      </c>
      <c r="P799" t="s">
        <v>38</v>
      </c>
      <c r="R799">
        <v>61</v>
      </c>
      <c r="S799">
        <v>2111.9899999999998</v>
      </c>
      <c r="T799">
        <f>Deals_[[#This Row],[Amount]]*Deals_[[#This Row],[Probability_Pct]]</f>
        <v>3915</v>
      </c>
    </row>
    <row r="800" spans="1:20" x14ac:dyDescent="0.2">
      <c r="A800" t="s">
        <v>1419</v>
      </c>
      <c r="B800" s="7">
        <v>45935</v>
      </c>
      <c r="C800" s="7">
        <v>46056</v>
      </c>
      <c r="D800" t="s">
        <v>581</v>
      </c>
      <c r="E800" t="s">
        <v>68</v>
      </c>
      <c r="F800" t="s">
        <v>74</v>
      </c>
      <c r="G800" t="s">
        <v>23</v>
      </c>
      <c r="H800" t="s">
        <v>49</v>
      </c>
      <c r="I800" t="s">
        <v>25</v>
      </c>
      <c r="J800" t="s">
        <v>57</v>
      </c>
      <c r="K800" t="s">
        <v>88</v>
      </c>
      <c r="L800" t="s">
        <v>44</v>
      </c>
      <c r="M800" s="46">
        <v>125200</v>
      </c>
      <c r="N800">
        <v>6.5000000000000002E-2</v>
      </c>
      <c r="O800">
        <v>0.35</v>
      </c>
      <c r="P800" t="s">
        <v>38</v>
      </c>
      <c r="R800">
        <v>121</v>
      </c>
      <c r="S800">
        <v>9751.17</v>
      </c>
      <c r="T800">
        <f>Deals_[[#This Row],[Amount]]*Deals_[[#This Row],[Probability_Pct]]</f>
        <v>43820</v>
      </c>
    </row>
    <row r="801" spans="1:20" x14ac:dyDescent="0.2">
      <c r="A801" t="s">
        <v>1420</v>
      </c>
      <c r="B801" s="7">
        <v>46011</v>
      </c>
      <c r="C801" s="7">
        <v>46147</v>
      </c>
      <c r="D801" t="s">
        <v>410</v>
      </c>
      <c r="E801" t="s">
        <v>62</v>
      </c>
      <c r="F801" t="s">
        <v>74</v>
      </c>
      <c r="G801" t="s">
        <v>23</v>
      </c>
      <c r="H801" t="s">
        <v>98</v>
      </c>
      <c r="I801" t="s">
        <v>65</v>
      </c>
      <c r="J801" t="s">
        <v>36</v>
      </c>
      <c r="K801" t="s">
        <v>37</v>
      </c>
      <c r="L801" t="s">
        <v>28</v>
      </c>
      <c r="M801" s="46">
        <v>264600</v>
      </c>
      <c r="N801">
        <v>0</v>
      </c>
      <c r="O801">
        <v>0.1</v>
      </c>
      <c r="P801" t="s">
        <v>38</v>
      </c>
      <c r="R801">
        <v>136</v>
      </c>
      <c r="S801">
        <v>22050</v>
      </c>
      <c r="T801">
        <f>Deals_[[#This Row],[Amount]]*Deals_[[#This Row],[Probability_Pct]]</f>
        <v>26460</v>
      </c>
    </row>
    <row r="802" spans="1:20" x14ac:dyDescent="0.2">
      <c r="A802" t="s">
        <v>1421</v>
      </c>
      <c r="B802" s="7">
        <v>46072</v>
      </c>
      <c r="C802" s="7">
        <v>46189</v>
      </c>
      <c r="D802" t="s">
        <v>1422</v>
      </c>
      <c r="E802" t="s">
        <v>68</v>
      </c>
      <c r="F802" t="s">
        <v>48</v>
      </c>
      <c r="G802" t="s">
        <v>63</v>
      </c>
      <c r="H802" t="s">
        <v>120</v>
      </c>
      <c r="I802" t="s">
        <v>99</v>
      </c>
      <c r="J802" t="s">
        <v>85</v>
      </c>
      <c r="K802" t="s">
        <v>37</v>
      </c>
      <c r="L802" t="s">
        <v>44</v>
      </c>
      <c r="M802" s="46">
        <v>20700</v>
      </c>
      <c r="N802">
        <v>0.106</v>
      </c>
      <c r="O802">
        <v>0.1</v>
      </c>
      <c r="P802" t="s">
        <v>38</v>
      </c>
      <c r="R802">
        <v>117</v>
      </c>
      <c r="S802">
        <v>1542.65</v>
      </c>
      <c r="T802">
        <f>Deals_[[#This Row],[Amount]]*Deals_[[#This Row],[Probability_Pct]]</f>
        <v>2070</v>
      </c>
    </row>
    <row r="803" spans="1:20" x14ac:dyDescent="0.2">
      <c r="A803" t="s">
        <v>1423</v>
      </c>
      <c r="B803" s="7">
        <v>46267</v>
      </c>
      <c r="C803" s="7">
        <v>46291</v>
      </c>
      <c r="D803" t="s">
        <v>431</v>
      </c>
      <c r="E803" t="s">
        <v>62</v>
      </c>
      <c r="F803" t="s">
        <v>48</v>
      </c>
      <c r="G803" t="s">
        <v>34</v>
      </c>
      <c r="H803" t="s">
        <v>120</v>
      </c>
      <c r="I803" t="s">
        <v>84</v>
      </c>
      <c r="J803" t="s">
        <v>26</v>
      </c>
      <c r="K803" t="s">
        <v>106</v>
      </c>
      <c r="L803" t="s">
        <v>51</v>
      </c>
      <c r="M803" s="46">
        <v>18500</v>
      </c>
      <c r="N803">
        <v>0.122</v>
      </c>
      <c r="O803">
        <v>0.25</v>
      </c>
      <c r="P803" t="s">
        <v>38</v>
      </c>
      <c r="R803">
        <v>24</v>
      </c>
      <c r="S803">
        <v>1352.9</v>
      </c>
      <c r="T803">
        <f>Deals_[[#This Row],[Amount]]*Deals_[[#This Row],[Probability_Pct]]</f>
        <v>4625</v>
      </c>
    </row>
    <row r="804" spans="1:20" x14ac:dyDescent="0.2">
      <c r="A804" t="s">
        <v>1424</v>
      </c>
      <c r="B804" s="7">
        <v>46140</v>
      </c>
      <c r="C804" s="7">
        <v>46240</v>
      </c>
      <c r="D804" t="s">
        <v>1425</v>
      </c>
      <c r="E804" t="s">
        <v>82</v>
      </c>
      <c r="F804" t="s">
        <v>48</v>
      </c>
      <c r="G804" t="s">
        <v>23</v>
      </c>
      <c r="H804" t="s">
        <v>77</v>
      </c>
      <c r="I804" t="s">
        <v>35</v>
      </c>
      <c r="J804" t="s">
        <v>57</v>
      </c>
      <c r="K804" t="s">
        <v>50</v>
      </c>
      <c r="L804" t="s">
        <v>44</v>
      </c>
      <c r="M804" s="46">
        <v>28400</v>
      </c>
      <c r="N804">
        <v>0.124</v>
      </c>
      <c r="O804">
        <v>1</v>
      </c>
      <c r="P804" t="s">
        <v>29</v>
      </c>
      <c r="R804">
        <v>100</v>
      </c>
      <c r="S804">
        <v>2074.1</v>
      </c>
      <c r="T804">
        <f>Deals_[[#This Row],[Amount]]*Deals_[[#This Row],[Probability_Pct]]</f>
        <v>28400</v>
      </c>
    </row>
    <row r="805" spans="1:20" x14ac:dyDescent="0.2">
      <c r="A805" t="s">
        <v>1426</v>
      </c>
      <c r="B805" s="7">
        <v>46182</v>
      </c>
      <c r="C805" s="7">
        <v>46277</v>
      </c>
      <c r="D805" t="s">
        <v>921</v>
      </c>
      <c r="E805" t="s">
        <v>54</v>
      </c>
      <c r="F805" t="s">
        <v>74</v>
      </c>
      <c r="G805" t="s">
        <v>92</v>
      </c>
      <c r="H805" t="s">
        <v>64</v>
      </c>
      <c r="I805" t="s">
        <v>25</v>
      </c>
      <c r="J805" t="s">
        <v>36</v>
      </c>
      <c r="K805" t="s">
        <v>27</v>
      </c>
      <c r="L805" t="s">
        <v>28</v>
      </c>
      <c r="M805" s="46">
        <v>259800</v>
      </c>
      <c r="N805">
        <v>0.14000000000000001</v>
      </c>
      <c r="O805">
        <v>0.05</v>
      </c>
      <c r="P805" t="s">
        <v>29</v>
      </c>
      <c r="Q805" t="s">
        <v>188</v>
      </c>
      <c r="R805">
        <v>95</v>
      </c>
      <c r="S805">
        <v>18623.66</v>
      </c>
      <c r="T805">
        <f>Deals_[[#This Row],[Amount]]*Deals_[[#This Row],[Probability_Pct]]</f>
        <v>12990</v>
      </c>
    </row>
    <row r="806" spans="1:20" x14ac:dyDescent="0.2">
      <c r="A806" t="s">
        <v>1427</v>
      </c>
      <c r="B806" s="7">
        <v>46242</v>
      </c>
      <c r="C806" s="7">
        <v>46287</v>
      </c>
      <c r="D806" t="s">
        <v>1428</v>
      </c>
      <c r="E806" t="s">
        <v>33</v>
      </c>
      <c r="F806" t="s">
        <v>48</v>
      </c>
      <c r="G806" t="s">
        <v>92</v>
      </c>
      <c r="H806" t="s">
        <v>77</v>
      </c>
      <c r="I806" t="s">
        <v>35</v>
      </c>
      <c r="J806" t="s">
        <v>57</v>
      </c>
      <c r="K806" t="s">
        <v>78</v>
      </c>
      <c r="L806" t="s">
        <v>28</v>
      </c>
      <c r="M806" s="46">
        <v>27300</v>
      </c>
      <c r="N806">
        <v>8.5000000000000006E-2</v>
      </c>
      <c r="O806">
        <v>0.55000000000000004</v>
      </c>
      <c r="P806" t="s">
        <v>79</v>
      </c>
      <c r="R806">
        <v>45</v>
      </c>
      <c r="S806">
        <v>2081.33</v>
      </c>
      <c r="T806">
        <f>Deals_[[#This Row],[Amount]]*Deals_[[#This Row],[Probability_Pct]]</f>
        <v>15015.000000000002</v>
      </c>
    </row>
    <row r="807" spans="1:20" x14ac:dyDescent="0.2">
      <c r="A807" t="s">
        <v>1429</v>
      </c>
      <c r="B807" s="7">
        <v>45971</v>
      </c>
      <c r="C807" s="7">
        <v>46070</v>
      </c>
      <c r="D807" t="s">
        <v>73</v>
      </c>
      <c r="E807" t="s">
        <v>111</v>
      </c>
      <c r="F807" t="s">
        <v>48</v>
      </c>
      <c r="G807" t="s">
        <v>55</v>
      </c>
      <c r="H807" t="s">
        <v>64</v>
      </c>
      <c r="I807" t="s">
        <v>65</v>
      </c>
      <c r="J807" t="s">
        <v>57</v>
      </c>
      <c r="K807" t="s">
        <v>37</v>
      </c>
      <c r="L807" t="s">
        <v>28</v>
      </c>
      <c r="M807" s="46">
        <v>12500</v>
      </c>
      <c r="N807">
        <v>8.6999999999999994E-2</v>
      </c>
      <c r="O807">
        <v>0.15</v>
      </c>
      <c r="P807" t="s">
        <v>38</v>
      </c>
      <c r="R807">
        <v>99</v>
      </c>
      <c r="S807">
        <v>951.48</v>
      </c>
      <c r="T807">
        <f>Deals_[[#This Row],[Amount]]*Deals_[[#This Row],[Probability_Pct]]</f>
        <v>1875</v>
      </c>
    </row>
    <row r="808" spans="1:20" x14ac:dyDescent="0.2">
      <c r="A808" t="s">
        <v>1430</v>
      </c>
      <c r="B808" s="7">
        <v>46238</v>
      </c>
      <c r="C808" s="7">
        <v>46336</v>
      </c>
      <c r="D808" t="s">
        <v>1431</v>
      </c>
      <c r="E808" t="s">
        <v>62</v>
      </c>
      <c r="F808" t="s">
        <v>48</v>
      </c>
      <c r="G808" t="s">
        <v>92</v>
      </c>
      <c r="H808" t="s">
        <v>49</v>
      </c>
      <c r="I808" t="s">
        <v>84</v>
      </c>
      <c r="J808" t="s">
        <v>26</v>
      </c>
      <c r="K808" t="s">
        <v>78</v>
      </c>
      <c r="L808" t="s">
        <v>51</v>
      </c>
      <c r="M808" s="46">
        <v>9900</v>
      </c>
      <c r="N808">
        <v>0.115</v>
      </c>
      <c r="O808">
        <v>0.6</v>
      </c>
      <c r="P808" t="s">
        <v>79</v>
      </c>
      <c r="R808">
        <v>98</v>
      </c>
      <c r="S808">
        <v>729.98</v>
      </c>
      <c r="T808">
        <f>Deals_[[#This Row],[Amount]]*Deals_[[#This Row],[Probability_Pct]]</f>
        <v>5940</v>
      </c>
    </row>
    <row r="809" spans="1:20" x14ac:dyDescent="0.2">
      <c r="A809" t="s">
        <v>1432</v>
      </c>
      <c r="B809" s="7">
        <v>46253</v>
      </c>
      <c r="C809" s="7">
        <v>46277</v>
      </c>
      <c r="D809" t="s">
        <v>1305</v>
      </c>
      <c r="E809" t="s">
        <v>62</v>
      </c>
      <c r="F809" t="s">
        <v>48</v>
      </c>
      <c r="G809" t="s">
        <v>63</v>
      </c>
      <c r="H809" t="s">
        <v>41</v>
      </c>
      <c r="I809" t="s">
        <v>65</v>
      </c>
      <c r="J809" t="s">
        <v>36</v>
      </c>
      <c r="K809" t="s">
        <v>50</v>
      </c>
      <c r="L809" t="s">
        <v>28</v>
      </c>
      <c r="M809" s="46">
        <v>13500</v>
      </c>
      <c r="N809">
        <v>0.13300000000000001</v>
      </c>
      <c r="O809">
        <v>1</v>
      </c>
      <c r="P809" t="s">
        <v>29</v>
      </c>
      <c r="R809">
        <v>24</v>
      </c>
      <c r="S809">
        <v>975.56</v>
      </c>
      <c r="T809">
        <f>Deals_[[#This Row],[Amount]]*Deals_[[#This Row],[Probability_Pct]]</f>
        <v>13500</v>
      </c>
    </row>
    <row r="810" spans="1:20" x14ac:dyDescent="0.2">
      <c r="A810" t="s">
        <v>1433</v>
      </c>
      <c r="B810" s="7">
        <v>46113</v>
      </c>
      <c r="C810" s="7">
        <v>46244</v>
      </c>
      <c r="D810" t="s">
        <v>811</v>
      </c>
      <c r="E810" t="s">
        <v>62</v>
      </c>
      <c r="F810" t="s">
        <v>48</v>
      </c>
      <c r="G810" t="s">
        <v>34</v>
      </c>
      <c r="H810" t="s">
        <v>83</v>
      </c>
      <c r="I810" t="s">
        <v>65</v>
      </c>
      <c r="J810" t="s">
        <v>57</v>
      </c>
      <c r="K810" t="s">
        <v>58</v>
      </c>
      <c r="L810" t="s">
        <v>51</v>
      </c>
      <c r="M810" s="46">
        <v>29800</v>
      </c>
      <c r="N810">
        <v>9.6000000000000002E-2</v>
      </c>
      <c r="O810">
        <v>0.75</v>
      </c>
      <c r="P810" t="s">
        <v>59</v>
      </c>
      <c r="R810">
        <v>131</v>
      </c>
      <c r="S810">
        <v>2246.0100000000002</v>
      </c>
      <c r="T810">
        <f>Deals_[[#This Row],[Amount]]*Deals_[[#This Row],[Probability_Pct]]</f>
        <v>22350</v>
      </c>
    </row>
    <row r="811" spans="1:20" x14ac:dyDescent="0.2">
      <c r="A811" t="s">
        <v>1434</v>
      </c>
      <c r="B811" s="7">
        <v>45935</v>
      </c>
      <c r="C811" s="7">
        <v>46038</v>
      </c>
      <c r="D811" t="s">
        <v>390</v>
      </c>
      <c r="E811" t="s">
        <v>91</v>
      </c>
      <c r="F811" t="s">
        <v>22</v>
      </c>
      <c r="G811" t="s">
        <v>63</v>
      </c>
      <c r="H811" t="s">
        <v>64</v>
      </c>
      <c r="I811" t="s">
        <v>99</v>
      </c>
      <c r="J811" t="s">
        <v>36</v>
      </c>
      <c r="K811" t="s">
        <v>78</v>
      </c>
      <c r="L811" t="s">
        <v>51</v>
      </c>
      <c r="M811" s="46">
        <v>66900</v>
      </c>
      <c r="N811">
        <v>8.7999999999999995E-2</v>
      </c>
      <c r="O811">
        <v>0.55000000000000004</v>
      </c>
      <c r="P811" t="s">
        <v>79</v>
      </c>
      <c r="R811">
        <v>103</v>
      </c>
      <c r="S811">
        <v>5084.12</v>
      </c>
      <c r="T811">
        <f>Deals_[[#This Row],[Amount]]*Deals_[[#This Row],[Probability_Pct]]</f>
        <v>36795</v>
      </c>
    </row>
    <row r="812" spans="1:20" x14ac:dyDescent="0.2">
      <c r="A812" t="s">
        <v>1435</v>
      </c>
      <c r="B812" s="7">
        <v>46062</v>
      </c>
      <c r="C812" s="7">
        <v>46160</v>
      </c>
      <c r="D812" t="s">
        <v>1436</v>
      </c>
      <c r="E812" t="s">
        <v>33</v>
      </c>
      <c r="F812" t="s">
        <v>74</v>
      </c>
      <c r="G812" t="s">
        <v>63</v>
      </c>
      <c r="H812" t="s">
        <v>69</v>
      </c>
      <c r="I812" t="s">
        <v>25</v>
      </c>
      <c r="J812" t="s">
        <v>36</v>
      </c>
      <c r="K812" t="s">
        <v>37</v>
      </c>
      <c r="L812" t="s">
        <v>44</v>
      </c>
      <c r="M812" s="46">
        <v>184600</v>
      </c>
      <c r="N812">
        <v>7.1999999999999995E-2</v>
      </c>
      <c r="O812">
        <v>0.1</v>
      </c>
      <c r="P812" t="s">
        <v>38</v>
      </c>
      <c r="R812">
        <v>98</v>
      </c>
      <c r="S812">
        <v>14273.21</v>
      </c>
      <c r="T812">
        <f>Deals_[[#This Row],[Amount]]*Deals_[[#This Row],[Probability_Pct]]</f>
        <v>18460</v>
      </c>
    </row>
    <row r="813" spans="1:20" x14ac:dyDescent="0.2">
      <c r="A813" t="s">
        <v>1437</v>
      </c>
      <c r="B813" s="7">
        <v>45983</v>
      </c>
      <c r="C813" s="7">
        <v>46032</v>
      </c>
      <c r="D813" t="s">
        <v>76</v>
      </c>
      <c r="E813" t="s">
        <v>33</v>
      </c>
      <c r="F813" t="s">
        <v>74</v>
      </c>
      <c r="G813" t="s">
        <v>55</v>
      </c>
      <c r="H813" t="s">
        <v>69</v>
      </c>
      <c r="I813" t="s">
        <v>99</v>
      </c>
      <c r="J813" t="s">
        <v>26</v>
      </c>
      <c r="K813" t="s">
        <v>58</v>
      </c>
      <c r="L813" t="s">
        <v>44</v>
      </c>
      <c r="M813" s="46">
        <v>87900</v>
      </c>
      <c r="N813">
        <v>0.14799999999999999</v>
      </c>
      <c r="O813">
        <v>0.75</v>
      </c>
      <c r="P813" t="s">
        <v>59</v>
      </c>
      <c r="R813">
        <v>49</v>
      </c>
      <c r="S813">
        <v>6240.32</v>
      </c>
      <c r="T813">
        <f>Deals_[[#This Row],[Amount]]*Deals_[[#This Row],[Probability_Pct]]</f>
        <v>65925</v>
      </c>
    </row>
    <row r="814" spans="1:20" x14ac:dyDescent="0.2">
      <c r="A814" t="s">
        <v>1438</v>
      </c>
      <c r="B814" s="7">
        <v>46118</v>
      </c>
      <c r="C814" s="7">
        <v>46254</v>
      </c>
      <c r="D814" t="s">
        <v>1381</v>
      </c>
      <c r="E814" t="s">
        <v>82</v>
      </c>
      <c r="F814" t="s">
        <v>22</v>
      </c>
      <c r="G814" t="s">
        <v>55</v>
      </c>
      <c r="H814" t="s">
        <v>64</v>
      </c>
      <c r="I814" t="s">
        <v>65</v>
      </c>
      <c r="J814" t="s">
        <v>43</v>
      </c>
      <c r="K814" t="s">
        <v>78</v>
      </c>
      <c r="L814" t="s">
        <v>28</v>
      </c>
      <c r="M814" s="46">
        <v>71100</v>
      </c>
      <c r="N814">
        <v>9.5000000000000001E-2</v>
      </c>
      <c r="O814">
        <v>0.55000000000000004</v>
      </c>
      <c r="P814" t="s">
        <v>79</v>
      </c>
      <c r="R814">
        <v>136</v>
      </c>
      <c r="S814">
        <v>5363.45</v>
      </c>
      <c r="T814">
        <f>Deals_[[#This Row],[Amount]]*Deals_[[#This Row],[Probability_Pct]]</f>
        <v>39105</v>
      </c>
    </row>
    <row r="815" spans="1:20" x14ac:dyDescent="0.2">
      <c r="A815" t="s">
        <v>1439</v>
      </c>
      <c r="B815" s="7">
        <v>46147</v>
      </c>
      <c r="C815" s="7">
        <v>46261</v>
      </c>
      <c r="D815" t="s">
        <v>848</v>
      </c>
      <c r="E815" t="s">
        <v>62</v>
      </c>
      <c r="F815" t="s">
        <v>74</v>
      </c>
      <c r="G815" t="s">
        <v>63</v>
      </c>
      <c r="H815" t="s">
        <v>24</v>
      </c>
      <c r="I815" t="s">
        <v>84</v>
      </c>
      <c r="J815" t="s">
        <v>57</v>
      </c>
      <c r="K815" t="s">
        <v>27</v>
      </c>
      <c r="L815" t="s">
        <v>51</v>
      </c>
      <c r="M815" s="46">
        <v>217000</v>
      </c>
      <c r="N815">
        <v>0.22700000000000001</v>
      </c>
      <c r="O815">
        <v>0</v>
      </c>
      <c r="P815" t="s">
        <v>29</v>
      </c>
      <c r="Q815" t="s">
        <v>209</v>
      </c>
      <c r="R815">
        <v>114</v>
      </c>
      <c r="S815">
        <v>13985.91</v>
      </c>
      <c r="T815">
        <f>Deals_[[#This Row],[Amount]]*Deals_[[#This Row],[Probability_Pct]]</f>
        <v>0</v>
      </c>
    </row>
    <row r="816" spans="1:20" x14ac:dyDescent="0.2">
      <c r="A816" t="s">
        <v>1440</v>
      </c>
      <c r="B816" s="7">
        <v>46039</v>
      </c>
      <c r="C816" s="7">
        <v>46087</v>
      </c>
      <c r="D816" t="s">
        <v>578</v>
      </c>
      <c r="E816" t="s">
        <v>62</v>
      </c>
      <c r="F816" t="s">
        <v>22</v>
      </c>
      <c r="G816" t="s">
        <v>63</v>
      </c>
      <c r="H816" t="s">
        <v>77</v>
      </c>
      <c r="I816" t="s">
        <v>25</v>
      </c>
      <c r="J816" t="s">
        <v>36</v>
      </c>
      <c r="K816" t="s">
        <v>50</v>
      </c>
      <c r="L816" t="s">
        <v>44</v>
      </c>
      <c r="M816" s="46">
        <v>64900</v>
      </c>
      <c r="N816">
        <v>4.4999999999999998E-2</v>
      </c>
      <c r="O816">
        <v>1</v>
      </c>
      <c r="P816" t="s">
        <v>29</v>
      </c>
      <c r="R816">
        <v>48</v>
      </c>
      <c r="S816">
        <v>5163.91</v>
      </c>
      <c r="T816">
        <f>Deals_[[#This Row],[Amount]]*Deals_[[#This Row],[Probability_Pct]]</f>
        <v>64900</v>
      </c>
    </row>
    <row r="817" spans="1:20" x14ac:dyDescent="0.2">
      <c r="A817" t="s">
        <v>1441</v>
      </c>
      <c r="B817" s="7">
        <v>46138</v>
      </c>
      <c r="C817" s="7">
        <v>46184</v>
      </c>
      <c r="D817" t="s">
        <v>1174</v>
      </c>
      <c r="E817" t="s">
        <v>68</v>
      </c>
      <c r="F817" t="s">
        <v>48</v>
      </c>
      <c r="G817" t="s">
        <v>92</v>
      </c>
      <c r="H817" t="s">
        <v>64</v>
      </c>
      <c r="I817" t="s">
        <v>25</v>
      </c>
      <c r="J817" t="s">
        <v>85</v>
      </c>
      <c r="K817" t="s">
        <v>58</v>
      </c>
      <c r="L817" t="s">
        <v>44</v>
      </c>
      <c r="M817" s="46">
        <v>17800</v>
      </c>
      <c r="N817">
        <v>6.2E-2</v>
      </c>
      <c r="O817">
        <v>0.7</v>
      </c>
      <c r="P817" t="s">
        <v>59</v>
      </c>
      <c r="R817">
        <v>46</v>
      </c>
      <c r="S817">
        <v>1391.49</v>
      </c>
      <c r="T817">
        <f>Deals_[[#This Row],[Amount]]*Deals_[[#This Row],[Probability_Pct]]</f>
        <v>12460</v>
      </c>
    </row>
    <row r="818" spans="1:20" x14ac:dyDescent="0.2">
      <c r="A818" t="s">
        <v>1442</v>
      </c>
      <c r="B818" s="7">
        <v>46028</v>
      </c>
      <c r="C818" s="7">
        <v>46066</v>
      </c>
      <c r="D818" t="s">
        <v>1443</v>
      </c>
      <c r="E818" t="s">
        <v>82</v>
      </c>
      <c r="F818" t="s">
        <v>22</v>
      </c>
      <c r="G818" t="s">
        <v>63</v>
      </c>
      <c r="H818" t="s">
        <v>83</v>
      </c>
      <c r="I818" t="s">
        <v>84</v>
      </c>
      <c r="J818" t="s">
        <v>26</v>
      </c>
      <c r="K818" t="s">
        <v>106</v>
      </c>
      <c r="L818" t="s">
        <v>44</v>
      </c>
      <c r="M818" s="46">
        <v>38300</v>
      </c>
      <c r="N818">
        <v>3.7999999999999999E-2</v>
      </c>
      <c r="O818">
        <v>0.15</v>
      </c>
      <c r="P818" t="s">
        <v>38</v>
      </c>
      <c r="R818">
        <v>38</v>
      </c>
      <c r="S818">
        <v>3069.56</v>
      </c>
      <c r="T818">
        <f>Deals_[[#This Row],[Amount]]*Deals_[[#This Row],[Probability_Pct]]</f>
        <v>5745</v>
      </c>
    </row>
    <row r="819" spans="1:20" x14ac:dyDescent="0.2">
      <c r="A819" t="s">
        <v>1444</v>
      </c>
      <c r="B819" s="7">
        <v>46126</v>
      </c>
      <c r="C819" s="7">
        <v>46210</v>
      </c>
      <c r="D819" t="s">
        <v>1445</v>
      </c>
      <c r="E819" t="s">
        <v>21</v>
      </c>
      <c r="F819" t="s">
        <v>22</v>
      </c>
      <c r="G819" t="s">
        <v>34</v>
      </c>
      <c r="H819" t="s">
        <v>49</v>
      </c>
      <c r="I819" t="s">
        <v>25</v>
      </c>
      <c r="J819" t="s">
        <v>36</v>
      </c>
      <c r="K819" t="s">
        <v>78</v>
      </c>
      <c r="L819" t="s">
        <v>51</v>
      </c>
      <c r="M819" s="46">
        <v>90000</v>
      </c>
      <c r="N819">
        <v>0.183</v>
      </c>
      <c r="O819">
        <v>0.55000000000000004</v>
      </c>
      <c r="P819" t="s">
        <v>79</v>
      </c>
      <c r="R819">
        <v>84</v>
      </c>
      <c r="S819">
        <v>6130.47</v>
      </c>
      <c r="T819">
        <f>Deals_[[#This Row],[Amount]]*Deals_[[#This Row],[Probability_Pct]]</f>
        <v>49500.000000000007</v>
      </c>
    </row>
    <row r="820" spans="1:20" x14ac:dyDescent="0.2">
      <c r="A820" t="s">
        <v>1446</v>
      </c>
      <c r="B820" s="7">
        <v>46275</v>
      </c>
      <c r="C820" s="7">
        <v>46277</v>
      </c>
      <c r="D820" t="s">
        <v>931</v>
      </c>
      <c r="E820" t="s">
        <v>33</v>
      </c>
      <c r="F820" t="s">
        <v>74</v>
      </c>
      <c r="G820" t="s">
        <v>63</v>
      </c>
      <c r="H820" t="s">
        <v>64</v>
      </c>
      <c r="I820" t="s">
        <v>25</v>
      </c>
      <c r="J820" t="s">
        <v>26</v>
      </c>
      <c r="K820" t="s">
        <v>27</v>
      </c>
      <c r="L820" t="s">
        <v>51</v>
      </c>
      <c r="M820" s="46">
        <v>86900</v>
      </c>
      <c r="N820">
        <v>0.17799999999999999</v>
      </c>
      <c r="O820">
        <v>0</v>
      </c>
      <c r="P820" t="s">
        <v>29</v>
      </c>
      <c r="Q820" t="s">
        <v>30</v>
      </c>
      <c r="R820">
        <v>2</v>
      </c>
      <c r="S820">
        <v>5955.55</v>
      </c>
      <c r="T820">
        <f>Deals_[[#This Row],[Amount]]*Deals_[[#This Row],[Probability_Pct]]</f>
        <v>0</v>
      </c>
    </row>
    <row r="821" spans="1:20" x14ac:dyDescent="0.2">
      <c r="A821" t="s">
        <v>1447</v>
      </c>
      <c r="B821" s="7">
        <v>46215</v>
      </c>
      <c r="C821" s="7">
        <v>46277</v>
      </c>
      <c r="D821" t="s">
        <v>431</v>
      </c>
      <c r="E821" t="s">
        <v>21</v>
      </c>
      <c r="F821" t="s">
        <v>48</v>
      </c>
      <c r="G821" t="s">
        <v>55</v>
      </c>
      <c r="H821" t="s">
        <v>41</v>
      </c>
      <c r="I821" t="s">
        <v>42</v>
      </c>
      <c r="J821" t="s">
        <v>26</v>
      </c>
      <c r="K821" t="s">
        <v>50</v>
      </c>
      <c r="L821" t="s">
        <v>51</v>
      </c>
      <c r="M821" s="46">
        <v>23200</v>
      </c>
      <c r="N821">
        <v>5.8999999999999997E-2</v>
      </c>
      <c r="O821">
        <v>1</v>
      </c>
      <c r="P821" t="s">
        <v>29</v>
      </c>
      <c r="R821">
        <v>62</v>
      </c>
      <c r="S821">
        <v>1819.95</v>
      </c>
      <c r="T821">
        <f>Deals_[[#This Row],[Amount]]*Deals_[[#This Row],[Probability_Pct]]</f>
        <v>23200</v>
      </c>
    </row>
    <row r="822" spans="1:20" x14ac:dyDescent="0.2">
      <c r="A822" t="s">
        <v>1448</v>
      </c>
      <c r="B822" s="7">
        <v>46068</v>
      </c>
      <c r="C822" s="7">
        <v>46105</v>
      </c>
      <c r="D822" t="s">
        <v>1305</v>
      </c>
      <c r="E822" t="s">
        <v>54</v>
      </c>
      <c r="F822" t="s">
        <v>22</v>
      </c>
      <c r="G822" t="s">
        <v>92</v>
      </c>
      <c r="H822" t="s">
        <v>24</v>
      </c>
      <c r="I822" t="s">
        <v>65</v>
      </c>
      <c r="J822" t="s">
        <v>36</v>
      </c>
      <c r="K822" t="s">
        <v>58</v>
      </c>
      <c r="L822" t="s">
        <v>28</v>
      </c>
      <c r="M822" s="46">
        <v>58500</v>
      </c>
      <c r="N822">
        <v>0.22700000000000001</v>
      </c>
      <c r="O822">
        <v>0.7</v>
      </c>
      <c r="P822" t="s">
        <v>59</v>
      </c>
      <c r="R822">
        <v>37</v>
      </c>
      <c r="S822">
        <v>3766.96</v>
      </c>
      <c r="T822">
        <f>Deals_[[#This Row],[Amount]]*Deals_[[#This Row],[Probability_Pct]]</f>
        <v>40950</v>
      </c>
    </row>
    <row r="823" spans="1:20" x14ac:dyDescent="0.2">
      <c r="A823" t="s">
        <v>1449</v>
      </c>
      <c r="B823" s="7">
        <v>46091</v>
      </c>
      <c r="C823" s="7">
        <v>46141</v>
      </c>
      <c r="D823" t="s">
        <v>1450</v>
      </c>
      <c r="E823" t="s">
        <v>91</v>
      </c>
      <c r="F823" t="s">
        <v>74</v>
      </c>
      <c r="G823" t="s">
        <v>55</v>
      </c>
      <c r="H823" t="s">
        <v>69</v>
      </c>
      <c r="I823" t="s">
        <v>42</v>
      </c>
      <c r="J823" t="s">
        <v>43</v>
      </c>
      <c r="K823" t="s">
        <v>27</v>
      </c>
      <c r="L823" t="s">
        <v>51</v>
      </c>
      <c r="M823" s="46">
        <v>184600</v>
      </c>
      <c r="N823">
        <v>9.2999999999999999E-2</v>
      </c>
      <c r="O823">
        <v>0</v>
      </c>
      <c r="P823" t="s">
        <v>29</v>
      </c>
      <c r="Q823" t="s">
        <v>188</v>
      </c>
      <c r="R823">
        <v>50</v>
      </c>
      <c r="S823">
        <v>13947.23</v>
      </c>
      <c r="T823">
        <f>Deals_[[#This Row],[Amount]]*Deals_[[#This Row],[Probability_Pct]]</f>
        <v>0</v>
      </c>
    </row>
    <row r="824" spans="1:20" x14ac:dyDescent="0.2">
      <c r="A824" t="s">
        <v>1451</v>
      </c>
      <c r="B824" s="7">
        <v>46156</v>
      </c>
      <c r="C824" s="7">
        <v>46277</v>
      </c>
      <c r="D824" t="s">
        <v>796</v>
      </c>
      <c r="E824" t="s">
        <v>68</v>
      </c>
      <c r="F824" t="s">
        <v>48</v>
      </c>
      <c r="G824" t="s">
        <v>63</v>
      </c>
      <c r="H824" t="s">
        <v>41</v>
      </c>
      <c r="I824" t="s">
        <v>25</v>
      </c>
      <c r="J824" t="s">
        <v>43</v>
      </c>
      <c r="K824" t="s">
        <v>27</v>
      </c>
      <c r="L824" t="s">
        <v>28</v>
      </c>
      <c r="M824" s="46">
        <v>16400</v>
      </c>
      <c r="N824">
        <v>0</v>
      </c>
      <c r="O824">
        <v>0</v>
      </c>
      <c r="P824" t="s">
        <v>29</v>
      </c>
      <c r="Q824" t="s">
        <v>222</v>
      </c>
      <c r="R824">
        <v>121</v>
      </c>
      <c r="S824">
        <v>1366.67</v>
      </c>
      <c r="T824">
        <f>Deals_[[#This Row],[Amount]]*Deals_[[#This Row],[Probability_Pct]]</f>
        <v>0</v>
      </c>
    </row>
    <row r="825" spans="1:20" x14ac:dyDescent="0.2">
      <c r="A825" t="s">
        <v>1452</v>
      </c>
      <c r="B825" s="7">
        <v>46102</v>
      </c>
      <c r="C825" s="7">
        <v>46228</v>
      </c>
      <c r="D825" t="s">
        <v>377</v>
      </c>
      <c r="E825" t="s">
        <v>33</v>
      </c>
      <c r="F825" t="s">
        <v>22</v>
      </c>
      <c r="G825" t="s">
        <v>92</v>
      </c>
      <c r="H825" t="s">
        <v>137</v>
      </c>
      <c r="I825" t="s">
        <v>42</v>
      </c>
      <c r="J825" t="s">
        <v>85</v>
      </c>
      <c r="K825" t="s">
        <v>58</v>
      </c>
      <c r="L825" t="s">
        <v>44</v>
      </c>
      <c r="M825" s="46">
        <v>48500</v>
      </c>
      <c r="N825">
        <v>0.218</v>
      </c>
      <c r="O825">
        <v>0.7</v>
      </c>
      <c r="P825" t="s">
        <v>59</v>
      </c>
      <c r="R825">
        <v>126</v>
      </c>
      <c r="S825">
        <v>3161.25</v>
      </c>
      <c r="T825">
        <f>Deals_[[#This Row],[Amount]]*Deals_[[#This Row],[Probability_Pct]]</f>
        <v>33950</v>
      </c>
    </row>
    <row r="826" spans="1:20" x14ac:dyDescent="0.2">
      <c r="A826" t="s">
        <v>1453</v>
      </c>
      <c r="B826" s="7">
        <v>46074</v>
      </c>
      <c r="C826" s="7">
        <v>46175</v>
      </c>
      <c r="D826" t="s">
        <v>610</v>
      </c>
      <c r="E826" t="s">
        <v>33</v>
      </c>
      <c r="F826" t="s">
        <v>48</v>
      </c>
      <c r="G826" t="s">
        <v>92</v>
      </c>
      <c r="H826" t="s">
        <v>137</v>
      </c>
      <c r="I826" t="s">
        <v>65</v>
      </c>
      <c r="J826" t="s">
        <v>36</v>
      </c>
      <c r="K826" t="s">
        <v>37</v>
      </c>
      <c r="L826" t="s">
        <v>28</v>
      </c>
      <c r="M826" s="46">
        <v>15400</v>
      </c>
      <c r="N826">
        <v>6.2E-2</v>
      </c>
      <c r="O826">
        <v>0.15</v>
      </c>
      <c r="P826" t="s">
        <v>38</v>
      </c>
      <c r="R826">
        <v>101</v>
      </c>
      <c r="S826">
        <v>1203.31</v>
      </c>
      <c r="T826">
        <f>Deals_[[#This Row],[Amount]]*Deals_[[#This Row],[Probability_Pct]]</f>
        <v>2310</v>
      </c>
    </row>
    <row r="827" spans="1:20" x14ac:dyDescent="0.2">
      <c r="A827" t="s">
        <v>1454</v>
      </c>
      <c r="B827" s="7">
        <v>46138</v>
      </c>
      <c r="C827" s="7">
        <v>46234</v>
      </c>
      <c r="D827" t="s">
        <v>1455</v>
      </c>
      <c r="E827" t="s">
        <v>111</v>
      </c>
      <c r="F827" t="s">
        <v>74</v>
      </c>
      <c r="G827" t="s">
        <v>23</v>
      </c>
      <c r="H827" t="s">
        <v>24</v>
      </c>
      <c r="I827" t="s">
        <v>25</v>
      </c>
      <c r="J827" t="s">
        <v>57</v>
      </c>
      <c r="K827" t="s">
        <v>37</v>
      </c>
      <c r="L827" t="s">
        <v>51</v>
      </c>
      <c r="M827" s="46">
        <v>269300</v>
      </c>
      <c r="N827">
        <v>9.7000000000000003E-2</v>
      </c>
      <c r="O827">
        <v>0.15</v>
      </c>
      <c r="P827" t="s">
        <v>38</v>
      </c>
      <c r="R827">
        <v>96</v>
      </c>
      <c r="S827">
        <v>20261.37</v>
      </c>
      <c r="T827">
        <f>Deals_[[#This Row],[Amount]]*Deals_[[#This Row],[Probability_Pct]]</f>
        <v>40395</v>
      </c>
    </row>
    <row r="828" spans="1:20" x14ac:dyDescent="0.2">
      <c r="A828" t="s">
        <v>1456</v>
      </c>
      <c r="B828" s="7">
        <v>45958</v>
      </c>
      <c r="C828" s="7">
        <v>46016</v>
      </c>
      <c r="D828" t="s">
        <v>1457</v>
      </c>
      <c r="E828" t="s">
        <v>68</v>
      </c>
      <c r="F828" t="s">
        <v>48</v>
      </c>
      <c r="G828" t="s">
        <v>63</v>
      </c>
      <c r="H828" t="s">
        <v>137</v>
      </c>
      <c r="I828" t="s">
        <v>65</v>
      </c>
      <c r="J828" t="s">
        <v>26</v>
      </c>
      <c r="K828" t="s">
        <v>50</v>
      </c>
      <c r="L828" t="s">
        <v>28</v>
      </c>
      <c r="M828" s="46">
        <v>18000</v>
      </c>
      <c r="N828">
        <v>5.6000000000000001E-2</v>
      </c>
      <c r="O828">
        <v>1</v>
      </c>
      <c r="P828" t="s">
        <v>29</v>
      </c>
      <c r="R828">
        <v>58</v>
      </c>
      <c r="S828">
        <v>1415.51</v>
      </c>
      <c r="T828">
        <f>Deals_[[#This Row],[Amount]]*Deals_[[#This Row],[Probability_Pct]]</f>
        <v>18000</v>
      </c>
    </row>
    <row r="829" spans="1:20" x14ac:dyDescent="0.2">
      <c r="A829" t="s">
        <v>1458</v>
      </c>
      <c r="B829" s="7">
        <v>46037</v>
      </c>
      <c r="C829" s="7">
        <v>46087</v>
      </c>
      <c r="D829" t="s">
        <v>132</v>
      </c>
      <c r="E829" t="s">
        <v>111</v>
      </c>
      <c r="F829" t="s">
        <v>22</v>
      </c>
      <c r="G829" t="s">
        <v>63</v>
      </c>
      <c r="H829" t="s">
        <v>83</v>
      </c>
      <c r="I829" t="s">
        <v>65</v>
      </c>
      <c r="J829" t="s">
        <v>85</v>
      </c>
      <c r="K829" t="s">
        <v>50</v>
      </c>
      <c r="L829" t="s">
        <v>28</v>
      </c>
      <c r="M829" s="46">
        <v>79600</v>
      </c>
      <c r="N829">
        <v>3.7999999999999999E-2</v>
      </c>
      <c r="O829">
        <v>1</v>
      </c>
      <c r="P829" t="s">
        <v>29</v>
      </c>
      <c r="R829">
        <v>50</v>
      </c>
      <c r="S829">
        <v>6381.36</v>
      </c>
      <c r="T829">
        <f>Deals_[[#This Row],[Amount]]*Deals_[[#This Row],[Probability_Pct]]</f>
        <v>79600</v>
      </c>
    </row>
    <row r="830" spans="1:20" x14ac:dyDescent="0.2">
      <c r="A830" t="s">
        <v>1459</v>
      </c>
      <c r="B830" s="7">
        <v>46275</v>
      </c>
      <c r="C830" s="7">
        <v>46289</v>
      </c>
      <c r="D830" t="s">
        <v>1289</v>
      </c>
      <c r="E830" t="s">
        <v>33</v>
      </c>
      <c r="F830" t="s">
        <v>22</v>
      </c>
      <c r="G830" t="s">
        <v>34</v>
      </c>
      <c r="H830" t="s">
        <v>24</v>
      </c>
      <c r="I830" t="s">
        <v>65</v>
      </c>
      <c r="J830" t="s">
        <v>57</v>
      </c>
      <c r="K830" t="s">
        <v>58</v>
      </c>
      <c r="L830" t="s">
        <v>28</v>
      </c>
      <c r="M830" s="46">
        <v>36900</v>
      </c>
      <c r="N830">
        <v>0.121</v>
      </c>
      <c r="O830">
        <v>0.75</v>
      </c>
      <c r="P830" t="s">
        <v>59</v>
      </c>
      <c r="R830">
        <v>14</v>
      </c>
      <c r="S830">
        <v>2704.1</v>
      </c>
      <c r="T830">
        <f>Deals_[[#This Row],[Amount]]*Deals_[[#This Row],[Probability_Pct]]</f>
        <v>27675</v>
      </c>
    </row>
    <row r="831" spans="1:20" x14ac:dyDescent="0.2">
      <c r="A831" t="s">
        <v>1460</v>
      </c>
      <c r="B831" s="7">
        <v>46234</v>
      </c>
      <c r="C831" s="7">
        <v>46313</v>
      </c>
      <c r="D831" t="s">
        <v>1179</v>
      </c>
      <c r="E831" t="s">
        <v>21</v>
      </c>
      <c r="F831" t="s">
        <v>22</v>
      </c>
      <c r="G831" t="s">
        <v>55</v>
      </c>
      <c r="H831" t="s">
        <v>56</v>
      </c>
      <c r="I831" t="s">
        <v>25</v>
      </c>
      <c r="J831" t="s">
        <v>85</v>
      </c>
      <c r="K831" t="s">
        <v>58</v>
      </c>
      <c r="L831" t="s">
        <v>44</v>
      </c>
      <c r="M831" s="46">
        <v>81100</v>
      </c>
      <c r="N831">
        <v>0.14799999999999999</v>
      </c>
      <c r="O831">
        <v>0.75</v>
      </c>
      <c r="P831" t="s">
        <v>59</v>
      </c>
      <c r="R831">
        <v>79</v>
      </c>
      <c r="S831">
        <v>5760.16</v>
      </c>
      <c r="T831">
        <f>Deals_[[#This Row],[Amount]]*Deals_[[#This Row],[Probability_Pct]]</f>
        <v>60825</v>
      </c>
    </row>
    <row r="832" spans="1:20" x14ac:dyDescent="0.2">
      <c r="A832" t="s">
        <v>1461</v>
      </c>
      <c r="B832" s="7">
        <v>46245</v>
      </c>
      <c r="C832" s="7">
        <v>46308</v>
      </c>
      <c r="D832" t="s">
        <v>986</v>
      </c>
      <c r="E832" t="s">
        <v>68</v>
      </c>
      <c r="F832" t="s">
        <v>22</v>
      </c>
      <c r="G832" t="s">
        <v>23</v>
      </c>
      <c r="H832" t="s">
        <v>120</v>
      </c>
      <c r="I832" t="s">
        <v>42</v>
      </c>
      <c r="J832" t="s">
        <v>43</v>
      </c>
      <c r="K832" t="s">
        <v>37</v>
      </c>
      <c r="L832" t="s">
        <v>51</v>
      </c>
      <c r="M832" s="46">
        <v>80200</v>
      </c>
      <c r="N832">
        <v>0.15</v>
      </c>
      <c r="O832">
        <v>0.1</v>
      </c>
      <c r="P832" t="s">
        <v>38</v>
      </c>
      <c r="R832">
        <v>63</v>
      </c>
      <c r="S832">
        <v>5681.95</v>
      </c>
      <c r="T832">
        <f>Deals_[[#This Row],[Amount]]*Deals_[[#This Row],[Probability_Pct]]</f>
        <v>8020</v>
      </c>
    </row>
    <row r="833" spans="1:20" x14ac:dyDescent="0.2">
      <c r="A833" t="s">
        <v>1462</v>
      </c>
      <c r="B833" s="7">
        <v>46145</v>
      </c>
      <c r="C833" s="7">
        <v>46277</v>
      </c>
      <c r="D833" t="s">
        <v>517</v>
      </c>
      <c r="E833" t="s">
        <v>111</v>
      </c>
      <c r="F833" t="s">
        <v>48</v>
      </c>
      <c r="G833" t="s">
        <v>92</v>
      </c>
      <c r="H833" t="s">
        <v>56</v>
      </c>
      <c r="I833" t="s">
        <v>42</v>
      </c>
      <c r="J833" t="s">
        <v>26</v>
      </c>
      <c r="K833" t="s">
        <v>50</v>
      </c>
      <c r="L833" t="s">
        <v>51</v>
      </c>
      <c r="M833" s="46">
        <v>7100</v>
      </c>
      <c r="N833">
        <v>0.15</v>
      </c>
      <c r="O833">
        <v>0.95</v>
      </c>
      <c r="P833" t="s">
        <v>29</v>
      </c>
      <c r="R833">
        <v>132</v>
      </c>
      <c r="S833">
        <v>503.21</v>
      </c>
      <c r="T833">
        <f>Deals_[[#This Row],[Amount]]*Deals_[[#This Row],[Probability_Pct]]</f>
        <v>6745</v>
      </c>
    </row>
    <row r="834" spans="1:20" x14ac:dyDescent="0.2">
      <c r="A834" t="s">
        <v>1463</v>
      </c>
      <c r="B834" s="7">
        <v>46263</v>
      </c>
      <c r="C834" s="7">
        <v>46326</v>
      </c>
      <c r="D834" t="s">
        <v>1149</v>
      </c>
      <c r="E834" t="s">
        <v>21</v>
      </c>
      <c r="F834" t="s">
        <v>74</v>
      </c>
      <c r="G834" t="s">
        <v>34</v>
      </c>
      <c r="H834" t="s">
        <v>83</v>
      </c>
      <c r="I834" t="s">
        <v>35</v>
      </c>
      <c r="J834" t="s">
        <v>57</v>
      </c>
      <c r="K834" t="s">
        <v>37</v>
      </c>
      <c r="L834" t="s">
        <v>28</v>
      </c>
      <c r="M834" s="46">
        <v>229000</v>
      </c>
      <c r="N834">
        <v>0.09</v>
      </c>
      <c r="O834">
        <v>0.05</v>
      </c>
      <c r="P834" t="s">
        <v>38</v>
      </c>
      <c r="R834">
        <v>63</v>
      </c>
      <c r="S834">
        <v>17368.3</v>
      </c>
      <c r="T834">
        <f>Deals_[[#This Row],[Amount]]*Deals_[[#This Row],[Probability_Pct]]</f>
        <v>11450</v>
      </c>
    </row>
    <row r="835" spans="1:20" x14ac:dyDescent="0.2">
      <c r="A835" t="s">
        <v>1464</v>
      </c>
      <c r="B835" s="7">
        <v>45999</v>
      </c>
      <c r="C835" s="7">
        <v>46082</v>
      </c>
      <c r="D835" t="s">
        <v>1465</v>
      </c>
      <c r="E835" t="s">
        <v>62</v>
      </c>
      <c r="F835" t="s">
        <v>22</v>
      </c>
      <c r="G835" t="s">
        <v>63</v>
      </c>
      <c r="H835" t="s">
        <v>137</v>
      </c>
      <c r="I835" t="s">
        <v>35</v>
      </c>
      <c r="J835" t="s">
        <v>85</v>
      </c>
      <c r="K835" t="s">
        <v>88</v>
      </c>
      <c r="L835" t="s">
        <v>44</v>
      </c>
      <c r="M835" s="46">
        <v>85400</v>
      </c>
      <c r="N835">
        <v>0.11</v>
      </c>
      <c r="O835">
        <v>0.35</v>
      </c>
      <c r="P835" t="s">
        <v>38</v>
      </c>
      <c r="R835">
        <v>83</v>
      </c>
      <c r="S835">
        <v>6335.12</v>
      </c>
      <c r="T835">
        <f>Deals_[[#This Row],[Amount]]*Deals_[[#This Row],[Probability_Pct]]</f>
        <v>29889.999999999996</v>
      </c>
    </row>
    <row r="836" spans="1:20" x14ac:dyDescent="0.2">
      <c r="A836" t="s">
        <v>1466</v>
      </c>
      <c r="B836" s="7">
        <v>46006</v>
      </c>
      <c r="C836" s="7">
        <v>46082</v>
      </c>
      <c r="D836" t="s">
        <v>1467</v>
      </c>
      <c r="E836" t="s">
        <v>54</v>
      </c>
      <c r="F836" t="s">
        <v>74</v>
      </c>
      <c r="G836" t="s">
        <v>23</v>
      </c>
      <c r="H836" t="s">
        <v>95</v>
      </c>
      <c r="I836" t="s">
        <v>42</v>
      </c>
      <c r="J836" t="s">
        <v>26</v>
      </c>
      <c r="K836" t="s">
        <v>78</v>
      </c>
      <c r="L836" t="s">
        <v>28</v>
      </c>
      <c r="M836" s="46">
        <v>340700</v>
      </c>
      <c r="N836">
        <v>0.16400000000000001</v>
      </c>
      <c r="O836">
        <v>0.5</v>
      </c>
      <c r="P836" t="s">
        <v>79</v>
      </c>
      <c r="R836">
        <v>76</v>
      </c>
      <c r="S836">
        <v>23743.06</v>
      </c>
      <c r="T836">
        <f>Deals_[[#This Row],[Amount]]*Deals_[[#This Row],[Probability_Pct]]</f>
        <v>170350</v>
      </c>
    </row>
    <row r="837" spans="1:20" x14ac:dyDescent="0.2">
      <c r="A837" t="s">
        <v>1468</v>
      </c>
      <c r="B837" s="7">
        <v>46074</v>
      </c>
      <c r="C837" s="7">
        <v>46224</v>
      </c>
      <c r="D837" t="s">
        <v>1469</v>
      </c>
      <c r="E837" t="s">
        <v>33</v>
      </c>
      <c r="F837" t="s">
        <v>48</v>
      </c>
      <c r="G837" t="s">
        <v>23</v>
      </c>
      <c r="H837" t="s">
        <v>64</v>
      </c>
      <c r="I837" t="s">
        <v>65</v>
      </c>
      <c r="J837" t="s">
        <v>43</v>
      </c>
      <c r="K837" t="s">
        <v>58</v>
      </c>
      <c r="L837" t="s">
        <v>51</v>
      </c>
      <c r="M837" s="46">
        <v>9000</v>
      </c>
      <c r="N837">
        <v>0.13600000000000001</v>
      </c>
      <c r="O837">
        <v>0.75</v>
      </c>
      <c r="P837" t="s">
        <v>59</v>
      </c>
      <c r="R837">
        <v>150</v>
      </c>
      <c r="S837">
        <v>647.87</v>
      </c>
      <c r="T837">
        <f>Deals_[[#This Row],[Amount]]*Deals_[[#This Row],[Probability_Pct]]</f>
        <v>6750</v>
      </c>
    </row>
    <row r="838" spans="1:20" x14ac:dyDescent="0.2">
      <c r="A838" t="s">
        <v>1470</v>
      </c>
      <c r="B838" s="7">
        <v>46130</v>
      </c>
      <c r="C838" s="7">
        <v>46234</v>
      </c>
      <c r="D838" t="s">
        <v>1469</v>
      </c>
      <c r="E838" t="s">
        <v>62</v>
      </c>
      <c r="F838" t="s">
        <v>48</v>
      </c>
      <c r="G838" t="s">
        <v>92</v>
      </c>
      <c r="H838" t="s">
        <v>64</v>
      </c>
      <c r="I838" t="s">
        <v>42</v>
      </c>
      <c r="J838" t="s">
        <v>26</v>
      </c>
      <c r="K838" t="s">
        <v>27</v>
      </c>
      <c r="L838" t="s">
        <v>51</v>
      </c>
      <c r="M838" s="46">
        <v>7000</v>
      </c>
      <c r="N838">
        <v>7.1999999999999995E-2</v>
      </c>
      <c r="O838">
        <v>0.05</v>
      </c>
      <c r="P838" t="s">
        <v>29</v>
      </c>
      <c r="Q838" t="s">
        <v>222</v>
      </c>
      <c r="R838">
        <v>104</v>
      </c>
      <c r="S838">
        <v>541.08000000000004</v>
      </c>
      <c r="T838">
        <f>Deals_[[#This Row],[Amount]]*Deals_[[#This Row],[Probability_Pct]]</f>
        <v>350</v>
      </c>
    </row>
    <row r="839" spans="1:20" x14ac:dyDescent="0.2">
      <c r="A839" t="s">
        <v>1471</v>
      </c>
      <c r="B839" s="7">
        <v>46173</v>
      </c>
      <c r="C839" s="7">
        <v>46210</v>
      </c>
      <c r="D839" t="s">
        <v>321</v>
      </c>
      <c r="E839" t="s">
        <v>91</v>
      </c>
      <c r="F839" t="s">
        <v>48</v>
      </c>
      <c r="G839" t="s">
        <v>63</v>
      </c>
      <c r="H839" t="s">
        <v>64</v>
      </c>
      <c r="I839" t="s">
        <v>84</v>
      </c>
      <c r="J839" t="s">
        <v>26</v>
      </c>
      <c r="K839" t="s">
        <v>88</v>
      </c>
      <c r="L839" t="s">
        <v>28</v>
      </c>
      <c r="M839" s="46">
        <v>8300</v>
      </c>
      <c r="N839">
        <v>0.161</v>
      </c>
      <c r="O839">
        <v>0.35</v>
      </c>
      <c r="P839" t="s">
        <v>38</v>
      </c>
      <c r="R839">
        <v>37</v>
      </c>
      <c r="S839">
        <v>580.4</v>
      </c>
      <c r="T839">
        <f>Deals_[[#This Row],[Amount]]*Deals_[[#This Row],[Probability_Pct]]</f>
        <v>2905</v>
      </c>
    </row>
    <row r="840" spans="1:20" x14ac:dyDescent="0.2">
      <c r="A840" t="s">
        <v>1472</v>
      </c>
      <c r="B840" s="7">
        <v>46183</v>
      </c>
      <c r="C840" s="7">
        <v>46211</v>
      </c>
      <c r="D840" t="s">
        <v>1473</v>
      </c>
      <c r="E840" t="s">
        <v>82</v>
      </c>
      <c r="F840" t="s">
        <v>22</v>
      </c>
      <c r="G840" t="s">
        <v>92</v>
      </c>
      <c r="H840" t="s">
        <v>49</v>
      </c>
      <c r="I840" t="s">
        <v>99</v>
      </c>
      <c r="J840" t="s">
        <v>57</v>
      </c>
      <c r="K840" t="s">
        <v>58</v>
      </c>
      <c r="L840" t="s">
        <v>51</v>
      </c>
      <c r="M840" s="46">
        <v>55600</v>
      </c>
      <c r="N840">
        <v>7.4999999999999997E-2</v>
      </c>
      <c r="O840">
        <v>0.75</v>
      </c>
      <c r="P840" t="s">
        <v>59</v>
      </c>
      <c r="R840">
        <v>28</v>
      </c>
      <c r="S840">
        <v>4287.83</v>
      </c>
      <c r="T840">
        <f>Deals_[[#This Row],[Amount]]*Deals_[[#This Row],[Probability_Pct]]</f>
        <v>41700</v>
      </c>
    </row>
    <row r="841" spans="1:20" x14ac:dyDescent="0.2">
      <c r="A841" t="s">
        <v>1474</v>
      </c>
      <c r="B841" s="7">
        <v>45949</v>
      </c>
      <c r="C841" s="7">
        <v>46073</v>
      </c>
      <c r="D841" t="s">
        <v>1112</v>
      </c>
      <c r="E841" t="s">
        <v>111</v>
      </c>
      <c r="F841" t="s">
        <v>48</v>
      </c>
      <c r="G841" t="s">
        <v>55</v>
      </c>
      <c r="H841" t="s">
        <v>120</v>
      </c>
      <c r="I841" t="s">
        <v>42</v>
      </c>
      <c r="J841" t="s">
        <v>57</v>
      </c>
      <c r="K841" t="s">
        <v>37</v>
      </c>
      <c r="L841" t="s">
        <v>44</v>
      </c>
      <c r="M841" s="46">
        <v>19500</v>
      </c>
      <c r="N841">
        <v>0.13</v>
      </c>
      <c r="O841">
        <v>0.1</v>
      </c>
      <c r="P841" t="s">
        <v>38</v>
      </c>
      <c r="R841">
        <v>124</v>
      </c>
      <c r="S841">
        <v>1413.16</v>
      </c>
      <c r="T841">
        <f>Deals_[[#This Row],[Amount]]*Deals_[[#This Row],[Probability_Pct]]</f>
        <v>1950</v>
      </c>
    </row>
    <row r="842" spans="1:20" x14ac:dyDescent="0.2">
      <c r="A842" t="s">
        <v>1475</v>
      </c>
      <c r="B842" s="7">
        <v>46118</v>
      </c>
      <c r="C842" s="7">
        <v>46243</v>
      </c>
      <c r="D842" t="s">
        <v>1476</v>
      </c>
      <c r="E842" t="s">
        <v>33</v>
      </c>
      <c r="F842" t="s">
        <v>74</v>
      </c>
      <c r="G842" t="s">
        <v>34</v>
      </c>
      <c r="H842" t="s">
        <v>49</v>
      </c>
      <c r="I842" t="s">
        <v>99</v>
      </c>
      <c r="J842" t="s">
        <v>26</v>
      </c>
      <c r="K842" t="s">
        <v>106</v>
      </c>
      <c r="L842" t="s">
        <v>28</v>
      </c>
      <c r="M842" s="46">
        <v>325500</v>
      </c>
      <c r="N842">
        <v>0.22800000000000001</v>
      </c>
      <c r="O842">
        <v>0.15</v>
      </c>
      <c r="P842" t="s">
        <v>38</v>
      </c>
      <c r="R842">
        <v>125</v>
      </c>
      <c r="S842">
        <v>20936.78</v>
      </c>
      <c r="T842">
        <f>Deals_[[#This Row],[Amount]]*Deals_[[#This Row],[Probability_Pct]]</f>
        <v>48825</v>
      </c>
    </row>
    <row r="843" spans="1:20" x14ac:dyDescent="0.2">
      <c r="A843" t="s">
        <v>1477</v>
      </c>
      <c r="B843" s="7">
        <v>46204</v>
      </c>
      <c r="C843" s="7">
        <v>46296</v>
      </c>
      <c r="D843" t="s">
        <v>483</v>
      </c>
      <c r="E843" t="s">
        <v>82</v>
      </c>
      <c r="F843" t="s">
        <v>48</v>
      </c>
      <c r="G843" t="s">
        <v>55</v>
      </c>
      <c r="H843" t="s">
        <v>49</v>
      </c>
      <c r="I843" t="s">
        <v>84</v>
      </c>
      <c r="J843" t="s">
        <v>85</v>
      </c>
      <c r="K843" t="s">
        <v>37</v>
      </c>
      <c r="L843" t="s">
        <v>44</v>
      </c>
      <c r="M843" s="46">
        <v>18400</v>
      </c>
      <c r="N843">
        <v>0.111</v>
      </c>
      <c r="O843">
        <v>0.1</v>
      </c>
      <c r="P843" t="s">
        <v>38</v>
      </c>
      <c r="R843">
        <v>92</v>
      </c>
      <c r="S843">
        <v>1363.74</v>
      </c>
      <c r="T843">
        <f>Deals_[[#This Row],[Amount]]*Deals_[[#This Row],[Probability_Pct]]</f>
        <v>1840</v>
      </c>
    </row>
    <row r="844" spans="1:20" x14ac:dyDescent="0.2">
      <c r="A844" t="s">
        <v>1478</v>
      </c>
      <c r="B844" s="7">
        <v>46260</v>
      </c>
      <c r="C844" s="7">
        <v>46277</v>
      </c>
      <c r="D844" t="s">
        <v>729</v>
      </c>
      <c r="E844" t="s">
        <v>91</v>
      </c>
      <c r="F844" t="s">
        <v>48</v>
      </c>
      <c r="G844" t="s">
        <v>55</v>
      </c>
      <c r="H844" t="s">
        <v>77</v>
      </c>
      <c r="I844" t="s">
        <v>99</v>
      </c>
      <c r="J844" t="s">
        <v>57</v>
      </c>
      <c r="K844" t="s">
        <v>50</v>
      </c>
      <c r="L844" t="s">
        <v>44</v>
      </c>
      <c r="M844" s="46">
        <v>20500</v>
      </c>
      <c r="N844">
        <v>0.22</v>
      </c>
      <c r="O844">
        <v>1</v>
      </c>
      <c r="P844" t="s">
        <v>29</v>
      </c>
      <c r="R844">
        <v>17</v>
      </c>
      <c r="S844">
        <v>1331.94</v>
      </c>
      <c r="T844">
        <f>Deals_[[#This Row],[Amount]]*Deals_[[#This Row],[Probability_Pct]]</f>
        <v>20500</v>
      </c>
    </row>
    <row r="845" spans="1:20" x14ac:dyDescent="0.2">
      <c r="A845" t="s">
        <v>1479</v>
      </c>
      <c r="B845" s="7">
        <v>45963</v>
      </c>
      <c r="C845" s="7">
        <v>46011</v>
      </c>
      <c r="D845" t="s">
        <v>829</v>
      </c>
      <c r="E845" t="s">
        <v>62</v>
      </c>
      <c r="F845" t="s">
        <v>74</v>
      </c>
      <c r="G845" t="s">
        <v>55</v>
      </c>
      <c r="H845" t="s">
        <v>95</v>
      </c>
      <c r="I845" t="s">
        <v>25</v>
      </c>
      <c r="J845" t="s">
        <v>36</v>
      </c>
      <c r="K845" t="s">
        <v>58</v>
      </c>
      <c r="L845" t="s">
        <v>28</v>
      </c>
      <c r="M845" s="46">
        <v>267100</v>
      </c>
      <c r="N845">
        <v>0.128</v>
      </c>
      <c r="O845">
        <v>0.7</v>
      </c>
      <c r="P845" t="s">
        <v>59</v>
      </c>
      <c r="R845">
        <v>48</v>
      </c>
      <c r="S845">
        <v>19404.419999999998</v>
      </c>
      <c r="T845">
        <f>Deals_[[#This Row],[Amount]]*Deals_[[#This Row],[Probability_Pct]]</f>
        <v>186970</v>
      </c>
    </row>
    <row r="846" spans="1:20" x14ac:dyDescent="0.2">
      <c r="A846" t="s">
        <v>1480</v>
      </c>
      <c r="B846" s="7">
        <v>45938</v>
      </c>
      <c r="C846" s="7">
        <v>46013</v>
      </c>
      <c r="D846" t="s">
        <v>1006</v>
      </c>
      <c r="E846" t="s">
        <v>33</v>
      </c>
      <c r="F846" t="s">
        <v>74</v>
      </c>
      <c r="G846" t="s">
        <v>23</v>
      </c>
      <c r="H846" t="s">
        <v>69</v>
      </c>
      <c r="I846" t="s">
        <v>99</v>
      </c>
      <c r="J846" t="s">
        <v>36</v>
      </c>
      <c r="K846" t="s">
        <v>78</v>
      </c>
      <c r="L846" t="s">
        <v>51</v>
      </c>
      <c r="M846" s="46">
        <v>214100</v>
      </c>
      <c r="N846">
        <v>0.20699999999999999</v>
      </c>
      <c r="O846">
        <v>0.6</v>
      </c>
      <c r="P846" t="s">
        <v>79</v>
      </c>
      <c r="R846">
        <v>75</v>
      </c>
      <c r="S846">
        <v>14156.22</v>
      </c>
      <c r="T846">
        <f>Deals_[[#This Row],[Amount]]*Deals_[[#This Row],[Probability_Pct]]</f>
        <v>128460</v>
      </c>
    </row>
    <row r="847" spans="1:20" x14ac:dyDescent="0.2">
      <c r="A847" t="s">
        <v>1481</v>
      </c>
      <c r="B847" s="7">
        <v>46207</v>
      </c>
      <c r="C847" s="7">
        <v>46319</v>
      </c>
      <c r="D847" t="s">
        <v>959</v>
      </c>
      <c r="E847" t="s">
        <v>82</v>
      </c>
      <c r="F847" t="s">
        <v>22</v>
      </c>
      <c r="G847" t="s">
        <v>23</v>
      </c>
      <c r="H847" t="s">
        <v>64</v>
      </c>
      <c r="I847" t="s">
        <v>42</v>
      </c>
      <c r="J847" t="s">
        <v>36</v>
      </c>
      <c r="K847" t="s">
        <v>88</v>
      </c>
      <c r="L847" t="s">
        <v>51</v>
      </c>
      <c r="M847" s="46">
        <v>51300</v>
      </c>
      <c r="N847">
        <v>8.3000000000000004E-2</v>
      </c>
      <c r="O847">
        <v>0.4</v>
      </c>
      <c r="P847" t="s">
        <v>38</v>
      </c>
      <c r="R847">
        <v>112</v>
      </c>
      <c r="S847">
        <v>3921.45</v>
      </c>
      <c r="T847">
        <f>Deals_[[#This Row],[Amount]]*Deals_[[#This Row],[Probability_Pct]]</f>
        <v>20520</v>
      </c>
    </row>
    <row r="848" spans="1:20" x14ac:dyDescent="0.2">
      <c r="A848" t="s">
        <v>1482</v>
      </c>
      <c r="B848" s="7">
        <v>46103</v>
      </c>
      <c r="C848" s="7">
        <v>46182</v>
      </c>
      <c r="D848" t="s">
        <v>1483</v>
      </c>
      <c r="E848" t="s">
        <v>33</v>
      </c>
      <c r="F848" t="s">
        <v>22</v>
      </c>
      <c r="G848" t="s">
        <v>34</v>
      </c>
      <c r="H848" t="s">
        <v>83</v>
      </c>
      <c r="I848" t="s">
        <v>65</v>
      </c>
      <c r="J848" t="s">
        <v>36</v>
      </c>
      <c r="K848" t="s">
        <v>78</v>
      </c>
      <c r="L848" t="s">
        <v>51</v>
      </c>
      <c r="M848" s="46">
        <v>33500</v>
      </c>
      <c r="N848">
        <v>3.2000000000000001E-2</v>
      </c>
      <c r="O848">
        <v>0.6</v>
      </c>
      <c r="P848" t="s">
        <v>79</v>
      </c>
      <c r="R848">
        <v>79</v>
      </c>
      <c r="S848">
        <v>2703.07</v>
      </c>
      <c r="T848">
        <f>Deals_[[#This Row],[Amount]]*Deals_[[#This Row],[Probability_Pct]]</f>
        <v>20100</v>
      </c>
    </row>
    <row r="849" spans="1:20" x14ac:dyDescent="0.2">
      <c r="A849" t="s">
        <v>1484</v>
      </c>
      <c r="B849" s="7">
        <v>46121</v>
      </c>
      <c r="C849" s="7">
        <v>46170</v>
      </c>
      <c r="D849" t="s">
        <v>1485</v>
      </c>
      <c r="E849" t="s">
        <v>68</v>
      </c>
      <c r="F849" t="s">
        <v>48</v>
      </c>
      <c r="G849" t="s">
        <v>55</v>
      </c>
      <c r="H849" t="s">
        <v>83</v>
      </c>
      <c r="I849" t="s">
        <v>25</v>
      </c>
      <c r="J849" t="s">
        <v>36</v>
      </c>
      <c r="K849" t="s">
        <v>106</v>
      </c>
      <c r="L849" t="s">
        <v>28</v>
      </c>
      <c r="M849" s="46">
        <v>17800</v>
      </c>
      <c r="N849">
        <v>0.14899999999999999</v>
      </c>
      <c r="O849">
        <v>0.25</v>
      </c>
      <c r="P849" t="s">
        <v>38</v>
      </c>
      <c r="R849">
        <v>49</v>
      </c>
      <c r="S849">
        <v>1262.83</v>
      </c>
      <c r="T849">
        <f>Deals_[[#This Row],[Amount]]*Deals_[[#This Row],[Probability_Pct]]</f>
        <v>4450</v>
      </c>
    </row>
    <row r="850" spans="1:20" x14ac:dyDescent="0.2">
      <c r="A850" t="s">
        <v>1486</v>
      </c>
      <c r="B850" s="7">
        <v>46232</v>
      </c>
      <c r="C850" s="7">
        <v>46277</v>
      </c>
      <c r="D850" t="s">
        <v>1487</v>
      </c>
      <c r="E850" t="s">
        <v>54</v>
      </c>
      <c r="F850" t="s">
        <v>48</v>
      </c>
      <c r="G850" t="s">
        <v>92</v>
      </c>
      <c r="H850" t="s">
        <v>95</v>
      </c>
      <c r="I850" t="s">
        <v>25</v>
      </c>
      <c r="J850" t="s">
        <v>57</v>
      </c>
      <c r="K850" t="s">
        <v>50</v>
      </c>
      <c r="L850" t="s">
        <v>51</v>
      </c>
      <c r="M850" s="46">
        <v>10600</v>
      </c>
      <c r="N850">
        <v>7.8E-2</v>
      </c>
      <c r="O850">
        <v>1</v>
      </c>
      <c r="P850" t="s">
        <v>29</v>
      </c>
      <c r="R850">
        <v>45</v>
      </c>
      <c r="S850">
        <v>814.14</v>
      </c>
      <c r="T850">
        <f>Deals_[[#This Row],[Amount]]*Deals_[[#This Row],[Probability_Pct]]</f>
        <v>10600</v>
      </c>
    </row>
    <row r="851" spans="1:20" x14ac:dyDescent="0.2">
      <c r="A851" t="s">
        <v>1488</v>
      </c>
      <c r="B851" s="7">
        <v>45949</v>
      </c>
      <c r="C851" s="7">
        <v>46087</v>
      </c>
      <c r="D851" t="s">
        <v>1476</v>
      </c>
      <c r="E851" t="s">
        <v>33</v>
      </c>
      <c r="F851" t="s">
        <v>22</v>
      </c>
      <c r="G851" t="s">
        <v>23</v>
      </c>
      <c r="H851" t="s">
        <v>120</v>
      </c>
      <c r="I851" t="s">
        <v>84</v>
      </c>
      <c r="J851" t="s">
        <v>36</v>
      </c>
      <c r="K851" t="s">
        <v>106</v>
      </c>
      <c r="L851" t="s">
        <v>51</v>
      </c>
      <c r="M851" s="46">
        <v>51400</v>
      </c>
      <c r="N851">
        <v>0.129</v>
      </c>
      <c r="O851">
        <v>0.15</v>
      </c>
      <c r="P851" t="s">
        <v>38</v>
      </c>
      <c r="R851">
        <v>138</v>
      </c>
      <c r="S851">
        <v>3732.06</v>
      </c>
      <c r="T851">
        <f>Deals_[[#This Row],[Amount]]*Deals_[[#This Row],[Probability_Pct]]</f>
        <v>7710</v>
      </c>
    </row>
    <row r="852" spans="1:20" x14ac:dyDescent="0.2">
      <c r="A852" t="s">
        <v>1489</v>
      </c>
      <c r="B852" s="7">
        <v>46038</v>
      </c>
      <c r="C852" s="7">
        <v>46069</v>
      </c>
      <c r="D852" t="s">
        <v>1490</v>
      </c>
      <c r="E852" t="s">
        <v>82</v>
      </c>
      <c r="F852" t="s">
        <v>48</v>
      </c>
      <c r="G852" t="s">
        <v>63</v>
      </c>
      <c r="H852" t="s">
        <v>41</v>
      </c>
      <c r="I852" t="s">
        <v>42</v>
      </c>
      <c r="J852" t="s">
        <v>57</v>
      </c>
      <c r="K852" t="s">
        <v>58</v>
      </c>
      <c r="L852" t="s">
        <v>44</v>
      </c>
      <c r="M852" s="46">
        <v>6500</v>
      </c>
      <c r="N852">
        <v>0.122</v>
      </c>
      <c r="O852">
        <v>0.8</v>
      </c>
      <c r="P852" t="s">
        <v>59</v>
      </c>
      <c r="R852">
        <v>31</v>
      </c>
      <c r="S852">
        <v>475.66</v>
      </c>
      <c r="T852">
        <f>Deals_[[#This Row],[Amount]]*Deals_[[#This Row],[Probability_Pct]]</f>
        <v>5200</v>
      </c>
    </row>
    <row r="853" spans="1:20" x14ac:dyDescent="0.2">
      <c r="A853" t="s">
        <v>1491</v>
      </c>
      <c r="B853" s="7">
        <v>46247</v>
      </c>
      <c r="C853" s="7">
        <v>46285</v>
      </c>
      <c r="D853" t="s">
        <v>608</v>
      </c>
      <c r="E853" t="s">
        <v>91</v>
      </c>
      <c r="F853" t="s">
        <v>48</v>
      </c>
      <c r="G853" t="s">
        <v>23</v>
      </c>
      <c r="H853" t="s">
        <v>56</v>
      </c>
      <c r="I853" t="s">
        <v>65</v>
      </c>
      <c r="J853" t="s">
        <v>26</v>
      </c>
      <c r="K853" t="s">
        <v>106</v>
      </c>
      <c r="L853" t="s">
        <v>44</v>
      </c>
      <c r="M853" s="46">
        <v>13400</v>
      </c>
      <c r="N853">
        <v>0.185</v>
      </c>
      <c r="O853">
        <v>0.25</v>
      </c>
      <c r="P853" t="s">
        <v>38</v>
      </c>
      <c r="R853">
        <v>38</v>
      </c>
      <c r="S853">
        <v>910.33</v>
      </c>
      <c r="T853">
        <f>Deals_[[#This Row],[Amount]]*Deals_[[#This Row],[Probability_Pct]]</f>
        <v>3350</v>
      </c>
    </row>
    <row r="854" spans="1:20" x14ac:dyDescent="0.2">
      <c r="A854" t="s">
        <v>1492</v>
      </c>
      <c r="B854" s="7">
        <v>46259</v>
      </c>
      <c r="C854" s="7">
        <v>46331</v>
      </c>
      <c r="D854" t="s">
        <v>596</v>
      </c>
      <c r="E854" t="s">
        <v>91</v>
      </c>
      <c r="F854" t="s">
        <v>48</v>
      </c>
      <c r="G854" t="s">
        <v>63</v>
      </c>
      <c r="H854" t="s">
        <v>120</v>
      </c>
      <c r="I854" t="s">
        <v>42</v>
      </c>
      <c r="J854" t="s">
        <v>85</v>
      </c>
      <c r="K854" t="s">
        <v>88</v>
      </c>
      <c r="L854" t="s">
        <v>28</v>
      </c>
      <c r="M854" s="46">
        <v>6600</v>
      </c>
      <c r="N854">
        <v>0.19400000000000001</v>
      </c>
      <c r="O854">
        <v>0.4</v>
      </c>
      <c r="P854" t="s">
        <v>38</v>
      </c>
      <c r="R854">
        <v>72</v>
      </c>
      <c r="S854">
        <v>443.54</v>
      </c>
      <c r="T854">
        <f>Deals_[[#This Row],[Amount]]*Deals_[[#This Row],[Probability_Pct]]</f>
        <v>2640</v>
      </c>
    </row>
    <row r="855" spans="1:20" x14ac:dyDescent="0.2">
      <c r="A855" t="s">
        <v>1493</v>
      </c>
      <c r="B855" s="7">
        <v>46044</v>
      </c>
      <c r="C855" s="7">
        <v>46172</v>
      </c>
      <c r="D855" t="s">
        <v>1494</v>
      </c>
      <c r="E855" t="s">
        <v>62</v>
      </c>
      <c r="F855" t="s">
        <v>22</v>
      </c>
      <c r="G855" t="s">
        <v>63</v>
      </c>
      <c r="H855" t="s">
        <v>83</v>
      </c>
      <c r="I855" t="s">
        <v>42</v>
      </c>
      <c r="J855" t="s">
        <v>26</v>
      </c>
      <c r="K855" t="s">
        <v>58</v>
      </c>
      <c r="L855" t="s">
        <v>51</v>
      </c>
      <c r="M855" s="46">
        <v>36500</v>
      </c>
      <c r="N855">
        <v>0.126</v>
      </c>
      <c r="O855">
        <v>0.75</v>
      </c>
      <c r="P855" t="s">
        <v>59</v>
      </c>
      <c r="R855">
        <v>128</v>
      </c>
      <c r="S855">
        <v>2658.85</v>
      </c>
      <c r="T855">
        <f>Deals_[[#This Row],[Amount]]*Deals_[[#This Row],[Probability_Pct]]</f>
        <v>27375</v>
      </c>
    </row>
    <row r="856" spans="1:20" x14ac:dyDescent="0.2">
      <c r="A856" t="s">
        <v>1495</v>
      </c>
      <c r="B856" s="7">
        <v>46198</v>
      </c>
      <c r="C856" s="7">
        <v>46277</v>
      </c>
      <c r="D856" t="s">
        <v>1496</v>
      </c>
      <c r="E856" t="s">
        <v>111</v>
      </c>
      <c r="F856" t="s">
        <v>48</v>
      </c>
      <c r="G856" t="s">
        <v>34</v>
      </c>
      <c r="H856" t="s">
        <v>83</v>
      </c>
      <c r="I856" t="s">
        <v>99</v>
      </c>
      <c r="J856" t="s">
        <v>36</v>
      </c>
      <c r="K856" t="s">
        <v>27</v>
      </c>
      <c r="L856" t="s">
        <v>44</v>
      </c>
      <c r="M856" s="46">
        <v>16500</v>
      </c>
      <c r="N856">
        <v>7.6999999999999999E-2</v>
      </c>
      <c r="O856">
        <v>0</v>
      </c>
      <c r="P856" t="s">
        <v>29</v>
      </c>
      <c r="Q856" t="s">
        <v>222</v>
      </c>
      <c r="R856">
        <v>79</v>
      </c>
      <c r="S856">
        <v>1269.4100000000001</v>
      </c>
      <c r="T856">
        <f>Deals_[[#This Row],[Amount]]*Deals_[[#This Row],[Probability_Pct]]</f>
        <v>0</v>
      </c>
    </row>
    <row r="857" spans="1:20" x14ac:dyDescent="0.2">
      <c r="A857" t="s">
        <v>1497</v>
      </c>
      <c r="B857" s="7">
        <v>46276</v>
      </c>
      <c r="C857" s="7">
        <v>46313</v>
      </c>
      <c r="D857" t="s">
        <v>783</v>
      </c>
      <c r="E857" t="s">
        <v>62</v>
      </c>
      <c r="F857" t="s">
        <v>22</v>
      </c>
      <c r="G857" t="s">
        <v>92</v>
      </c>
      <c r="H857" t="s">
        <v>41</v>
      </c>
      <c r="I857" t="s">
        <v>65</v>
      </c>
      <c r="J857" t="s">
        <v>26</v>
      </c>
      <c r="K857" t="s">
        <v>106</v>
      </c>
      <c r="L857" t="s">
        <v>28</v>
      </c>
      <c r="M857" s="46">
        <v>57900</v>
      </c>
      <c r="N857">
        <v>5.8999999999999997E-2</v>
      </c>
      <c r="O857">
        <v>0.25</v>
      </c>
      <c r="P857" t="s">
        <v>38</v>
      </c>
      <c r="R857">
        <v>37</v>
      </c>
      <c r="S857">
        <v>4538.63</v>
      </c>
      <c r="T857">
        <f>Deals_[[#This Row],[Amount]]*Deals_[[#This Row],[Probability_Pct]]</f>
        <v>14475</v>
      </c>
    </row>
    <row r="858" spans="1:20" x14ac:dyDescent="0.2">
      <c r="A858" t="s">
        <v>1498</v>
      </c>
      <c r="B858" s="7">
        <v>46208</v>
      </c>
      <c r="C858" s="7">
        <v>46277</v>
      </c>
      <c r="D858" t="s">
        <v>1499</v>
      </c>
      <c r="E858" t="s">
        <v>82</v>
      </c>
      <c r="F858" t="s">
        <v>22</v>
      </c>
      <c r="G858" t="s">
        <v>55</v>
      </c>
      <c r="H858" t="s">
        <v>49</v>
      </c>
      <c r="I858" t="s">
        <v>35</v>
      </c>
      <c r="J858" t="s">
        <v>36</v>
      </c>
      <c r="K858" t="s">
        <v>50</v>
      </c>
      <c r="L858" t="s">
        <v>28</v>
      </c>
      <c r="M858" s="46">
        <v>36700</v>
      </c>
      <c r="N858">
        <v>0</v>
      </c>
      <c r="O858">
        <v>1</v>
      </c>
      <c r="P858" t="s">
        <v>29</v>
      </c>
      <c r="R858">
        <v>69</v>
      </c>
      <c r="S858">
        <v>3058.33</v>
      </c>
      <c r="T858">
        <f>Deals_[[#This Row],[Amount]]*Deals_[[#This Row],[Probability_Pct]]</f>
        <v>36700</v>
      </c>
    </row>
    <row r="859" spans="1:20" x14ac:dyDescent="0.2">
      <c r="A859" t="s">
        <v>1500</v>
      </c>
      <c r="B859" s="7">
        <v>45967</v>
      </c>
      <c r="C859" s="7">
        <v>46081</v>
      </c>
      <c r="D859" t="s">
        <v>663</v>
      </c>
      <c r="E859" t="s">
        <v>33</v>
      </c>
      <c r="F859" t="s">
        <v>74</v>
      </c>
      <c r="G859" t="s">
        <v>23</v>
      </c>
      <c r="H859" t="s">
        <v>95</v>
      </c>
      <c r="I859" t="s">
        <v>35</v>
      </c>
      <c r="J859" t="s">
        <v>43</v>
      </c>
      <c r="K859" t="s">
        <v>78</v>
      </c>
      <c r="L859" t="s">
        <v>51</v>
      </c>
      <c r="M859" s="46">
        <v>88900</v>
      </c>
      <c r="N859">
        <v>0.104</v>
      </c>
      <c r="O859">
        <v>0.55000000000000004</v>
      </c>
      <c r="P859" t="s">
        <v>79</v>
      </c>
      <c r="R859">
        <v>114</v>
      </c>
      <c r="S859">
        <v>6640.14</v>
      </c>
      <c r="T859">
        <f>Deals_[[#This Row],[Amount]]*Deals_[[#This Row],[Probability_Pct]]</f>
        <v>48895.000000000007</v>
      </c>
    </row>
    <row r="860" spans="1:20" x14ac:dyDescent="0.2">
      <c r="A860" t="s">
        <v>1501</v>
      </c>
      <c r="B860" s="7">
        <v>46001</v>
      </c>
      <c r="C860" s="7">
        <v>46129</v>
      </c>
      <c r="D860" t="s">
        <v>1502</v>
      </c>
      <c r="E860" t="s">
        <v>82</v>
      </c>
      <c r="F860" t="s">
        <v>74</v>
      </c>
      <c r="G860" t="s">
        <v>92</v>
      </c>
      <c r="H860" t="s">
        <v>95</v>
      </c>
      <c r="I860" t="s">
        <v>42</v>
      </c>
      <c r="J860" t="s">
        <v>57</v>
      </c>
      <c r="K860" t="s">
        <v>58</v>
      </c>
      <c r="L860" t="s">
        <v>44</v>
      </c>
      <c r="M860" s="46">
        <v>186900</v>
      </c>
      <c r="N860">
        <v>0.106</v>
      </c>
      <c r="O860">
        <v>0.75</v>
      </c>
      <c r="P860" t="s">
        <v>59</v>
      </c>
      <c r="R860">
        <v>128</v>
      </c>
      <c r="S860">
        <v>13919.4</v>
      </c>
      <c r="T860">
        <f>Deals_[[#This Row],[Amount]]*Deals_[[#This Row],[Probability_Pct]]</f>
        <v>140175</v>
      </c>
    </row>
    <row r="861" spans="1:20" x14ac:dyDescent="0.2">
      <c r="A861" t="s">
        <v>1503</v>
      </c>
      <c r="B861" s="7">
        <v>46030</v>
      </c>
      <c r="C861" s="7">
        <v>46154</v>
      </c>
      <c r="D861" t="s">
        <v>1504</v>
      </c>
      <c r="E861" t="s">
        <v>62</v>
      </c>
      <c r="F861" t="s">
        <v>48</v>
      </c>
      <c r="G861" t="s">
        <v>55</v>
      </c>
      <c r="H861" t="s">
        <v>95</v>
      </c>
      <c r="I861" t="s">
        <v>65</v>
      </c>
      <c r="J861" t="s">
        <v>26</v>
      </c>
      <c r="K861" t="s">
        <v>58</v>
      </c>
      <c r="L861" t="s">
        <v>51</v>
      </c>
      <c r="M861" s="46">
        <v>6500</v>
      </c>
      <c r="N861">
        <v>8.3000000000000004E-2</v>
      </c>
      <c r="O861">
        <v>0.7</v>
      </c>
      <c r="P861" t="s">
        <v>59</v>
      </c>
      <c r="R861">
        <v>124</v>
      </c>
      <c r="S861">
        <v>496.88</v>
      </c>
      <c r="T861">
        <f>Deals_[[#This Row],[Amount]]*Deals_[[#This Row],[Probability_Pct]]</f>
        <v>4550</v>
      </c>
    </row>
    <row r="862" spans="1:20" x14ac:dyDescent="0.2">
      <c r="A862" t="s">
        <v>1505</v>
      </c>
      <c r="B862" s="7">
        <v>45945</v>
      </c>
      <c r="C862" s="7">
        <v>45971</v>
      </c>
      <c r="D862" t="s">
        <v>1506</v>
      </c>
      <c r="E862" t="s">
        <v>33</v>
      </c>
      <c r="F862" t="s">
        <v>48</v>
      </c>
      <c r="G862" t="s">
        <v>23</v>
      </c>
      <c r="H862" t="s">
        <v>49</v>
      </c>
      <c r="I862" t="s">
        <v>35</v>
      </c>
      <c r="J862" t="s">
        <v>36</v>
      </c>
      <c r="K862" t="s">
        <v>78</v>
      </c>
      <c r="L862" t="s">
        <v>28</v>
      </c>
      <c r="M862" s="46">
        <v>13200</v>
      </c>
      <c r="N862">
        <v>0.17399999999999999</v>
      </c>
      <c r="O862">
        <v>0.5</v>
      </c>
      <c r="P862" t="s">
        <v>79</v>
      </c>
      <c r="R862">
        <v>26</v>
      </c>
      <c r="S862">
        <v>908.59</v>
      </c>
      <c r="T862">
        <f>Deals_[[#This Row],[Amount]]*Deals_[[#This Row],[Probability_Pct]]</f>
        <v>6600</v>
      </c>
    </row>
    <row r="863" spans="1:20" x14ac:dyDescent="0.2">
      <c r="A863" t="s">
        <v>1507</v>
      </c>
      <c r="B863" s="7">
        <v>46053</v>
      </c>
      <c r="C863" s="7">
        <v>46126</v>
      </c>
      <c r="D863" t="s">
        <v>1508</v>
      </c>
      <c r="E863" t="s">
        <v>54</v>
      </c>
      <c r="F863" t="s">
        <v>48</v>
      </c>
      <c r="G863" t="s">
        <v>92</v>
      </c>
      <c r="H863" t="s">
        <v>77</v>
      </c>
      <c r="I863" t="s">
        <v>35</v>
      </c>
      <c r="J863" t="s">
        <v>85</v>
      </c>
      <c r="K863" t="s">
        <v>106</v>
      </c>
      <c r="L863" t="s">
        <v>44</v>
      </c>
      <c r="M863" s="46">
        <v>21500</v>
      </c>
      <c r="N863">
        <v>0.13</v>
      </c>
      <c r="O863">
        <v>0.2</v>
      </c>
      <c r="P863" t="s">
        <v>38</v>
      </c>
      <c r="R863">
        <v>73</v>
      </c>
      <c r="S863">
        <v>1558.85</v>
      </c>
      <c r="T863">
        <f>Deals_[[#This Row],[Amount]]*Deals_[[#This Row],[Probability_Pct]]</f>
        <v>4300</v>
      </c>
    </row>
    <row r="864" spans="1:20" x14ac:dyDescent="0.2">
      <c r="A864" t="s">
        <v>1509</v>
      </c>
      <c r="B864" s="7">
        <v>46234</v>
      </c>
      <c r="C864" s="7">
        <v>46287</v>
      </c>
      <c r="D864" t="s">
        <v>1510</v>
      </c>
      <c r="E864" t="s">
        <v>91</v>
      </c>
      <c r="F864" t="s">
        <v>48</v>
      </c>
      <c r="G864" t="s">
        <v>63</v>
      </c>
      <c r="H864" t="s">
        <v>41</v>
      </c>
      <c r="I864" t="s">
        <v>25</v>
      </c>
      <c r="J864" t="s">
        <v>26</v>
      </c>
      <c r="K864" t="s">
        <v>78</v>
      </c>
      <c r="L864" t="s">
        <v>44</v>
      </c>
      <c r="M864" s="46">
        <v>15400</v>
      </c>
      <c r="N864">
        <v>0.14000000000000001</v>
      </c>
      <c r="O864">
        <v>0.5</v>
      </c>
      <c r="P864" t="s">
        <v>79</v>
      </c>
      <c r="R864">
        <v>53</v>
      </c>
      <c r="S864">
        <v>1103.28</v>
      </c>
      <c r="T864">
        <f>Deals_[[#This Row],[Amount]]*Deals_[[#This Row],[Probability_Pct]]</f>
        <v>7700</v>
      </c>
    </row>
    <row r="865" spans="1:20" x14ac:dyDescent="0.2">
      <c r="A865" t="s">
        <v>1511</v>
      </c>
      <c r="B865" s="7">
        <v>45944</v>
      </c>
      <c r="C865" s="7">
        <v>46020</v>
      </c>
      <c r="D865" t="s">
        <v>1512</v>
      </c>
      <c r="E865" t="s">
        <v>111</v>
      </c>
      <c r="F865" t="s">
        <v>22</v>
      </c>
      <c r="G865" t="s">
        <v>63</v>
      </c>
      <c r="H865" t="s">
        <v>137</v>
      </c>
      <c r="I865" t="s">
        <v>65</v>
      </c>
      <c r="J865" t="s">
        <v>43</v>
      </c>
      <c r="K865" t="s">
        <v>106</v>
      </c>
      <c r="L865" t="s">
        <v>51</v>
      </c>
      <c r="M865" s="46">
        <v>42800</v>
      </c>
      <c r="N865">
        <v>0.19800000000000001</v>
      </c>
      <c r="O865">
        <v>0.2</v>
      </c>
      <c r="P865" t="s">
        <v>38</v>
      </c>
      <c r="R865">
        <v>76</v>
      </c>
      <c r="S865">
        <v>2860.51</v>
      </c>
      <c r="T865">
        <f>Deals_[[#This Row],[Amount]]*Deals_[[#This Row],[Probability_Pct]]</f>
        <v>8560</v>
      </c>
    </row>
    <row r="866" spans="1:20" x14ac:dyDescent="0.2">
      <c r="A866" t="s">
        <v>1513</v>
      </c>
      <c r="B866" s="7">
        <v>45945</v>
      </c>
      <c r="C866" s="7">
        <v>46074</v>
      </c>
      <c r="D866" t="s">
        <v>1514</v>
      </c>
      <c r="E866" t="s">
        <v>91</v>
      </c>
      <c r="F866" t="s">
        <v>22</v>
      </c>
      <c r="G866" t="s">
        <v>23</v>
      </c>
      <c r="H866" t="s">
        <v>49</v>
      </c>
      <c r="I866" t="s">
        <v>35</v>
      </c>
      <c r="J866" t="s">
        <v>43</v>
      </c>
      <c r="K866" t="s">
        <v>88</v>
      </c>
      <c r="L866" t="s">
        <v>44</v>
      </c>
      <c r="M866" s="46">
        <v>42900</v>
      </c>
      <c r="N866">
        <v>3.5999999999999997E-2</v>
      </c>
      <c r="O866">
        <v>0.35</v>
      </c>
      <c r="P866" t="s">
        <v>38</v>
      </c>
      <c r="R866">
        <v>129</v>
      </c>
      <c r="S866">
        <v>3446.91</v>
      </c>
      <c r="T866">
        <f>Deals_[[#This Row],[Amount]]*Deals_[[#This Row],[Probability_Pct]]</f>
        <v>15014.999999999998</v>
      </c>
    </row>
    <row r="867" spans="1:20" x14ac:dyDescent="0.2">
      <c r="A867" t="s">
        <v>1515</v>
      </c>
      <c r="B867" s="7">
        <v>46197</v>
      </c>
      <c r="C867" s="7">
        <v>46310</v>
      </c>
      <c r="D867" t="s">
        <v>646</v>
      </c>
      <c r="E867" t="s">
        <v>54</v>
      </c>
      <c r="F867" t="s">
        <v>22</v>
      </c>
      <c r="G867" t="s">
        <v>63</v>
      </c>
      <c r="H867" t="s">
        <v>49</v>
      </c>
      <c r="I867" t="s">
        <v>99</v>
      </c>
      <c r="J867" t="s">
        <v>85</v>
      </c>
      <c r="K867" t="s">
        <v>106</v>
      </c>
      <c r="L867" t="s">
        <v>51</v>
      </c>
      <c r="M867" s="46">
        <v>90300</v>
      </c>
      <c r="N867">
        <v>0.125</v>
      </c>
      <c r="O867">
        <v>0.2</v>
      </c>
      <c r="P867" t="s">
        <v>38</v>
      </c>
      <c r="R867">
        <v>113</v>
      </c>
      <c r="S867">
        <v>6585.17</v>
      </c>
      <c r="T867">
        <f>Deals_[[#This Row],[Amount]]*Deals_[[#This Row],[Probability_Pct]]</f>
        <v>18060</v>
      </c>
    </row>
    <row r="868" spans="1:20" x14ac:dyDescent="0.2">
      <c r="A868" t="s">
        <v>1516</v>
      </c>
      <c r="B868" s="7">
        <v>46106</v>
      </c>
      <c r="C868" s="7">
        <v>46189</v>
      </c>
      <c r="D868" t="s">
        <v>1195</v>
      </c>
      <c r="E868" t="s">
        <v>82</v>
      </c>
      <c r="F868" t="s">
        <v>22</v>
      </c>
      <c r="G868" t="s">
        <v>23</v>
      </c>
      <c r="H868" t="s">
        <v>69</v>
      </c>
      <c r="I868" t="s">
        <v>35</v>
      </c>
      <c r="J868" t="s">
        <v>26</v>
      </c>
      <c r="K868" t="s">
        <v>78</v>
      </c>
      <c r="L868" t="s">
        <v>44</v>
      </c>
      <c r="M868" s="46">
        <v>81500</v>
      </c>
      <c r="N868">
        <v>5.3999999999999999E-2</v>
      </c>
      <c r="O868">
        <v>0.55000000000000004</v>
      </c>
      <c r="P868" t="s">
        <v>79</v>
      </c>
      <c r="R868">
        <v>83</v>
      </c>
      <c r="S868">
        <v>6424.72</v>
      </c>
      <c r="T868">
        <f>Deals_[[#This Row],[Amount]]*Deals_[[#This Row],[Probability_Pct]]</f>
        <v>44825</v>
      </c>
    </row>
    <row r="869" spans="1:20" x14ac:dyDescent="0.2">
      <c r="A869" t="s">
        <v>1517</v>
      </c>
      <c r="B869" s="7">
        <v>45999</v>
      </c>
      <c r="C869" s="7">
        <v>46072</v>
      </c>
      <c r="D869" t="s">
        <v>551</v>
      </c>
      <c r="E869" t="s">
        <v>62</v>
      </c>
      <c r="F869" t="s">
        <v>48</v>
      </c>
      <c r="G869" t="s">
        <v>92</v>
      </c>
      <c r="H869" t="s">
        <v>137</v>
      </c>
      <c r="I869" t="s">
        <v>25</v>
      </c>
      <c r="J869" t="s">
        <v>26</v>
      </c>
      <c r="K869" t="s">
        <v>37</v>
      </c>
      <c r="L869" t="s">
        <v>28</v>
      </c>
      <c r="M869" s="46">
        <v>23100</v>
      </c>
      <c r="N869">
        <v>0.247</v>
      </c>
      <c r="O869">
        <v>0.15</v>
      </c>
      <c r="P869" t="s">
        <v>38</v>
      </c>
      <c r="R869">
        <v>73</v>
      </c>
      <c r="S869">
        <v>1448.72</v>
      </c>
      <c r="T869">
        <f>Deals_[[#This Row],[Amount]]*Deals_[[#This Row],[Probability_Pct]]</f>
        <v>3465</v>
      </c>
    </row>
    <row r="870" spans="1:20" x14ac:dyDescent="0.2">
      <c r="A870" t="s">
        <v>1518</v>
      </c>
      <c r="B870" s="7">
        <v>46233</v>
      </c>
      <c r="C870" s="7">
        <v>46278</v>
      </c>
      <c r="D870" t="s">
        <v>1519</v>
      </c>
      <c r="E870" t="s">
        <v>91</v>
      </c>
      <c r="F870" t="s">
        <v>48</v>
      </c>
      <c r="G870" t="s">
        <v>55</v>
      </c>
      <c r="H870" t="s">
        <v>24</v>
      </c>
      <c r="I870" t="s">
        <v>99</v>
      </c>
      <c r="J870" t="s">
        <v>26</v>
      </c>
      <c r="K870" t="s">
        <v>37</v>
      </c>
      <c r="L870" t="s">
        <v>28</v>
      </c>
      <c r="M870" s="46">
        <v>17900</v>
      </c>
      <c r="N870">
        <v>0.156</v>
      </c>
      <c r="O870">
        <v>0.1</v>
      </c>
      <c r="P870" t="s">
        <v>38</v>
      </c>
      <c r="R870">
        <v>45</v>
      </c>
      <c r="S870">
        <v>1258.43</v>
      </c>
      <c r="T870">
        <f>Deals_[[#This Row],[Amount]]*Deals_[[#This Row],[Probability_Pct]]</f>
        <v>1790</v>
      </c>
    </row>
    <row r="871" spans="1:20" x14ac:dyDescent="0.2">
      <c r="A871" t="s">
        <v>1520</v>
      </c>
      <c r="B871" s="7">
        <v>46254</v>
      </c>
      <c r="C871" s="7">
        <v>46294</v>
      </c>
      <c r="D871" t="s">
        <v>511</v>
      </c>
      <c r="E871" t="s">
        <v>91</v>
      </c>
      <c r="F871" t="s">
        <v>48</v>
      </c>
      <c r="G871" t="s">
        <v>63</v>
      </c>
      <c r="H871" t="s">
        <v>95</v>
      </c>
      <c r="I871" t="s">
        <v>35</v>
      </c>
      <c r="J871" t="s">
        <v>57</v>
      </c>
      <c r="K871" t="s">
        <v>88</v>
      </c>
      <c r="L871" t="s">
        <v>28</v>
      </c>
      <c r="M871" s="46">
        <v>21200</v>
      </c>
      <c r="N871">
        <v>0.106</v>
      </c>
      <c r="O871">
        <v>0.35</v>
      </c>
      <c r="P871" t="s">
        <v>38</v>
      </c>
      <c r="R871">
        <v>40</v>
      </c>
      <c r="S871">
        <v>1580.01</v>
      </c>
      <c r="T871">
        <f>Deals_[[#This Row],[Amount]]*Deals_[[#This Row],[Probability_Pct]]</f>
        <v>7419.9999999999991</v>
      </c>
    </row>
    <row r="872" spans="1:20" x14ac:dyDescent="0.2">
      <c r="A872" t="s">
        <v>1521</v>
      </c>
      <c r="B872" s="7">
        <v>46207</v>
      </c>
      <c r="C872" s="7">
        <v>46300</v>
      </c>
      <c r="D872" t="s">
        <v>1431</v>
      </c>
      <c r="E872" t="s">
        <v>62</v>
      </c>
      <c r="F872" t="s">
        <v>48</v>
      </c>
      <c r="G872" t="s">
        <v>63</v>
      </c>
      <c r="H872" t="s">
        <v>137</v>
      </c>
      <c r="I872" t="s">
        <v>99</v>
      </c>
      <c r="J872" t="s">
        <v>36</v>
      </c>
      <c r="K872" t="s">
        <v>58</v>
      </c>
      <c r="L872" t="s">
        <v>28</v>
      </c>
      <c r="M872" s="46">
        <v>26600</v>
      </c>
      <c r="N872">
        <v>0.192</v>
      </c>
      <c r="O872">
        <v>0.8</v>
      </c>
      <c r="P872" t="s">
        <v>59</v>
      </c>
      <c r="R872">
        <v>93</v>
      </c>
      <c r="S872">
        <v>1790.13</v>
      </c>
      <c r="T872">
        <f>Deals_[[#This Row],[Amount]]*Deals_[[#This Row],[Probability_Pct]]</f>
        <v>21280</v>
      </c>
    </row>
    <row r="873" spans="1:20" x14ac:dyDescent="0.2">
      <c r="A873" t="s">
        <v>1522</v>
      </c>
      <c r="B873" s="7">
        <v>46021</v>
      </c>
      <c r="C873" s="7">
        <v>46040</v>
      </c>
      <c r="D873" t="s">
        <v>594</v>
      </c>
      <c r="E873" t="s">
        <v>33</v>
      </c>
      <c r="F873" t="s">
        <v>22</v>
      </c>
      <c r="G873" t="s">
        <v>92</v>
      </c>
      <c r="H873" t="s">
        <v>120</v>
      </c>
      <c r="I873" t="s">
        <v>35</v>
      </c>
      <c r="J873" t="s">
        <v>36</v>
      </c>
      <c r="K873" t="s">
        <v>50</v>
      </c>
      <c r="L873" t="s">
        <v>51</v>
      </c>
      <c r="M873" s="46">
        <v>38200</v>
      </c>
      <c r="N873">
        <v>1.7000000000000001E-2</v>
      </c>
      <c r="O873">
        <v>1</v>
      </c>
      <c r="P873" t="s">
        <v>29</v>
      </c>
      <c r="R873">
        <v>19</v>
      </c>
      <c r="S873">
        <v>3128.73</v>
      </c>
      <c r="T873">
        <f>Deals_[[#This Row],[Amount]]*Deals_[[#This Row],[Probability_Pct]]</f>
        <v>38200</v>
      </c>
    </row>
    <row r="874" spans="1:20" x14ac:dyDescent="0.2">
      <c r="A874" t="s">
        <v>1523</v>
      </c>
      <c r="B874" s="7">
        <v>46078</v>
      </c>
      <c r="C874" s="7">
        <v>46108</v>
      </c>
      <c r="D874" t="s">
        <v>637</v>
      </c>
      <c r="E874" t="s">
        <v>33</v>
      </c>
      <c r="F874" t="s">
        <v>74</v>
      </c>
      <c r="G874" t="s">
        <v>92</v>
      </c>
      <c r="H874" t="s">
        <v>69</v>
      </c>
      <c r="I874" t="s">
        <v>65</v>
      </c>
      <c r="J874" t="s">
        <v>43</v>
      </c>
      <c r="K874" t="s">
        <v>88</v>
      </c>
      <c r="L874" t="s">
        <v>44</v>
      </c>
      <c r="M874" s="46">
        <v>128200</v>
      </c>
      <c r="N874">
        <v>8.5000000000000006E-2</v>
      </c>
      <c r="O874">
        <v>0.35</v>
      </c>
      <c r="P874" t="s">
        <v>38</v>
      </c>
      <c r="R874">
        <v>30</v>
      </c>
      <c r="S874">
        <v>9778.2000000000007</v>
      </c>
      <c r="T874">
        <f>Deals_[[#This Row],[Amount]]*Deals_[[#This Row],[Probability_Pct]]</f>
        <v>44870</v>
      </c>
    </row>
    <row r="875" spans="1:20" x14ac:dyDescent="0.2">
      <c r="A875" t="s">
        <v>1524</v>
      </c>
      <c r="B875" s="7">
        <v>46167</v>
      </c>
      <c r="C875" s="7">
        <v>46296</v>
      </c>
      <c r="D875" t="s">
        <v>1525</v>
      </c>
      <c r="E875" t="s">
        <v>111</v>
      </c>
      <c r="F875" t="s">
        <v>22</v>
      </c>
      <c r="G875" t="s">
        <v>92</v>
      </c>
      <c r="H875" t="s">
        <v>24</v>
      </c>
      <c r="I875" t="s">
        <v>25</v>
      </c>
      <c r="J875" t="s">
        <v>85</v>
      </c>
      <c r="K875" t="s">
        <v>58</v>
      </c>
      <c r="L875" t="s">
        <v>51</v>
      </c>
      <c r="M875" s="46">
        <v>91900</v>
      </c>
      <c r="N875">
        <v>0.186</v>
      </c>
      <c r="O875">
        <v>0.75</v>
      </c>
      <c r="P875" t="s">
        <v>59</v>
      </c>
      <c r="R875">
        <v>129</v>
      </c>
      <c r="S875">
        <v>6232.81</v>
      </c>
      <c r="T875">
        <f>Deals_[[#This Row],[Amount]]*Deals_[[#This Row],[Probability_Pct]]</f>
        <v>68925</v>
      </c>
    </row>
    <row r="876" spans="1:20" x14ac:dyDescent="0.2">
      <c r="A876" t="s">
        <v>1526</v>
      </c>
      <c r="B876" s="7">
        <v>46073</v>
      </c>
      <c r="C876" s="7">
        <v>46167</v>
      </c>
      <c r="D876" t="s">
        <v>143</v>
      </c>
      <c r="E876" t="s">
        <v>91</v>
      </c>
      <c r="F876" t="s">
        <v>74</v>
      </c>
      <c r="G876" t="s">
        <v>55</v>
      </c>
      <c r="H876" t="s">
        <v>77</v>
      </c>
      <c r="I876" t="s">
        <v>35</v>
      </c>
      <c r="J876" t="s">
        <v>26</v>
      </c>
      <c r="K876" t="s">
        <v>78</v>
      </c>
      <c r="L876" t="s">
        <v>28</v>
      </c>
      <c r="M876" s="46">
        <v>116400</v>
      </c>
      <c r="N876">
        <v>5.1999999999999998E-2</v>
      </c>
      <c r="O876">
        <v>0.6</v>
      </c>
      <c r="P876" t="s">
        <v>79</v>
      </c>
      <c r="R876">
        <v>94</v>
      </c>
      <c r="S876">
        <v>9199.35</v>
      </c>
      <c r="T876">
        <f>Deals_[[#This Row],[Amount]]*Deals_[[#This Row],[Probability_Pct]]</f>
        <v>69840</v>
      </c>
    </row>
    <row r="877" spans="1:20" x14ac:dyDescent="0.2">
      <c r="A877" t="s">
        <v>1527</v>
      </c>
      <c r="B877" s="7">
        <v>46233</v>
      </c>
      <c r="C877" s="7">
        <v>46283</v>
      </c>
      <c r="D877" t="s">
        <v>1528</v>
      </c>
      <c r="E877" t="s">
        <v>111</v>
      </c>
      <c r="F877" t="s">
        <v>48</v>
      </c>
      <c r="G877" t="s">
        <v>34</v>
      </c>
      <c r="H877" t="s">
        <v>64</v>
      </c>
      <c r="I877" t="s">
        <v>65</v>
      </c>
      <c r="J877" t="s">
        <v>43</v>
      </c>
      <c r="K877" t="s">
        <v>58</v>
      </c>
      <c r="L877" t="s">
        <v>51</v>
      </c>
      <c r="M877" s="46">
        <v>13500</v>
      </c>
      <c r="N877">
        <v>0.122</v>
      </c>
      <c r="O877">
        <v>0.75</v>
      </c>
      <c r="P877" t="s">
        <v>59</v>
      </c>
      <c r="R877">
        <v>50</v>
      </c>
      <c r="S877">
        <v>987.22</v>
      </c>
      <c r="T877">
        <f>Deals_[[#This Row],[Amount]]*Deals_[[#This Row],[Probability_Pct]]</f>
        <v>10125</v>
      </c>
    </row>
    <row r="878" spans="1:20" x14ac:dyDescent="0.2">
      <c r="A878" t="s">
        <v>1529</v>
      </c>
      <c r="B878" s="7">
        <v>46233</v>
      </c>
      <c r="C878" s="7">
        <v>46290</v>
      </c>
      <c r="D878" t="s">
        <v>1244</v>
      </c>
      <c r="E878" t="s">
        <v>33</v>
      </c>
      <c r="F878" t="s">
        <v>22</v>
      </c>
      <c r="G878" t="s">
        <v>23</v>
      </c>
      <c r="H878" t="s">
        <v>120</v>
      </c>
      <c r="I878" t="s">
        <v>99</v>
      </c>
      <c r="J878" t="s">
        <v>36</v>
      </c>
      <c r="K878" t="s">
        <v>88</v>
      </c>
      <c r="L878" t="s">
        <v>51</v>
      </c>
      <c r="M878" s="46">
        <v>44500</v>
      </c>
      <c r="N878">
        <v>0</v>
      </c>
      <c r="O878">
        <v>0.3</v>
      </c>
      <c r="P878" t="s">
        <v>38</v>
      </c>
      <c r="R878">
        <v>57</v>
      </c>
      <c r="S878">
        <v>3708.33</v>
      </c>
      <c r="T878">
        <f>Deals_[[#This Row],[Amount]]*Deals_[[#This Row],[Probability_Pct]]</f>
        <v>13350</v>
      </c>
    </row>
    <row r="879" spans="1:20" x14ac:dyDescent="0.2">
      <c r="A879" t="s">
        <v>1530</v>
      </c>
      <c r="B879" s="7">
        <v>45978</v>
      </c>
      <c r="C879" s="7">
        <v>46121</v>
      </c>
      <c r="D879" t="s">
        <v>53</v>
      </c>
      <c r="E879" t="s">
        <v>62</v>
      </c>
      <c r="F879" t="s">
        <v>48</v>
      </c>
      <c r="G879" t="s">
        <v>63</v>
      </c>
      <c r="H879" t="s">
        <v>56</v>
      </c>
      <c r="I879" t="s">
        <v>99</v>
      </c>
      <c r="J879" t="s">
        <v>26</v>
      </c>
      <c r="K879" t="s">
        <v>88</v>
      </c>
      <c r="L879" t="s">
        <v>44</v>
      </c>
      <c r="M879" s="46">
        <v>14800</v>
      </c>
      <c r="N879">
        <v>0.21199999999999999</v>
      </c>
      <c r="O879">
        <v>0.35</v>
      </c>
      <c r="P879" t="s">
        <v>38</v>
      </c>
      <c r="R879">
        <v>143</v>
      </c>
      <c r="S879">
        <v>971.77</v>
      </c>
      <c r="T879">
        <f>Deals_[[#This Row],[Amount]]*Deals_[[#This Row],[Probability_Pct]]</f>
        <v>5180</v>
      </c>
    </row>
    <row r="880" spans="1:20" x14ac:dyDescent="0.2">
      <c r="A880" t="s">
        <v>1531</v>
      </c>
      <c r="B880" s="7">
        <v>46212</v>
      </c>
      <c r="C880" s="7">
        <v>46266</v>
      </c>
      <c r="D880" t="s">
        <v>1532</v>
      </c>
      <c r="E880" t="s">
        <v>82</v>
      </c>
      <c r="F880" t="s">
        <v>48</v>
      </c>
      <c r="G880" t="s">
        <v>23</v>
      </c>
      <c r="H880" t="s">
        <v>95</v>
      </c>
      <c r="I880" t="s">
        <v>35</v>
      </c>
      <c r="J880" t="s">
        <v>26</v>
      </c>
      <c r="K880" t="s">
        <v>37</v>
      </c>
      <c r="L880" t="s">
        <v>28</v>
      </c>
      <c r="M880" s="46">
        <v>18700</v>
      </c>
      <c r="N880">
        <v>4.3999999999999997E-2</v>
      </c>
      <c r="O880">
        <v>0.05</v>
      </c>
      <c r="P880" t="s">
        <v>38</v>
      </c>
      <c r="R880">
        <v>54</v>
      </c>
      <c r="S880">
        <v>1490.44</v>
      </c>
      <c r="T880">
        <f>Deals_[[#This Row],[Amount]]*Deals_[[#This Row],[Probability_Pct]]</f>
        <v>935</v>
      </c>
    </row>
    <row r="881" spans="1:20" x14ac:dyDescent="0.2">
      <c r="A881" t="s">
        <v>1533</v>
      </c>
      <c r="B881" s="7">
        <v>46027</v>
      </c>
      <c r="C881" s="7">
        <v>46141</v>
      </c>
      <c r="D881" t="s">
        <v>1534</v>
      </c>
      <c r="E881" t="s">
        <v>62</v>
      </c>
      <c r="F881" t="s">
        <v>48</v>
      </c>
      <c r="G881" t="s">
        <v>23</v>
      </c>
      <c r="H881" t="s">
        <v>49</v>
      </c>
      <c r="I881" t="s">
        <v>65</v>
      </c>
      <c r="J881" t="s">
        <v>85</v>
      </c>
      <c r="K881" t="s">
        <v>78</v>
      </c>
      <c r="L881" t="s">
        <v>51</v>
      </c>
      <c r="M881" s="46">
        <v>19100</v>
      </c>
      <c r="N881">
        <v>3.6999999999999998E-2</v>
      </c>
      <c r="O881">
        <v>0.6</v>
      </c>
      <c r="P881" t="s">
        <v>79</v>
      </c>
      <c r="R881">
        <v>114</v>
      </c>
      <c r="S881">
        <v>1532.68</v>
      </c>
      <c r="T881">
        <f>Deals_[[#This Row],[Amount]]*Deals_[[#This Row],[Probability_Pct]]</f>
        <v>11460</v>
      </c>
    </row>
    <row r="882" spans="1:20" x14ac:dyDescent="0.2">
      <c r="A882" t="s">
        <v>1535</v>
      </c>
      <c r="B882" s="7">
        <v>46029</v>
      </c>
      <c r="C882" s="7">
        <v>46091</v>
      </c>
      <c r="D882" t="s">
        <v>1303</v>
      </c>
      <c r="E882" t="s">
        <v>21</v>
      </c>
      <c r="F882" t="s">
        <v>22</v>
      </c>
      <c r="G882" t="s">
        <v>92</v>
      </c>
      <c r="H882" t="s">
        <v>98</v>
      </c>
      <c r="I882" t="s">
        <v>42</v>
      </c>
      <c r="J882" t="s">
        <v>26</v>
      </c>
      <c r="K882" t="s">
        <v>58</v>
      </c>
      <c r="L882" t="s">
        <v>51</v>
      </c>
      <c r="M882" s="46">
        <v>88700</v>
      </c>
      <c r="N882">
        <v>0.156</v>
      </c>
      <c r="O882">
        <v>0.75</v>
      </c>
      <c r="P882" t="s">
        <v>59</v>
      </c>
      <c r="R882">
        <v>62</v>
      </c>
      <c r="S882">
        <v>6237.94</v>
      </c>
      <c r="T882">
        <f>Deals_[[#This Row],[Amount]]*Deals_[[#This Row],[Probability_Pct]]</f>
        <v>66525</v>
      </c>
    </row>
    <row r="883" spans="1:20" x14ac:dyDescent="0.2">
      <c r="A883" t="s">
        <v>1536</v>
      </c>
      <c r="B883" s="7">
        <v>46044</v>
      </c>
      <c r="C883" s="7">
        <v>46071</v>
      </c>
      <c r="D883" t="s">
        <v>523</v>
      </c>
      <c r="E883" t="s">
        <v>21</v>
      </c>
      <c r="F883" t="s">
        <v>48</v>
      </c>
      <c r="G883" t="s">
        <v>92</v>
      </c>
      <c r="H883" t="s">
        <v>137</v>
      </c>
      <c r="I883" t="s">
        <v>65</v>
      </c>
      <c r="J883" t="s">
        <v>85</v>
      </c>
      <c r="K883" t="s">
        <v>106</v>
      </c>
      <c r="L883" t="s">
        <v>28</v>
      </c>
      <c r="M883" s="46">
        <v>16700</v>
      </c>
      <c r="N883">
        <v>0.13900000000000001</v>
      </c>
      <c r="O883">
        <v>0.2</v>
      </c>
      <c r="P883" t="s">
        <v>38</v>
      </c>
      <c r="R883">
        <v>27</v>
      </c>
      <c r="S883">
        <v>1198.3499999999999</v>
      </c>
      <c r="T883">
        <f>Deals_[[#This Row],[Amount]]*Deals_[[#This Row],[Probability_Pct]]</f>
        <v>3340</v>
      </c>
    </row>
    <row r="884" spans="1:20" x14ac:dyDescent="0.2">
      <c r="A884" t="s">
        <v>1537</v>
      </c>
      <c r="B884" s="7">
        <v>46174</v>
      </c>
      <c r="C884" s="7">
        <v>46269</v>
      </c>
      <c r="D884" t="s">
        <v>1538</v>
      </c>
      <c r="E884" t="s">
        <v>62</v>
      </c>
      <c r="F884" t="s">
        <v>22</v>
      </c>
      <c r="G884" t="s">
        <v>34</v>
      </c>
      <c r="H884" t="s">
        <v>83</v>
      </c>
      <c r="I884" t="s">
        <v>84</v>
      </c>
      <c r="J884" t="s">
        <v>57</v>
      </c>
      <c r="K884" t="s">
        <v>58</v>
      </c>
      <c r="L884" t="s">
        <v>44</v>
      </c>
      <c r="M884" s="46">
        <v>75400</v>
      </c>
      <c r="N884">
        <v>0.158</v>
      </c>
      <c r="O884">
        <v>0.75</v>
      </c>
      <c r="P884" t="s">
        <v>59</v>
      </c>
      <c r="R884">
        <v>95</v>
      </c>
      <c r="S884">
        <v>5289.88</v>
      </c>
      <c r="T884">
        <f>Deals_[[#This Row],[Amount]]*Deals_[[#This Row],[Probability_Pct]]</f>
        <v>56550</v>
      </c>
    </row>
    <row r="885" spans="1:20" x14ac:dyDescent="0.2">
      <c r="A885" t="s">
        <v>1539</v>
      </c>
      <c r="B885" s="7">
        <v>46270</v>
      </c>
      <c r="C885" s="7">
        <v>46290</v>
      </c>
      <c r="D885" t="s">
        <v>679</v>
      </c>
      <c r="E885" t="s">
        <v>111</v>
      </c>
      <c r="F885" t="s">
        <v>48</v>
      </c>
      <c r="G885" t="s">
        <v>63</v>
      </c>
      <c r="H885" t="s">
        <v>41</v>
      </c>
      <c r="I885" t="s">
        <v>84</v>
      </c>
      <c r="J885" t="s">
        <v>57</v>
      </c>
      <c r="K885" t="s">
        <v>88</v>
      </c>
      <c r="L885" t="s">
        <v>51</v>
      </c>
      <c r="M885" s="46">
        <v>14500</v>
      </c>
      <c r="N885">
        <v>0.125</v>
      </c>
      <c r="O885">
        <v>0.35</v>
      </c>
      <c r="P885" t="s">
        <v>38</v>
      </c>
      <c r="R885">
        <v>20</v>
      </c>
      <c r="S885">
        <v>1056.92</v>
      </c>
      <c r="T885">
        <f>Deals_[[#This Row],[Amount]]*Deals_[[#This Row],[Probability_Pct]]</f>
        <v>5075</v>
      </c>
    </row>
    <row r="886" spans="1:20" x14ac:dyDescent="0.2">
      <c r="A886" t="s">
        <v>1540</v>
      </c>
      <c r="B886" s="7">
        <v>46114</v>
      </c>
      <c r="C886" s="7">
        <v>46176</v>
      </c>
      <c r="D886" t="s">
        <v>1514</v>
      </c>
      <c r="E886" t="s">
        <v>82</v>
      </c>
      <c r="F886" t="s">
        <v>74</v>
      </c>
      <c r="G886" t="s">
        <v>63</v>
      </c>
      <c r="H886" t="s">
        <v>83</v>
      </c>
      <c r="I886" t="s">
        <v>25</v>
      </c>
      <c r="J886" t="s">
        <v>57</v>
      </c>
      <c r="K886" t="s">
        <v>50</v>
      </c>
      <c r="L886" t="s">
        <v>28</v>
      </c>
      <c r="M886" s="46">
        <v>178200</v>
      </c>
      <c r="N886">
        <v>3.7999999999999999E-2</v>
      </c>
      <c r="O886">
        <v>0.95</v>
      </c>
      <c r="P886" t="s">
        <v>29</v>
      </c>
      <c r="R886">
        <v>62</v>
      </c>
      <c r="S886">
        <v>14279.09</v>
      </c>
      <c r="T886">
        <f>Deals_[[#This Row],[Amount]]*Deals_[[#This Row],[Probability_Pct]]</f>
        <v>169290</v>
      </c>
    </row>
    <row r="887" spans="1:20" x14ac:dyDescent="0.2">
      <c r="A887" t="s">
        <v>1541</v>
      </c>
      <c r="B887" s="7">
        <v>46075</v>
      </c>
      <c r="C887" s="7">
        <v>46155</v>
      </c>
      <c r="D887" t="s">
        <v>825</v>
      </c>
      <c r="E887" t="s">
        <v>82</v>
      </c>
      <c r="F887" t="s">
        <v>48</v>
      </c>
      <c r="G887" t="s">
        <v>34</v>
      </c>
      <c r="H887" t="s">
        <v>69</v>
      </c>
      <c r="I887" t="s">
        <v>25</v>
      </c>
      <c r="J887" t="s">
        <v>36</v>
      </c>
      <c r="K887" t="s">
        <v>50</v>
      </c>
      <c r="L887" t="s">
        <v>51</v>
      </c>
      <c r="M887" s="46">
        <v>27300</v>
      </c>
      <c r="N887">
        <v>0.16900000000000001</v>
      </c>
      <c r="O887">
        <v>1</v>
      </c>
      <c r="P887" t="s">
        <v>29</v>
      </c>
      <c r="R887">
        <v>80</v>
      </c>
      <c r="S887">
        <v>1890.18</v>
      </c>
      <c r="T887">
        <f>Deals_[[#This Row],[Amount]]*Deals_[[#This Row],[Probability_Pct]]</f>
        <v>27300</v>
      </c>
    </row>
    <row r="888" spans="1:20" x14ac:dyDescent="0.2">
      <c r="A888" t="s">
        <v>1542</v>
      </c>
      <c r="B888" s="7">
        <v>46112</v>
      </c>
      <c r="C888" s="7">
        <v>46235</v>
      </c>
      <c r="D888" t="s">
        <v>1543</v>
      </c>
      <c r="E888" t="s">
        <v>54</v>
      </c>
      <c r="F888" t="s">
        <v>22</v>
      </c>
      <c r="G888" t="s">
        <v>34</v>
      </c>
      <c r="H888" t="s">
        <v>41</v>
      </c>
      <c r="I888" t="s">
        <v>99</v>
      </c>
      <c r="J888" t="s">
        <v>85</v>
      </c>
      <c r="K888" t="s">
        <v>106</v>
      </c>
      <c r="L888" t="s">
        <v>28</v>
      </c>
      <c r="M888" s="46">
        <v>85300</v>
      </c>
      <c r="N888">
        <v>2.4E-2</v>
      </c>
      <c r="O888">
        <v>0.15</v>
      </c>
      <c r="P888" t="s">
        <v>38</v>
      </c>
      <c r="R888">
        <v>123</v>
      </c>
      <c r="S888">
        <v>6935.65</v>
      </c>
      <c r="T888">
        <f>Deals_[[#This Row],[Amount]]*Deals_[[#This Row],[Probability_Pct]]</f>
        <v>12795</v>
      </c>
    </row>
    <row r="889" spans="1:20" x14ac:dyDescent="0.2">
      <c r="A889" t="s">
        <v>1544</v>
      </c>
      <c r="B889" s="7">
        <v>45972</v>
      </c>
      <c r="C889" s="7">
        <v>46038</v>
      </c>
      <c r="D889" t="s">
        <v>314</v>
      </c>
      <c r="E889" t="s">
        <v>21</v>
      </c>
      <c r="F889" t="s">
        <v>48</v>
      </c>
      <c r="G889" t="s">
        <v>63</v>
      </c>
      <c r="H889" t="s">
        <v>56</v>
      </c>
      <c r="I889" t="s">
        <v>35</v>
      </c>
      <c r="J889" t="s">
        <v>57</v>
      </c>
      <c r="K889" t="s">
        <v>50</v>
      </c>
      <c r="L889" t="s">
        <v>44</v>
      </c>
      <c r="M889" s="46">
        <v>25500</v>
      </c>
      <c r="N889">
        <v>0.13100000000000001</v>
      </c>
      <c r="O889">
        <v>0.95</v>
      </c>
      <c r="P889" t="s">
        <v>29</v>
      </c>
      <c r="R889">
        <v>66</v>
      </c>
      <c r="S889">
        <v>1847.5</v>
      </c>
      <c r="T889">
        <f>Deals_[[#This Row],[Amount]]*Deals_[[#This Row],[Probability_Pct]]</f>
        <v>24225</v>
      </c>
    </row>
    <row r="890" spans="1:20" x14ac:dyDescent="0.2">
      <c r="A890" t="s">
        <v>1545</v>
      </c>
      <c r="B890" s="7">
        <v>46118</v>
      </c>
      <c r="C890" s="7">
        <v>46185</v>
      </c>
      <c r="D890" t="s">
        <v>490</v>
      </c>
      <c r="E890" t="s">
        <v>111</v>
      </c>
      <c r="F890" t="s">
        <v>48</v>
      </c>
      <c r="G890" t="s">
        <v>23</v>
      </c>
      <c r="H890" t="s">
        <v>83</v>
      </c>
      <c r="I890" t="s">
        <v>35</v>
      </c>
      <c r="J890" t="s">
        <v>43</v>
      </c>
      <c r="K890" t="s">
        <v>50</v>
      </c>
      <c r="L890" t="s">
        <v>51</v>
      </c>
      <c r="M890" s="46">
        <v>12700</v>
      </c>
      <c r="N890">
        <v>0.123</v>
      </c>
      <c r="O890">
        <v>1</v>
      </c>
      <c r="P890" t="s">
        <v>29</v>
      </c>
      <c r="R890">
        <v>67</v>
      </c>
      <c r="S890">
        <v>928.28</v>
      </c>
      <c r="T890">
        <f>Deals_[[#This Row],[Amount]]*Deals_[[#This Row],[Probability_Pct]]</f>
        <v>12700</v>
      </c>
    </row>
    <row r="891" spans="1:20" x14ac:dyDescent="0.2">
      <c r="A891" t="s">
        <v>1546</v>
      </c>
      <c r="B891" s="7">
        <v>46080</v>
      </c>
      <c r="C891" s="7">
        <v>46116</v>
      </c>
      <c r="D891" t="s">
        <v>1547</v>
      </c>
      <c r="E891" t="s">
        <v>21</v>
      </c>
      <c r="F891" t="s">
        <v>48</v>
      </c>
      <c r="G891" t="s">
        <v>23</v>
      </c>
      <c r="H891" t="s">
        <v>137</v>
      </c>
      <c r="I891" t="s">
        <v>84</v>
      </c>
      <c r="J891" t="s">
        <v>57</v>
      </c>
      <c r="K891" t="s">
        <v>27</v>
      </c>
      <c r="L891" t="s">
        <v>51</v>
      </c>
      <c r="M891" s="46">
        <v>19800</v>
      </c>
      <c r="N891">
        <v>0</v>
      </c>
      <c r="O891">
        <v>0</v>
      </c>
      <c r="P891" t="s">
        <v>29</v>
      </c>
      <c r="Q891" t="s">
        <v>188</v>
      </c>
      <c r="R891">
        <v>36</v>
      </c>
      <c r="S891">
        <v>1650</v>
      </c>
      <c r="T891">
        <f>Deals_[[#This Row],[Amount]]*Deals_[[#This Row],[Probability_Pct]]</f>
        <v>0</v>
      </c>
    </row>
    <row r="892" spans="1:20" x14ac:dyDescent="0.2">
      <c r="A892" t="s">
        <v>1548</v>
      </c>
      <c r="B892" s="7">
        <v>46079</v>
      </c>
      <c r="C892" s="7">
        <v>46129</v>
      </c>
      <c r="D892" t="s">
        <v>1549</v>
      </c>
      <c r="E892" t="s">
        <v>82</v>
      </c>
      <c r="F892" t="s">
        <v>74</v>
      </c>
      <c r="G892" t="s">
        <v>55</v>
      </c>
      <c r="H892" t="s">
        <v>77</v>
      </c>
      <c r="I892" t="s">
        <v>35</v>
      </c>
      <c r="J892" t="s">
        <v>36</v>
      </c>
      <c r="K892" t="s">
        <v>50</v>
      </c>
      <c r="L892" t="s">
        <v>51</v>
      </c>
      <c r="M892" s="46">
        <v>255600</v>
      </c>
      <c r="N892">
        <v>0.19900000000000001</v>
      </c>
      <c r="O892">
        <v>1</v>
      </c>
      <c r="P892" t="s">
        <v>29</v>
      </c>
      <c r="R892">
        <v>50</v>
      </c>
      <c r="S892">
        <v>17060.09</v>
      </c>
      <c r="T892">
        <f>Deals_[[#This Row],[Amount]]*Deals_[[#This Row],[Probability_Pct]]</f>
        <v>255600</v>
      </c>
    </row>
    <row r="893" spans="1:20" x14ac:dyDescent="0.2">
      <c r="A893" t="s">
        <v>1550</v>
      </c>
      <c r="B893" s="7">
        <v>45971</v>
      </c>
      <c r="C893" s="7">
        <v>46034</v>
      </c>
      <c r="D893" t="s">
        <v>1551</v>
      </c>
      <c r="E893" t="s">
        <v>62</v>
      </c>
      <c r="F893" t="s">
        <v>48</v>
      </c>
      <c r="G893" t="s">
        <v>23</v>
      </c>
      <c r="H893" t="s">
        <v>64</v>
      </c>
      <c r="I893" t="s">
        <v>42</v>
      </c>
      <c r="J893" t="s">
        <v>26</v>
      </c>
      <c r="K893" t="s">
        <v>50</v>
      </c>
      <c r="L893" t="s">
        <v>44</v>
      </c>
      <c r="M893" s="46">
        <v>6600</v>
      </c>
      <c r="N893">
        <v>0.23599999999999999</v>
      </c>
      <c r="O893">
        <v>1</v>
      </c>
      <c r="P893" t="s">
        <v>29</v>
      </c>
      <c r="R893">
        <v>63</v>
      </c>
      <c r="S893">
        <v>420.22</v>
      </c>
      <c r="T893">
        <f>Deals_[[#This Row],[Amount]]*Deals_[[#This Row],[Probability_Pct]]</f>
        <v>6600</v>
      </c>
    </row>
    <row r="894" spans="1:20" x14ac:dyDescent="0.2">
      <c r="A894" t="s">
        <v>1552</v>
      </c>
      <c r="B894" s="7">
        <v>45951</v>
      </c>
      <c r="C894" s="7">
        <v>46071</v>
      </c>
      <c r="D894" t="s">
        <v>1553</v>
      </c>
      <c r="E894" t="s">
        <v>33</v>
      </c>
      <c r="F894" t="s">
        <v>22</v>
      </c>
      <c r="G894" t="s">
        <v>63</v>
      </c>
      <c r="H894" t="s">
        <v>83</v>
      </c>
      <c r="I894" t="s">
        <v>99</v>
      </c>
      <c r="J894" t="s">
        <v>26</v>
      </c>
      <c r="K894" t="s">
        <v>106</v>
      </c>
      <c r="L894" t="s">
        <v>44</v>
      </c>
      <c r="M894" s="46">
        <v>52100</v>
      </c>
      <c r="N894">
        <v>6.7000000000000004E-2</v>
      </c>
      <c r="O894">
        <v>0.15</v>
      </c>
      <c r="P894" t="s">
        <v>38</v>
      </c>
      <c r="R894">
        <v>120</v>
      </c>
      <c r="S894">
        <v>4048.81</v>
      </c>
      <c r="T894">
        <f>Deals_[[#This Row],[Amount]]*Deals_[[#This Row],[Probability_Pct]]</f>
        <v>7815</v>
      </c>
    </row>
    <row r="895" spans="1:20" x14ac:dyDescent="0.2">
      <c r="A895" t="s">
        <v>1554</v>
      </c>
      <c r="B895" s="7">
        <v>46090</v>
      </c>
      <c r="C895" s="7">
        <v>46203</v>
      </c>
      <c r="D895" t="s">
        <v>87</v>
      </c>
      <c r="E895" t="s">
        <v>33</v>
      </c>
      <c r="F895" t="s">
        <v>22</v>
      </c>
      <c r="G895" t="s">
        <v>63</v>
      </c>
      <c r="H895" t="s">
        <v>77</v>
      </c>
      <c r="I895" t="s">
        <v>99</v>
      </c>
      <c r="J895" t="s">
        <v>26</v>
      </c>
      <c r="K895" t="s">
        <v>78</v>
      </c>
      <c r="L895" t="s">
        <v>44</v>
      </c>
      <c r="M895" s="46">
        <v>72900</v>
      </c>
      <c r="N895">
        <v>4.3999999999999997E-2</v>
      </c>
      <c r="O895">
        <v>0.55000000000000004</v>
      </c>
      <c r="P895" t="s">
        <v>79</v>
      </c>
      <c r="R895">
        <v>113</v>
      </c>
      <c r="S895">
        <v>5805.05</v>
      </c>
      <c r="T895">
        <f>Deals_[[#This Row],[Amount]]*Deals_[[#This Row],[Probability_Pct]]</f>
        <v>40095</v>
      </c>
    </row>
    <row r="896" spans="1:20" x14ac:dyDescent="0.2">
      <c r="A896" t="s">
        <v>1555</v>
      </c>
      <c r="B896" s="7">
        <v>45940</v>
      </c>
      <c r="C896" s="7">
        <v>46061</v>
      </c>
      <c r="D896" t="s">
        <v>1556</v>
      </c>
      <c r="E896" t="s">
        <v>82</v>
      </c>
      <c r="F896" t="s">
        <v>74</v>
      </c>
      <c r="G896" t="s">
        <v>23</v>
      </c>
      <c r="H896" t="s">
        <v>49</v>
      </c>
      <c r="I896" t="s">
        <v>35</v>
      </c>
      <c r="J896" t="s">
        <v>36</v>
      </c>
      <c r="K896" t="s">
        <v>37</v>
      </c>
      <c r="L896" t="s">
        <v>44</v>
      </c>
      <c r="M896" s="46">
        <v>107900</v>
      </c>
      <c r="N896">
        <v>9.2999999999999999E-2</v>
      </c>
      <c r="O896">
        <v>0.15</v>
      </c>
      <c r="P896" t="s">
        <v>38</v>
      </c>
      <c r="R896">
        <v>121</v>
      </c>
      <c r="S896">
        <v>8157.35</v>
      </c>
      <c r="T896">
        <f>Deals_[[#This Row],[Amount]]*Deals_[[#This Row],[Probability_Pct]]</f>
        <v>16185</v>
      </c>
    </row>
    <row r="897" spans="1:20" x14ac:dyDescent="0.2">
      <c r="A897" t="s">
        <v>1557</v>
      </c>
      <c r="B897" s="7">
        <v>46196</v>
      </c>
      <c r="C897" s="7">
        <v>46277</v>
      </c>
      <c r="D897" t="s">
        <v>850</v>
      </c>
      <c r="E897" t="s">
        <v>33</v>
      </c>
      <c r="F897" t="s">
        <v>48</v>
      </c>
      <c r="G897" t="s">
        <v>23</v>
      </c>
      <c r="H897" t="s">
        <v>41</v>
      </c>
      <c r="I897" t="s">
        <v>84</v>
      </c>
      <c r="J897" t="s">
        <v>43</v>
      </c>
      <c r="K897" t="s">
        <v>50</v>
      </c>
      <c r="L897" t="s">
        <v>44</v>
      </c>
      <c r="M897" s="46">
        <v>6600</v>
      </c>
      <c r="N897">
        <v>0.124</v>
      </c>
      <c r="O897">
        <v>0.95</v>
      </c>
      <c r="P897" t="s">
        <v>29</v>
      </c>
      <c r="R897">
        <v>81</v>
      </c>
      <c r="S897">
        <v>481.92</v>
      </c>
      <c r="T897">
        <f>Deals_[[#This Row],[Amount]]*Deals_[[#This Row],[Probability_Pct]]</f>
        <v>6270</v>
      </c>
    </row>
    <row r="898" spans="1:20" x14ac:dyDescent="0.2">
      <c r="A898" t="s">
        <v>1558</v>
      </c>
      <c r="B898" s="7">
        <v>45946</v>
      </c>
      <c r="C898" s="7">
        <v>46103</v>
      </c>
      <c r="D898" t="s">
        <v>187</v>
      </c>
      <c r="E898" t="s">
        <v>54</v>
      </c>
      <c r="F898" t="s">
        <v>74</v>
      </c>
      <c r="G898" t="s">
        <v>55</v>
      </c>
      <c r="H898" t="s">
        <v>41</v>
      </c>
      <c r="I898" t="s">
        <v>25</v>
      </c>
      <c r="J898" t="s">
        <v>36</v>
      </c>
      <c r="K898" t="s">
        <v>50</v>
      </c>
      <c r="L898" t="s">
        <v>51</v>
      </c>
      <c r="M898" s="46">
        <v>83100</v>
      </c>
      <c r="N898">
        <v>0.17899999999999999</v>
      </c>
      <c r="O898">
        <v>1</v>
      </c>
      <c r="P898" t="s">
        <v>29</v>
      </c>
      <c r="R898">
        <v>157</v>
      </c>
      <c r="S898">
        <v>5686.86</v>
      </c>
      <c r="T898">
        <f>Deals_[[#This Row],[Amount]]*Deals_[[#This Row],[Probability_Pct]]</f>
        <v>83100</v>
      </c>
    </row>
    <row r="899" spans="1:20" x14ac:dyDescent="0.2">
      <c r="A899" t="s">
        <v>1559</v>
      </c>
      <c r="B899" s="7">
        <v>46061</v>
      </c>
      <c r="C899" s="7">
        <v>46099</v>
      </c>
      <c r="D899" t="s">
        <v>461</v>
      </c>
      <c r="E899" t="s">
        <v>33</v>
      </c>
      <c r="F899" t="s">
        <v>22</v>
      </c>
      <c r="G899" t="s">
        <v>63</v>
      </c>
      <c r="H899" t="s">
        <v>83</v>
      </c>
      <c r="I899" t="s">
        <v>99</v>
      </c>
      <c r="J899" t="s">
        <v>43</v>
      </c>
      <c r="K899" t="s">
        <v>78</v>
      </c>
      <c r="L899" t="s">
        <v>28</v>
      </c>
      <c r="M899" s="46">
        <v>37200</v>
      </c>
      <c r="N899">
        <v>7.6999999999999999E-2</v>
      </c>
      <c r="O899">
        <v>0.6</v>
      </c>
      <c r="P899" t="s">
        <v>79</v>
      </c>
      <c r="R899">
        <v>38</v>
      </c>
      <c r="S899">
        <v>2861.34</v>
      </c>
      <c r="T899">
        <f>Deals_[[#This Row],[Amount]]*Deals_[[#This Row],[Probability_Pct]]</f>
        <v>22320</v>
      </c>
    </row>
    <row r="900" spans="1:20" x14ac:dyDescent="0.2">
      <c r="A900" t="s">
        <v>1560</v>
      </c>
      <c r="B900" s="7">
        <v>46031</v>
      </c>
      <c r="C900" s="7">
        <v>46079</v>
      </c>
      <c r="D900" t="s">
        <v>352</v>
      </c>
      <c r="E900" t="s">
        <v>91</v>
      </c>
      <c r="F900" t="s">
        <v>74</v>
      </c>
      <c r="G900" t="s">
        <v>55</v>
      </c>
      <c r="H900" t="s">
        <v>77</v>
      </c>
      <c r="I900" t="s">
        <v>84</v>
      </c>
      <c r="J900" t="s">
        <v>57</v>
      </c>
      <c r="K900" t="s">
        <v>50</v>
      </c>
      <c r="L900" t="s">
        <v>28</v>
      </c>
      <c r="M900" s="46">
        <v>227400</v>
      </c>
      <c r="N900">
        <v>0.08</v>
      </c>
      <c r="O900">
        <v>1</v>
      </c>
      <c r="P900" t="s">
        <v>29</v>
      </c>
      <c r="R900">
        <v>48</v>
      </c>
      <c r="S900">
        <v>17439.740000000002</v>
      </c>
      <c r="T900">
        <f>Deals_[[#This Row],[Amount]]*Deals_[[#This Row],[Probability_Pct]]</f>
        <v>227400</v>
      </c>
    </row>
    <row r="901" spans="1:20" x14ac:dyDescent="0.2">
      <c r="A901" t="s">
        <v>1561</v>
      </c>
      <c r="B901" s="7">
        <v>46108</v>
      </c>
      <c r="C901" s="7">
        <v>46201</v>
      </c>
      <c r="D901" t="s">
        <v>1562</v>
      </c>
      <c r="E901" t="s">
        <v>68</v>
      </c>
      <c r="F901" t="s">
        <v>48</v>
      </c>
      <c r="G901" t="s">
        <v>63</v>
      </c>
      <c r="H901" t="s">
        <v>24</v>
      </c>
      <c r="I901" t="s">
        <v>25</v>
      </c>
      <c r="J901" t="s">
        <v>36</v>
      </c>
      <c r="K901" t="s">
        <v>88</v>
      </c>
      <c r="L901" t="s">
        <v>44</v>
      </c>
      <c r="M901" s="46">
        <v>22900</v>
      </c>
      <c r="N901">
        <v>0.122</v>
      </c>
      <c r="O901">
        <v>0.3</v>
      </c>
      <c r="P901" t="s">
        <v>38</v>
      </c>
      <c r="R901">
        <v>93</v>
      </c>
      <c r="S901">
        <v>1675.11</v>
      </c>
      <c r="T901">
        <f>Deals_[[#This Row],[Amount]]*Deals_[[#This Row],[Probability_Pct]]</f>
        <v>6870</v>
      </c>
    </row>
    <row r="902" spans="1:20" x14ac:dyDescent="0.2">
      <c r="A902" t="s">
        <v>1563</v>
      </c>
      <c r="B902" s="7">
        <v>45973</v>
      </c>
      <c r="C902" s="7">
        <v>46024</v>
      </c>
      <c r="D902" t="s">
        <v>1191</v>
      </c>
      <c r="E902" t="s">
        <v>21</v>
      </c>
      <c r="F902" t="s">
        <v>48</v>
      </c>
      <c r="G902" t="s">
        <v>34</v>
      </c>
      <c r="H902" t="s">
        <v>98</v>
      </c>
      <c r="I902" t="s">
        <v>84</v>
      </c>
      <c r="J902" t="s">
        <v>57</v>
      </c>
      <c r="K902" t="s">
        <v>106</v>
      </c>
      <c r="L902" t="s">
        <v>28</v>
      </c>
      <c r="M902" s="46">
        <v>10100</v>
      </c>
      <c r="N902">
        <v>1.7000000000000001E-2</v>
      </c>
      <c r="O902">
        <v>0.15</v>
      </c>
      <c r="P902" t="s">
        <v>38</v>
      </c>
      <c r="R902">
        <v>51</v>
      </c>
      <c r="S902">
        <v>827.3</v>
      </c>
      <c r="T902">
        <f>Deals_[[#This Row],[Amount]]*Deals_[[#This Row],[Probability_Pct]]</f>
        <v>1515</v>
      </c>
    </row>
    <row r="903" spans="1:20" x14ac:dyDescent="0.2">
      <c r="A903" t="s">
        <v>1564</v>
      </c>
      <c r="B903" s="7">
        <v>46012</v>
      </c>
      <c r="C903" s="7">
        <v>46119</v>
      </c>
      <c r="D903" t="s">
        <v>87</v>
      </c>
      <c r="E903" t="s">
        <v>82</v>
      </c>
      <c r="F903" t="s">
        <v>22</v>
      </c>
      <c r="G903" t="s">
        <v>23</v>
      </c>
      <c r="H903" t="s">
        <v>95</v>
      </c>
      <c r="I903" t="s">
        <v>25</v>
      </c>
      <c r="J903" t="s">
        <v>36</v>
      </c>
      <c r="K903" t="s">
        <v>106</v>
      </c>
      <c r="L903" t="s">
        <v>28</v>
      </c>
      <c r="M903" s="46">
        <v>83000</v>
      </c>
      <c r="N903">
        <v>1.2E-2</v>
      </c>
      <c r="O903">
        <v>0.2</v>
      </c>
      <c r="P903" t="s">
        <v>38</v>
      </c>
      <c r="R903">
        <v>107</v>
      </c>
      <c r="S903">
        <v>6831.14</v>
      </c>
      <c r="T903">
        <f>Deals_[[#This Row],[Amount]]*Deals_[[#This Row],[Probability_Pct]]</f>
        <v>16600</v>
      </c>
    </row>
    <row r="904" spans="1:20" x14ac:dyDescent="0.2">
      <c r="A904" t="s">
        <v>1565</v>
      </c>
      <c r="B904" s="7">
        <v>45982</v>
      </c>
      <c r="C904" s="7">
        <v>46117</v>
      </c>
      <c r="D904" t="s">
        <v>401</v>
      </c>
      <c r="E904" t="s">
        <v>91</v>
      </c>
      <c r="F904" t="s">
        <v>48</v>
      </c>
      <c r="G904" t="s">
        <v>23</v>
      </c>
      <c r="H904" t="s">
        <v>49</v>
      </c>
      <c r="I904" t="s">
        <v>25</v>
      </c>
      <c r="J904" t="s">
        <v>85</v>
      </c>
      <c r="K904" t="s">
        <v>88</v>
      </c>
      <c r="L904" t="s">
        <v>28</v>
      </c>
      <c r="M904" s="46">
        <v>10300</v>
      </c>
      <c r="N904">
        <v>5.8000000000000003E-2</v>
      </c>
      <c r="O904">
        <v>0.35</v>
      </c>
      <c r="P904" t="s">
        <v>38</v>
      </c>
      <c r="R904">
        <v>135</v>
      </c>
      <c r="S904">
        <v>808.52</v>
      </c>
      <c r="T904">
        <f>Deals_[[#This Row],[Amount]]*Deals_[[#This Row],[Probability_Pct]]</f>
        <v>3604.9999999999995</v>
      </c>
    </row>
    <row r="905" spans="1:20" x14ac:dyDescent="0.2">
      <c r="A905" t="s">
        <v>1566</v>
      </c>
      <c r="B905" s="7">
        <v>46273</v>
      </c>
      <c r="C905" s="7">
        <v>46277</v>
      </c>
      <c r="D905" t="s">
        <v>1567</v>
      </c>
      <c r="E905" t="s">
        <v>62</v>
      </c>
      <c r="F905" t="s">
        <v>48</v>
      </c>
      <c r="G905" t="s">
        <v>63</v>
      </c>
      <c r="H905" t="s">
        <v>56</v>
      </c>
      <c r="I905" t="s">
        <v>84</v>
      </c>
      <c r="J905" t="s">
        <v>26</v>
      </c>
      <c r="K905" t="s">
        <v>50</v>
      </c>
      <c r="L905" t="s">
        <v>28</v>
      </c>
      <c r="M905" s="46">
        <v>20400</v>
      </c>
      <c r="N905">
        <v>0.159</v>
      </c>
      <c r="O905">
        <v>1</v>
      </c>
      <c r="P905" t="s">
        <v>29</v>
      </c>
      <c r="R905">
        <v>4</v>
      </c>
      <c r="S905">
        <v>1429.25</v>
      </c>
      <c r="T905">
        <f>Deals_[[#This Row],[Amount]]*Deals_[[#This Row],[Probability_Pct]]</f>
        <v>20400</v>
      </c>
    </row>
    <row r="906" spans="1:20" x14ac:dyDescent="0.2">
      <c r="A906" t="s">
        <v>1568</v>
      </c>
      <c r="B906" s="7">
        <v>46111</v>
      </c>
      <c r="C906" s="7">
        <v>46249</v>
      </c>
      <c r="D906" t="s">
        <v>314</v>
      </c>
      <c r="E906" t="s">
        <v>68</v>
      </c>
      <c r="F906" t="s">
        <v>48</v>
      </c>
      <c r="G906" t="s">
        <v>92</v>
      </c>
      <c r="H906" t="s">
        <v>95</v>
      </c>
      <c r="I906" t="s">
        <v>35</v>
      </c>
      <c r="J906" t="s">
        <v>43</v>
      </c>
      <c r="K906" t="s">
        <v>58</v>
      </c>
      <c r="L906" t="s">
        <v>51</v>
      </c>
      <c r="M906" s="46">
        <v>14200</v>
      </c>
      <c r="N906">
        <v>0.123</v>
      </c>
      <c r="O906">
        <v>0.75</v>
      </c>
      <c r="P906" t="s">
        <v>59</v>
      </c>
      <c r="R906">
        <v>138</v>
      </c>
      <c r="S906">
        <v>1037.72</v>
      </c>
      <c r="T906">
        <f>Deals_[[#This Row],[Amount]]*Deals_[[#This Row],[Probability_Pct]]</f>
        <v>10650</v>
      </c>
    </row>
    <row r="907" spans="1:20" x14ac:dyDescent="0.2">
      <c r="A907" t="s">
        <v>1569</v>
      </c>
      <c r="B907" s="7">
        <v>46051</v>
      </c>
      <c r="C907" s="7">
        <v>46095</v>
      </c>
      <c r="D907" t="s">
        <v>157</v>
      </c>
      <c r="E907" t="s">
        <v>68</v>
      </c>
      <c r="F907" t="s">
        <v>48</v>
      </c>
      <c r="G907" t="s">
        <v>34</v>
      </c>
      <c r="H907" t="s">
        <v>98</v>
      </c>
      <c r="I907" t="s">
        <v>99</v>
      </c>
      <c r="J907" t="s">
        <v>26</v>
      </c>
      <c r="K907" t="s">
        <v>58</v>
      </c>
      <c r="L907" t="s">
        <v>44</v>
      </c>
      <c r="M907" s="46">
        <v>26700</v>
      </c>
      <c r="N907">
        <v>0.18099999999999999</v>
      </c>
      <c r="O907">
        <v>0.7</v>
      </c>
      <c r="P907" t="s">
        <v>59</v>
      </c>
      <c r="R907">
        <v>44</v>
      </c>
      <c r="S907">
        <v>1822.89</v>
      </c>
      <c r="T907">
        <f>Deals_[[#This Row],[Amount]]*Deals_[[#This Row],[Probability_Pct]]</f>
        <v>18690</v>
      </c>
    </row>
    <row r="908" spans="1:20" x14ac:dyDescent="0.2">
      <c r="A908" t="s">
        <v>1570</v>
      </c>
      <c r="B908" s="7">
        <v>46190</v>
      </c>
      <c r="C908" s="7">
        <v>46277</v>
      </c>
      <c r="D908" t="s">
        <v>908</v>
      </c>
      <c r="E908" t="s">
        <v>82</v>
      </c>
      <c r="F908" t="s">
        <v>48</v>
      </c>
      <c r="G908" t="s">
        <v>23</v>
      </c>
      <c r="H908" t="s">
        <v>95</v>
      </c>
      <c r="I908" t="s">
        <v>35</v>
      </c>
      <c r="J908" t="s">
        <v>57</v>
      </c>
      <c r="K908" t="s">
        <v>50</v>
      </c>
      <c r="L908" t="s">
        <v>44</v>
      </c>
      <c r="M908" s="46">
        <v>30000</v>
      </c>
      <c r="N908">
        <v>2.5000000000000001E-2</v>
      </c>
      <c r="O908">
        <v>0.95</v>
      </c>
      <c r="P908" t="s">
        <v>29</v>
      </c>
      <c r="R908">
        <v>87</v>
      </c>
      <c r="S908">
        <v>2438.3000000000002</v>
      </c>
      <c r="T908">
        <f>Deals_[[#This Row],[Amount]]*Deals_[[#This Row],[Probability_Pct]]</f>
        <v>28500</v>
      </c>
    </row>
    <row r="909" spans="1:20" x14ac:dyDescent="0.2">
      <c r="A909" t="s">
        <v>1571</v>
      </c>
      <c r="B909" s="7">
        <v>46251</v>
      </c>
      <c r="C909" s="7">
        <v>46277</v>
      </c>
      <c r="D909" t="s">
        <v>1485</v>
      </c>
      <c r="E909" t="s">
        <v>111</v>
      </c>
      <c r="F909" t="s">
        <v>48</v>
      </c>
      <c r="G909" t="s">
        <v>34</v>
      </c>
      <c r="H909" t="s">
        <v>56</v>
      </c>
      <c r="I909" t="s">
        <v>42</v>
      </c>
      <c r="J909" t="s">
        <v>43</v>
      </c>
      <c r="K909" t="s">
        <v>106</v>
      </c>
      <c r="L909" t="s">
        <v>51</v>
      </c>
      <c r="M909" s="46">
        <v>23900</v>
      </c>
      <c r="N909">
        <v>0.224</v>
      </c>
      <c r="O909">
        <v>0.2</v>
      </c>
      <c r="P909" t="s">
        <v>38</v>
      </c>
      <c r="R909">
        <v>26</v>
      </c>
      <c r="S909">
        <v>1544.96</v>
      </c>
      <c r="T909">
        <f>Deals_[[#This Row],[Amount]]*Deals_[[#This Row],[Probability_Pct]]</f>
        <v>4780</v>
      </c>
    </row>
    <row r="910" spans="1:20" x14ac:dyDescent="0.2">
      <c r="A910" t="s">
        <v>1572</v>
      </c>
      <c r="B910" s="7">
        <v>46138</v>
      </c>
      <c r="C910" s="7">
        <v>46207</v>
      </c>
      <c r="D910" t="s">
        <v>986</v>
      </c>
      <c r="E910" t="s">
        <v>111</v>
      </c>
      <c r="F910" t="s">
        <v>48</v>
      </c>
      <c r="G910" t="s">
        <v>55</v>
      </c>
      <c r="H910" t="s">
        <v>77</v>
      </c>
      <c r="I910" t="s">
        <v>84</v>
      </c>
      <c r="J910" t="s">
        <v>36</v>
      </c>
      <c r="K910" t="s">
        <v>50</v>
      </c>
      <c r="L910" t="s">
        <v>28</v>
      </c>
      <c r="M910" s="46">
        <v>7300</v>
      </c>
      <c r="N910">
        <v>0.14299999999999999</v>
      </c>
      <c r="O910">
        <v>1</v>
      </c>
      <c r="P910" t="s">
        <v>29</v>
      </c>
      <c r="R910">
        <v>69</v>
      </c>
      <c r="S910">
        <v>521.47</v>
      </c>
      <c r="T910">
        <f>Deals_[[#This Row],[Amount]]*Deals_[[#This Row],[Probability_Pct]]</f>
        <v>7300</v>
      </c>
    </row>
    <row r="911" spans="1:20" x14ac:dyDescent="0.2">
      <c r="A911" t="s">
        <v>1573</v>
      </c>
      <c r="B911" s="7">
        <v>46107</v>
      </c>
      <c r="C911" s="7">
        <v>46161</v>
      </c>
      <c r="D911" t="s">
        <v>1228</v>
      </c>
      <c r="E911" t="s">
        <v>62</v>
      </c>
      <c r="F911" t="s">
        <v>22</v>
      </c>
      <c r="G911" t="s">
        <v>55</v>
      </c>
      <c r="H911" t="s">
        <v>98</v>
      </c>
      <c r="I911" t="s">
        <v>99</v>
      </c>
      <c r="J911" t="s">
        <v>85</v>
      </c>
      <c r="K911" t="s">
        <v>106</v>
      </c>
      <c r="L911" t="s">
        <v>44</v>
      </c>
      <c r="M911" s="46">
        <v>92800</v>
      </c>
      <c r="N911">
        <v>7.5999999999999998E-2</v>
      </c>
      <c r="O911">
        <v>0.15</v>
      </c>
      <c r="P911" t="s">
        <v>38</v>
      </c>
      <c r="R911">
        <v>54</v>
      </c>
      <c r="S911">
        <v>7143.05</v>
      </c>
      <c r="T911">
        <f>Deals_[[#This Row],[Amount]]*Deals_[[#This Row],[Probability_Pct]]</f>
        <v>13920</v>
      </c>
    </row>
    <row r="912" spans="1:20" x14ac:dyDescent="0.2">
      <c r="A912" t="s">
        <v>1574</v>
      </c>
      <c r="B912" s="7">
        <v>45964</v>
      </c>
      <c r="C912" s="7">
        <v>46042</v>
      </c>
      <c r="D912" t="s">
        <v>348</v>
      </c>
      <c r="E912" t="s">
        <v>82</v>
      </c>
      <c r="F912" t="s">
        <v>22</v>
      </c>
      <c r="G912" t="s">
        <v>63</v>
      </c>
      <c r="H912" t="s">
        <v>56</v>
      </c>
      <c r="I912" t="s">
        <v>84</v>
      </c>
      <c r="J912" t="s">
        <v>36</v>
      </c>
      <c r="K912" t="s">
        <v>37</v>
      </c>
      <c r="L912" t="s">
        <v>44</v>
      </c>
      <c r="M912" s="46">
        <v>69000</v>
      </c>
      <c r="N912">
        <v>0.106</v>
      </c>
      <c r="O912">
        <v>0.1</v>
      </c>
      <c r="P912" t="s">
        <v>38</v>
      </c>
      <c r="R912">
        <v>78</v>
      </c>
      <c r="S912">
        <v>5142.38</v>
      </c>
      <c r="T912">
        <f>Deals_[[#This Row],[Amount]]*Deals_[[#This Row],[Probability_Pct]]</f>
        <v>6900</v>
      </c>
    </row>
    <row r="913" spans="1:20" x14ac:dyDescent="0.2">
      <c r="A913" t="s">
        <v>1575</v>
      </c>
      <c r="B913" s="7">
        <v>46205</v>
      </c>
      <c r="C913" s="7">
        <v>46291</v>
      </c>
      <c r="D913" t="s">
        <v>834</v>
      </c>
      <c r="E913" t="s">
        <v>33</v>
      </c>
      <c r="F913" t="s">
        <v>22</v>
      </c>
      <c r="G913" t="s">
        <v>23</v>
      </c>
      <c r="H913" t="s">
        <v>41</v>
      </c>
      <c r="I913" t="s">
        <v>25</v>
      </c>
      <c r="J913" t="s">
        <v>85</v>
      </c>
      <c r="K913" t="s">
        <v>37</v>
      </c>
      <c r="L913" t="s">
        <v>44</v>
      </c>
      <c r="M913" s="46">
        <v>83600</v>
      </c>
      <c r="N913">
        <v>8.5000000000000006E-2</v>
      </c>
      <c r="O913">
        <v>0.1</v>
      </c>
      <c r="P913" t="s">
        <v>38</v>
      </c>
      <c r="R913">
        <v>86</v>
      </c>
      <c r="S913">
        <v>6373.46</v>
      </c>
      <c r="T913">
        <f>Deals_[[#This Row],[Amount]]*Deals_[[#This Row],[Probability_Pct]]</f>
        <v>8360</v>
      </c>
    </row>
    <row r="914" spans="1:20" x14ac:dyDescent="0.2">
      <c r="A914" t="s">
        <v>1576</v>
      </c>
      <c r="B914" s="7">
        <v>46138</v>
      </c>
      <c r="C914" s="7">
        <v>46277</v>
      </c>
      <c r="D914" t="s">
        <v>1577</v>
      </c>
      <c r="E914" t="s">
        <v>33</v>
      </c>
      <c r="F914" t="s">
        <v>48</v>
      </c>
      <c r="G914" t="s">
        <v>23</v>
      </c>
      <c r="H914" t="s">
        <v>49</v>
      </c>
      <c r="I914" t="s">
        <v>84</v>
      </c>
      <c r="J914" t="s">
        <v>36</v>
      </c>
      <c r="K914" t="s">
        <v>27</v>
      </c>
      <c r="L914" t="s">
        <v>44</v>
      </c>
      <c r="M914" s="46">
        <v>22300</v>
      </c>
      <c r="N914">
        <v>0.12</v>
      </c>
      <c r="O914">
        <v>0</v>
      </c>
      <c r="P914" t="s">
        <v>29</v>
      </c>
      <c r="Q914" t="s">
        <v>126</v>
      </c>
      <c r="R914">
        <v>139</v>
      </c>
      <c r="S914">
        <v>1634.52</v>
      </c>
      <c r="T914">
        <f>Deals_[[#This Row],[Amount]]*Deals_[[#This Row],[Probability_Pct]]</f>
        <v>0</v>
      </c>
    </row>
    <row r="915" spans="1:20" x14ac:dyDescent="0.2">
      <c r="A915" t="s">
        <v>1578</v>
      </c>
      <c r="B915" s="7">
        <v>46126</v>
      </c>
      <c r="C915" s="7">
        <v>46202</v>
      </c>
      <c r="D915" t="s">
        <v>1579</v>
      </c>
      <c r="E915" t="s">
        <v>82</v>
      </c>
      <c r="F915" t="s">
        <v>48</v>
      </c>
      <c r="G915" t="s">
        <v>34</v>
      </c>
      <c r="H915" t="s">
        <v>24</v>
      </c>
      <c r="I915" t="s">
        <v>84</v>
      </c>
      <c r="J915" t="s">
        <v>43</v>
      </c>
      <c r="K915" t="s">
        <v>78</v>
      </c>
      <c r="L915" t="s">
        <v>44</v>
      </c>
      <c r="M915" s="46">
        <v>28400</v>
      </c>
      <c r="N915">
        <v>0.185</v>
      </c>
      <c r="O915">
        <v>0.55000000000000004</v>
      </c>
      <c r="P915" t="s">
        <v>79</v>
      </c>
      <c r="R915">
        <v>76</v>
      </c>
      <c r="S915">
        <v>1929</v>
      </c>
      <c r="T915">
        <f>Deals_[[#This Row],[Amount]]*Deals_[[#This Row],[Probability_Pct]]</f>
        <v>15620.000000000002</v>
      </c>
    </row>
    <row r="916" spans="1:20" x14ac:dyDescent="0.2">
      <c r="A916" t="s">
        <v>1580</v>
      </c>
      <c r="B916" s="7">
        <v>46010</v>
      </c>
      <c r="C916" s="7">
        <v>46105</v>
      </c>
      <c r="D916" t="s">
        <v>1581</v>
      </c>
      <c r="E916" t="s">
        <v>68</v>
      </c>
      <c r="F916" t="s">
        <v>74</v>
      </c>
      <c r="G916" t="s">
        <v>63</v>
      </c>
      <c r="H916" t="s">
        <v>24</v>
      </c>
      <c r="I916" t="s">
        <v>35</v>
      </c>
      <c r="J916" t="s">
        <v>36</v>
      </c>
      <c r="K916" t="s">
        <v>50</v>
      </c>
      <c r="L916" t="s">
        <v>28</v>
      </c>
      <c r="M916" s="46">
        <v>264500</v>
      </c>
      <c r="N916">
        <v>0.22500000000000001</v>
      </c>
      <c r="O916">
        <v>1</v>
      </c>
      <c r="P916" t="s">
        <v>29</v>
      </c>
      <c r="R916">
        <v>95</v>
      </c>
      <c r="S916">
        <v>17090.97</v>
      </c>
      <c r="T916">
        <f>Deals_[[#This Row],[Amount]]*Deals_[[#This Row],[Probability_Pct]]</f>
        <v>264500</v>
      </c>
    </row>
    <row r="917" spans="1:20" x14ac:dyDescent="0.2">
      <c r="A917" t="s">
        <v>1582</v>
      </c>
      <c r="B917" s="7">
        <v>46172</v>
      </c>
      <c r="C917" s="7">
        <v>46258</v>
      </c>
      <c r="D917" t="s">
        <v>1583</v>
      </c>
      <c r="E917" t="s">
        <v>62</v>
      </c>
      <c r="F917" t="s">
        <v>48</v>
      </c>
      <c r="G917" t="s">
        <v>55</v>
      </c>
      <c r="H917" t="s">
        <v>64</v>
      </c>
      <c r="I917" t="s">
        <v>25</v>
      </c>
      <c r="J917" t="s">
        <v>26</v>
      </c>
      <c r="K917" t="s">
        <v>106</v>
      </c>
      <c r="L917" t="s">
        <v>28</v>
      </c>
      <c r="M917" s="46">
        <v>7800</v>
      </c>
      <c r="N917">
        <v>0.112</v>
      </c>
      <c r="O917">
        <v>0.25</v>
      </c>
      <c r="P917" t="s">
        <v>38</v>
      </c>
      <c r="R917">
        <v>86</v>
      </c>
      <c r="S917">
        <v>577.41</v>
      </c>
      <c r="T917">
        <f>Deals_[[#This Row],[Amount]]*Deals_[[#This Row],[Probability_Pct]]</f>
        <v>1950</v>
      </c>
    </row>
    <row r="918" spans="1:20" x14ac:dyDescent="0.2">
      <c r="A918" t="s">
        <v>1584</v>
      </c>
      <c r="B918" s="7">
        <v>46038</v>
      </c>
      <c r="C918" s="7">
        <v>46146</v>
      </c>
      <c r="D918" t="s">
        <v>1585</v>
      </c>
      <c r="E918" t="s">
        <v>68</v>
      </c>
      <c r="F918" t="s">
        <v>48</v>
      </c>
      <c r="G918" t="s">
        <v>63</v>
      </c>
      <c r="H918" t="s">
        <v>83</v>
      </c>
      <c r="I918" t="s">
        <v>65</v>
      </c>
      <c r="J918" t="s">
        <v>43</v>
      </c>
      <c r="K918" t="s">
        <v>27</v>
      </c>
      <c r="L918" t="s">
        <v>28</v>
      </c>
      <c r="M918" s="46">
        <v>28500</v>
      </c>
      <c r="N918">
        <v>9.4E-2</v>
      </c>
      <c r="O918">
        <v>0</v>
      </c>
      <c r="P918" t="s">
        <v>29</v>
      </c>
      <c r="Q918" t="s">
        <v>152</v>
      </c>
      <c r="R918">
        <v>108</v>
      </c>
      <c r="S918">
        <v>2151.23</v>
      </c>
      <c r="T918">
        <f>Deals_[[#This Row],[Amount]]*Deals_[[#This Row],[Probability_Pct]]</f>
        <v>0</v>
      </c>
    </row>
    <row r="919" spans="1:20" x14ac:dyDescent="0.2">
      <c r="A919" t="s">
        <v>1586</v>
      </c>
      <c r="B919" s="7">
        <v>46200</v>
      </c>
      <c r="C919" s="7">
        <v>46277</v>
      </c>
      <c r="D919" t="s">
        <v>105</v>
      </c>
      <c r="E919" t="s">
        <v>82</v>
      </c>
      <c r="F919" t="s">
        <v>74</v>
      </c>
      <c r="G919" t="s">
        <v>92</v>
      </c>
      <c r="H919" t="s">
        <v>69</v>
      </c>
      <c r="I919" t="s">
        <v>99</v>
      </c>
      <c r="J919" t="s">
        <v>57</v>
      </c>
      <c r="K919" t="s">
        <v>27</v>
      </c>
      <c r="L919" t="s">
        <v>51</v>
      </c>
      <c r="M919" s="46">
        <v>169900</v>
      </c>
      <c r="N919">
        <v>0.105</v>
      </c>
      <c r="O919">
        <v>0</v>
      </c>
      <c r="P919" t="s">
        <v>29</v>
      </c>
      <c r="Q919" t="s">
        <v>152</v>
      </c>
      <c r="R919">
        <v>77</v>
      </c>
      <c r="S919">
        <v>12675.36</v>
      </c>
      <c r="T919">
        <f>Deals_[[#This Row],[Amount]]*Deals_[[#This Row],[Probability_Pct]]</f>
        <v>0</v>
      </c>
    </row>
    <row r="920" spans="1:20" x14ac:dyDescent="0.2">
      <c r="A920" t="s">
        <v>1587</v>
      </c>
      <c r="B920" s="7">
        <v>46111</v>
      </c>
      <c r="C920" s="7">
        <v>46144</v>
      </c>
      <c r="D920" t="s">
        <v>76</v>
      </c>
      <c r="E920" t="s">
        <v>111</v>
      </c>
      <c r="F920" t="s">
        <v>74</v>
      </c>
      <c r="G920" t="s">
        <v>92</v>
      </c>
      <c r="H920" t="s">
        <v>120</v>
      </c>
      <c r="I920" t="s">
        <v>42</v>
      </c>
      <c r="J920" t="s">
        <v>36</v>
      </c>
      <c r="K920" t="s">
        <v>88</v>
      </c>
      <c r="L920" t="s">
        <v>28</v>
      </c>
      <c r="M920" s="46">
        <v>318300</v>
      </c>
      <c r="N920">
        <v>9.5000000000000001E-2</v>
      </c>
      <c r="O920">
        <v>0.4</v>
      </c>
      <c r="P920" t="s">
        <v>38</v>
      </c>
      <c r="R920">
        <v>33</v>
      </c>
      <c r="S920">
        <v>24016.57</v>
      </c>
      <c r="T920">
        <f>Deals_[[#This Row],[Amount]]*Deals_[[#This Row],[Probability_Pct]]</f>
        <v>127320</v>
      </c>
    </row>
    <row r="921" spans="1:20" x14ac:dyDescent="0.2">
      <c r="A921" t="s">
        <v>1588</v>
      </c>
      <c r="B921" s="7">
        <v>46131</v>
      </c>
      <c r="C921" s="7">
        <v>46194</v>
      </c>
      <c r="D921" t="s">
        <v>1445</v>
      </c>
      <c r="E921" t="s">
        <v>68</v>
      </c>
      <c r="F921" t="s">
        <v>48</v>
      </c>
      <c r="G921" t="s">
        <v>92</v>
      </c>
      <c r="H921" t="s">
        <v>24</v>
      </c>
      <c r="I921" t="s">
        <v>25</v>
      </c>
      <c r="J921" t="s">
        <v>57</v>
      </c>
      <c r="K921" t="s">
        <v>88</v>
      </c>
      <c r="L921" t="s">
        <v>44</v>
      </c>
      <c r="M921" s="46">
        <v>22700</v>
      </c>
      <c r="N921">
        <v>0.14399999999999999</v>
      </c>
      <c r="O921">
        <v>0.35</v>
      </c>
      <c r="P921" t="s">
        <v>38</v>
      </c>
      <c r="R921">
        <v>63</v>
      </c>
      <c r="S921">
        <v>1619.08</v>
      </c>
      <c r="T921">
        <f>Deals_[[#This Row],[Amount]]*Deals_[[#This Row],[Probability_Pct]]</f>
        <v>7944.9999999999991</v>
      </c>
    </row>
    <row r="922" spans="1:20" x14ac:dyDescent="0.2">
      <c r="A922" t="s">
        <v>1589</v>
      </c>
      <c r="B922" s="7">
        <v>46117</v>
      </c>
      <c r="C922" s="7">
        <v>46194</v>
      </c>
      <c r="D922" t="s">
        <v>1590</v>
      </c>
      <c r="E922" t="s">
        <v>54</v>
      </c>
      <c r="F922" t="s">
        <v>48</v>
      </c>
      <c r="G922" t="s">
        <v>23</v>
      </c>
      <c r="H922" t="s">
        <v>120</v>
      </c>
      <c r="I922" t="s">
        <v>99</v>
      </c>
      <c r="J922" t="s">
        <v>85</v>
      </c>
      <c r="K922" t="s">
        <v>106</v>
      </c>
      <c r="L922" t="s">
        <v>28</v>
      </c>
      <c r="M922" s="46">
        <v>14000</v>
      </c>
      <c r="N922">
        <v>0.16900000000000001</v>
      </c>
      <c r="O922">
        <v>0.15</v>
      </c>
      <c r="P922" t="s">
        <v>38</v>
      </c>
      <c r="R922">
        <v>77</v>
      </c>
      <c r="S922">
        <v>968.96</v>
      </c>
      <c r="T922">
        <f>Deals_[[#This Row],[Amount]]*Deals_[[#This Row],[Probability_Pct]]</f>
        <v>2100</v>
      </c>
    </row>
    <row r="923" spans="1:20" x14ac:dyDescent="0.2">
      <c r="A923" t="s">
        <v>1591</v>
      </c>
      <c r="B923" s="7">
        <v>45959</v>
      </c>
      <c r="C923" s="7">
        <v>46076</v>
      </c>
      <c r="D923" t="s">
        <v>1592</v>
      </c>
      <c r="E923" t="s">
        <v>33</v>
      </c>
      <c r="F923" t="s">
        <v>74</v>
      </c>
      <c r="G923" t="s">
        <v>63</v>
      </c>
      <c r="H923" t="s">
        <v>120</v>
      </c>
      <c r="I923" t="s">
        <v>35</v>
      </c>
      <c r="J923" t="s">
        <v>43</v>
      </c>
      <c r="K923" t="s">
        <v>37</v>
      </c>
      <c r="L923" t="s">
        <v>28</v>
      </c>
      <c r="M923" s="46">
        <v>263100</v>
      </c>
      <c r="N923">
        <v>0</v>
      </c>
      <c r="O923">
        <v>0.1</v>
      </c>
      <c r="P923" t="s">
        <v>38</v>
      </c>
      <c r="R923">
        <v>117</v>
      </c>
      <c r="S923">
        <v>21925</v>
      </c>
      <c r="T923">
        <f>Deals_[[#This Row],[Amount]]*Deals_[[#This Row],[Probability_Pct]]</f>
        <v>26310</v>
      </c>
    </row>
    <row r="924" spans="1:20" x14ac:dyDescent="0.2">
      <c r="A924" t="s">
        <v>1593</v>
      </c>
      <c r="B924" s="7">
        <v>46132</v>
      </c>
      <c r="C924" s="7">
        <v>46227</v>
      </c>
      <c r="D924" t="s">
        <v>163</v>
      </c>
      <c r="E924" t="s">
        <v>68</v>
      </c>
      <c r="F924" t="s">
        <v>22</v>
      </c>
      <c r="G924" t="s">
        <v>34</v>
      </c>
      <c r="H924" t="s">
        <v>69</v>
      </c>
      <c r="I924" t="s">
        <v>84</v>
      </c>
      <c r="J924" t="s">
        <v>85</v>
      </c>
      <c r="K924" t="s">
        <v>27</v>
      </c>
      <c r="L924" t="s">
        <v>44</v>
      </c>
      <c r="M924" s="46">
        <v>75400</v>
      </c>
      <c r="N924">
        <v>2.9000000000000001E-2</v>
      </c>
      <c r="O924">
        <v>0</v>
      </c>
      <c r="P924" t="s">
        <v>29</v>
      </c>
      <c r="Q924" t="s">
        <v>45</v>
      </c>
      <c r="R924">
        <v>95</v>
      </c>
      <c r="S924">
        <v>6098.3</v>
      </c>
      <c r="T924">
        <f>Deals_[[#This Row],[Amount]]*Deals_[[#This Row],[Probability_Pct]]</f>
        <v>0</v>
      </c>
    </row>
    <row r="925" spans="1:20" x14ac:dyDescent="0.2">
      <c r="A925" t="s">
        <v>1594</v>
      </c>
      <c r="B925" s="7">
        <v>46250</v>
      </c>
      <c r="C925" s="7">
        <v>46271</v>
      </c>
      <c r="D925" t="s">
        <v>1577</v>
      </c>
      <c r="E925" t="s">
        <v>82</v>
      </c>
      <c r="F925" t="s">
        <v>48</v>
      </c>
      <c r="G925" t="s">
        <v>23</v>
      </c>
      <c r="H925" t="s">
        <v>64</v>
      </c>
      <c r="I925" t="s">
        <v>42</v>
      </c>
      <c r="J925" t="s">
        <v>26</v>
      </c>
      <c r="K925" t="s">
        <v>27</v>
      </c>
      <c r="L925" t="s">
        <v>44</v>
      </c>
      <c r="M925" s="46">
        <v>12000</v>
      </c>
      <c r="N925">
        <v>0.14399999999999999</v>
      </c>
      <c r="O925">
        <v>0</v>
      </c>
      <c r="P925" t="s">
        <v>29</v>
      </c>
      <c r="Q925" t="s">
        <v>209</v>
      </c>
      <c r="R925">
        <v>21</v>
      </c>
      <c r="S925">
        <v>856.46</v>
      </c>
      <c r="T925">
        <f>Deals_[[#This Row],[Amount]]*Deals_[[#This Row],[Probability_Pct]]</f>
        <v>0</v>
      </c>
    </row>
    <row r="926" spans="1:20" x14ac:dyDescent="0.2">
      <c r="A926" t="s">
        <v>1595</v>
      </c>
      <c r="B926" s="7">
        <v>46276</v>
      </c>
      <c r="C926" s="7">
        <v>46277</v>
      </c>
      <c r="D926" t="s">
        <v>1567</v>
      </c>
      <c r="E926" t="s">
        <v>68</v>
      </c>
      <c r="F926" t="s">
        <v>48</v>
      </c>
      <c r="G926" t="s">
        <v>63</v>
      </c>
      <c r="H926" t="s">
        <v>56</v>
      </c>
      <c r="I926" t="s">
        <v>65</v>
      </c>
      <c r="J926" t="s">
        <v>36</v>
      </c>
      <c r="K926" t="s">
        <v>50</v>
      </c>
      <c r="L926" t="s">
        <v>51</v>
      </c>
      <c r="M926" s="46">
        <v>16300</v>
      </c>
      <c r="N926">
        <v>0.13</v>
      </c>
      <c r="O926">
        <v>1</v>
      </c>
      <c r="P926" t="s">
        <v>29</v>
      </c>
      <c r="R926">
        <v>1</v>
      </c>
      <c r="S926">
        <v>1181.77</v>
      </c>
      <c r="T926">
        <f>Deals_[[#This Row],[Amount]]*Deals_[[#This Row],[Probability_Pct]]</f>
        <v>16300</v>
      </c>
    </row>
    <row r="927" spans="1:20" x14ac:dyDescent="0.2">
      <c r="A927" t="s">
        <v>1596</v>
      </c>
      <c r="B927" s="7">
        <v>46077</v>
      </c>
      <c r="C927" s="7">
        <v>46174</v>
      </c>
      <c r="D927" t="s">
        <v>790</v>
      </c>
      <c r="E927" t="s">
        <v>62</v>
      </c>
      <c r="F927" t="s">
        <v>74</v>
      </c>
      <c r="G927" t="s">
        <v>34</v>
      </c>
      <c r="H927" t="s">
        <v>64</v>
      </c>
      <c r="I927" t="s">
        <v>84</v>
      </c>
      <c r="J927" t="s">
        <v>43</v>
      </c>
      <c r="K927" t="s">
        <v>88</v>
      </c>
      <c r="L927" t="s">
        <v>44</v>
      </c>
      <c r="M927" s="46">
        <v>328800</v>
      </c>
      <c r="N927">
        <v>1E-3</v>
      </c>
      <c r="O927">
        <v>0.35</v>
      </c>
      <c r="P927" t="s">
        <v>38</v>
      </c>
      <c r="R927">
        <v>97</v>
      </c>
      <c r="S927">
        <v>27366.12</v>
      </c>
      <c r="T927">
        <f>Deals_[[#This Row],[Amount]]*Deals_[[#This Row],[Probability_Pct]]</f>
        <v>115079.99999999999</v>
      </c>
    </row>
    <row r="928" spans="1:20" x14ac:dyDescent="0.2">
      <c r="A928" t="s">
        <v>1597</v>
      </c>
      <c r="B928" s="7">
        <v>46123</v>
      </c>
      <c r="C928" s="7">
        <v>46237</v>
      </c>
      <c r="D928" t="s">
        <v>344</v>
      </c>
      <c r="E928" t="s">
        <v>54</v>
      </c>
      <c r="F928" t="s">
        <v>48</v>
      </c>
      <c r="G928" t="s">
        <v>34</v>
      </c>
      <c r="H928" t="s">
        <v>56</v>
      </c>
      <c r="I928" t="s">
        <v>84</v>
      </c>
      <c r="J928" t="s">
        <v>26</v>
      </c>
      <c r="K928" t="s">
        <v>78</v>
      </c>
      <c r="L928" t="s">
        <v>28</v>
      </c>
      <c r="M928" s="46">
        <v>27800</v>
      </c>
      <c r="N928">
        <v>8.4000000000000005E-2</v>
      </c>
      <c r="O928">
        <v>0.55000000000000004</v>
      </c>
      <c r="P928" t="s">
        <v>79</v>
      </c>
      <c r="R928">
        <v>114</v>
      </c>
      <c r="S928">
        <v>2121.15</v>
      </c>
      <c r="T928">
        <f>Deals_[[#This Row],[Amount]]*Deals_[[#This Row],[Probability_Pct]]</f>
        <v>15290.000000000002</v>
      </c>
    </row>
    <row r="929" spans="1:20" x14ac:dyDescent="0.2">
      <c r="A929" t="s">
        <v>1598</v>
      </c>
      <c r="B929" s="7">
        <v>46056</v>
      </c>
      <c r="C929" s="7">
        <v>46137</v>
      </c>
      <c r="D929" t="s">
        <v>1599</v>
      </c>
      <c r="E929" t="s">
        <v>21</v>
      </c>
      <c r="F929" t="s">
        <v>48</v>
      </c>
      <c r="G929" t="s">
        <v>55</v>
      </c>
      <c r="H929" t="s">
        <v>120</v>
      </c>
      <c r="I929" t="s">
        <v>99</v>
      </c>
      <c r="J929" t="s">
        <v>43</v>
      </c>
      <c r="K929" t="s">
        <v>37</v>
      </c>
      <c r="L929" t="s">
        <v>28</v>
      </c>
      <c r="M929" s="46">
        <v>11000</v>
      </c>
      <c r="N929">
        <v>0.15</v>
      </c>
      <c r="O929">
        <v>0.1</v>
      </c>
      <c r="P929" t="s">
        <v>38</v>
      </c>
      <c r="R929">
        <v>81</v>
      </c>
      <c r="S929">
        <v>779.42</v>
      </c>
      <c r="T929">
        <f>Deals_[[#This Row],[Amount]]*Deals_[[#This Row],[Probability_Pct]]</f>
        <v>1100</v>
      </c>
    </row>
    <row r="930" spans="1:20" x14ac:dyDescent="0.2">
      <c r="A930" t="s">
        <v>1600</v>
      </c>
      <c r="B930" s="7">
        <v>46165</v>
      </c>
      <c r="C930" s="7">
        <v>46317</v>
      </c>
      <c r="D930" t="s">
        <v>1601</v>
      </c>
      <c r="E930" t="s">
        <v>62</v>
      </c>
      <c r="F930" t="s">
        <v>22</v>
      </c>
      <c r="G930" t="s">
        <v>34</v>
      </c>
      <c r="H930" t="s">
        <v>98</v>
      </c>
      <c r="I930" t="s">
        <v>65</v>
      </c>
      <c r="J930" t="s">
        <v>43</v>
      </c>
      <c r="K930" t="s">
        <v>58</v>
      </c>
      <c r="L930" t="s">
        <v>44</v>
      </c>
      <c r="M930" s="46">
        <v>89800</v>
      </c>
      <c r="N930">
        <v>0.08</v>
      </c>
      <c r="O930">
        <v>0.7</v>
      </c>
      <c r="P930" t="s">
        <v>59</v>
      </c>
      <c r="R930">
        <v>152</v>
      </c>
      <c r="S930">
        <v>6883.18</v>
      </c>
      <c r="T930">
        <f>Deals_[[#This Row],[Amount]]*Deals_[[#This Row],[Probability_Pct]]</f>
        <v>62859.999999999993</v>
      </c>
    </row>
    <row r="931" spans="1:20" x14ac:dyDescent="0.2">
      <c r="A931" t="s">
        <v>1602</v>
      </c>
      <c r="B931" s="7">
        <v>46264</v>
      </c>
      <c r="C931" s="7">
        <v>46289</v>
      </c>
      <c r="D931" t="s">
        <v>898</v>
      </c>
      <c r="E931" t="s">
        <v>82</v>
      </c>
      <c r="F931" t="s">
        <v>74</v>
      </c>
      <c r="G931" t="s">
        <v>34</v>
      </c>
      <c r="H931" t="s">
        <v>83</v>
      </c>
      <c r="I931" t="s">
        <v>99</v>
      </c>
      <c r="J931" t="s">
        <v>57</v>
      </c>
      <c r="K931" t="s">
        <v>106</v>
      </c>
      <c r="L931" t="s">
        <v>28</v>
      </c>
      <c r="M931" s="46">
        <v>140200</v>
      </c>
      <c r="N931">
        <v>0.108</v>
      </c>
      <c r="O931">
        <v>0.15</v>
      </c>
      <c r="P931" t="s">
        <v>38</v>
      </c>
      <c r="R931">
        <v>25</v>
      </c>
      <c r="S931">
        <v>10426.82</v>
      </c>
      <c r="T931">
        <f>Deals_[[#This Row],[Amount]]*Deals_[[#This Row],[Probability_Pct]]</f>
        <v>21030</v>
      </c>
    </row>
    <row r="932" spans="1:20" x14ac:dyDescent="0.2">
      <c r="A932" t="s">
        <v>1603</v>
      </c>
      <c r="B932" s="7">
        <v>46169</v>
      </c>
      <c r="C932" s="7">
        <v>46237</v>
      </c>
      <c r="D932" t="s">
        <v>380</v>
      </c>
      <c r="E932" t="s">
        <v>62</v>
      </c>
      <c r="F932" t="s">
        <v>48</v>
      </c>
      <c r="G932" t="s">
        <v>23</v>
      </c>
      <c r="H932" t="s">
        <v>77</v>
      </c>
      <c r="I932" t="s">
        <v>99</v>
      </c>
      <c r="J932" t="s">
        <v>57</v>
      </c>
      <c r="K932" t="s">
        <v>27</v>
      </c>
      <c r="L932" t="s">
        <v>51</v>
      </c>
      <c r="M932" s="46">
        <v>25800</v>
      </c>
      <c r="N932">
        <v>9.9000000000000005E-2</v>
      </c>
      <c r="O932">
        <v>0</v>
      </c>
      <c r="P932" t="s">
        <v>29</v>
      </c>
      <c r="Q932" t="s">
        <v>188</v>
      </c>
      <c r="R932">
        <v>68</v>
      </c>
      <c r="S932">
        <v>1936.7</v>
      </c>
      <c r="T932">
        <f>Deals_[[#This Row],[Amount]]*Deals_[[#This Row],[Probability_Pct]]</f>
        <v>0</v>
      </c>
    </row>
    <row r="933" spans="1:20" x14ac:dyDescent="0.2">
      <c r="A933" t="s">
        <v>1604</v>
      </c>
      <c r="B933" s="7">
        <v>45962</v>
      </c>
      <c r="C933" s="7">
        <v>46033</v>
      </c>
      <c r="D933" t="s">
        <v>507</v>
      </c>
      <c r="E933" t="s">
        <v>91</v>
      </c>
      <c r="F933" t="s">
        <v>74</v>
      </c>
      <c r="G933" t="s">
        <v>63</v>
      </c>
      <c r="H933" t="s">
        <v>56</v>
      </c>
      <c r="I933" t="s">
        <v>25</v>
      </c>
      <c r="J933" t="s">
        <v>43</v>
      </c>
      <c r="K933" t="s">
        <v>50</v>
      </c>
      <c r="L933" t="s">
        <v>51</v>
      </c>
      <c r="M933" s="46">
        <v>190200</v>
      </c>
      <c r="N933">
        <v>0.14699999999999999</v>
      </c>
      <c r="O933">
        <v>1</v>
      </c>
      <c r="P933" t="s">
        <v>29</v>
      </c>
      <c r="R933">
        <v>71</v>
      </c>
      <c r="S933">
        <v>13518.86</v>
      </c>
      <c r="T933">
        <f>Deals_[[#This Row],[Amount]]*Deals_[[#This Row],[Probability_Pct]]</f>
        <v>190200</v>
      </c>
    </row>
    <row r="934" spans="1:20" x14ac:dyDescent="0.2">
      <c r="A934" t="s">
        <v>1605</v>
      </c>
      <c r="B934" s="7">
        <v>46181</v>
      </c>
      <c r="C934" s="7">
        <v>46285</v>
      </c>
      <c r="D934" t="s">
        <v>1149</v>
      </c>
      <c r="E934" t="s">
        <v>54</v>
      </c>
      <c r="F934" t="s">
        <v>22</v>
      </c>
      <c r="G934" t="s">
        <v>34</v>
      </c>
      <c r="H934" t="s">
        <v>77</v>
      </c>
      <c r="I934" t="s">
        <v>35</v>
      </c>
      <c r="J934" t="s">
        <v>26</v>
      </c>
      <c r="K934" t="s">
        <v>37</v>
      </c>
      <c r="L934" t="s">
        <v>44</v>
      </c>
      <c r="M934" s="46">
        <v>55700</v>
      </c>
      <c r="N934">
        <v>0</v>
      </c>
      <c r="O934">
        <v>0.15</v>
      </c>
      <c r="P934" t="s">
        <v>38</v>
      </c>
      <c r="R934">
        <v>104</v>
      </c>
      <c r="S934">
        <v>4641.67</v>
      </c>
      <c r="T934">
        <f>Deals_[[#This Row],[Amount]]*Deals_[[#This Row],[Probability_Pct]]</f>
        <v>8355</v>
      </c>
    </row>
    <row r="935" spans="1:20" x14ac:dyDescent="0.2">
      <c r="A935" t="s">
        <v>1606</v>
      </c>
      <c r="B935" s="7">
        <v>46199</v>
      </c>
      <c r="C935" s="7">
        <v>46294</v>
      </c>
      <c r="D935" t="s">
        <v>20</v>
      </c>
      <c r="E935" t="s">
        <v>111</v>
      </c>
      <c r="F935" t="s">
        <v>22</v>
      </c>
      <c r="G935" t="s">
        <v>92</v>
      </c>
      <c r="H935" t="s">
        <v>83</v>
      </c>
      <c r="I935" t="s">
        <v>35</v>
      </c>
      <c r="J935" t="s">
        <v>43</v>
      </c>
      <c r="K935" t="s">
        <v>78</v>
      </c>
      <c r="L935" t="s">
        <v>51</v>
      </c>
      <c r="M935" s="46">
        <v>91800</v>
      </c>
      <c r="N935">
        <v>0.157</v>
      </c>
      <c r="O935">
        <v>0.5</v>
      </c>
      <c r="P935" t="s">
        <v>79</v>
      </c>
      <c r="R935">
        <v>95</v>
      </c>
      <c r="S935">
        <v>6451.26</v>
      </c>
      <c r="T935">
        <f>Deals_[[#This Row],[Amount]]*Deals_[[#This Row],[Probability_Pct]]</f>
        <v>45900</v>
      </c>
    </row>
    <row r="936" spans="1:20" x14ac:dyDescent="0.2">
      <c r="A936" t="s">
        <v>1607</v>
      </c>
      <c r="B936" s="7">
        <v>46274</v>
      </c>
      <c r="C936" s="7">
        <v>46284</v>
      </c>
      <c r="D936" t="s">
        <v>646</v>
      </c>
      <c r="E936" t="s">
        <v>82</v>
      </c>
      <c r="F936" t="s">
        <v>48</v>
      </c>
      <c r="G936" t="s">
        <v>55</v>
      </c>
      <c r="H936" t="s">
        <v>49</v>
      </c>
      <c r="I936" t="s">
        <v>35</v>
      </c>
      <c r="J936" t="s">
        <v>85</v>
      </c>
      <c r="K936" t="s">
        <v>37</v>
      </c>
      <c r="L936" t="s">
        <v>28</v>
      </c>
      <c r="M936" s="46">
        <v>16900</v>
      </c>
      <c r="N936">
        <v>0.13800000000000001</v>
      </c>
      <c r="O936">
        <v>0.05</v>
      </c>
      <c r="P936" t="s">
        <v>38</v>
      </c>
      <c r="R936">
        <v>10</v>
      </c>
      <c r="S936">
        <v>1213.52</v>
      </c>
      <c r="T936">
        <f>Deals_[[#This Row],[Amount]]*Deals_[[#This Row],[Probability_Pct]]</f>
        <v>845</v>
      </c>
    </row>
    <row r="937" spans="1:20" x14ac:dyDescent="0.2">
      <c r="A937" t="s">
        <v>1608</v>
      </c>
      <c r="B937" s="7">
        <v>45955</v>
      </c>
      <c r="C937" s="7">
        <v>46097</v>
      </c>
      <c r="D937" t="s">
        <v>947</v>
      </c>
      <c r="E937" t="s">
        <v>91</v>
      </c>
      <c r="F937" t="s">
        <v>48</v>
      </c>
      <c r="G937" t="s">
        <v>92</v>
      </c>
      <c r="H937" t="s">
        <v>64</v>
      </c>
      <c r="I937" t="s">
        <v>84</v>
      </c>
      <c r="J937" t="s">
        <v>26</v>
      </c>
      <c r="K937" t="s">
        <v>78</v>
      </c>
      <c r="L937" t="s">
        <v>44</v>
      </c>
      <c r="M937" s="46">
        <v>24700</v>
      </c>
      <c r="N937">
        <v>0.161</v>
      </c>
      <c r="O937">
        <v>0.5</v>
      </c>
      <c r="P937" t="s">
        <v>79</v>
      </c>
      <c r="R937">
        <v>142</v>
      </c>
      <c r="S937">
        <v>1727.65</v>
      </c>
      <c r="T937">
        <f>Deals_[[#This Row],[Amount]]*Deals_[[#This Row],[Probability_Pct]]</f>
        <v>12350</v>
      </c>
    </row>
    <row r="938" spans="1:20" x14ac:dyDescent="0.2">
      <c r="A938" t="s">
        <v>1609</v>
      </c>
      <c r="B938" s="7">
        <v>45963</v>
      </c>
      <c r="C938" s="7">
        <v>46066</v>
      </c>
      <c r="D938" t="s">
        <v>1326</v>
      </c>
      <c r="E938" t="s">
        <v>82</v>
      </c>
      <c r="F938" t="s">
        <v>48</v>
      </c>
      <c r="G938" t="s">
        <v>92</v>
      </c>
      <c r="H938" t="s">
        <v>49</v>
      </c>
      <c r="I938" t="s">
        <v>99</v>
      </c>
      <c r="J938" t="s">
        <v>57</v>
      </c>
      <c r="K938" t="s">
        <v>58</v>
      </c>
      <c r="L938" t="s">
        <v>51</v>
      </c>
      <c r="M938" s="46">
        <v>20600</v>
      </c>
      <c r="N938">
        <v>0.20899999999999999</v>
      </c>
      <c r="O938">
        <v>0.75</v>
      </c>
      <c r="P938" t="s">
        <v>59</v>
      </c>
      <c r="R938">
        <v>103</v>
      </c>
      <c r="S938">
        <v>1358.07</v>
      </c>
      <c r="T938">
        <f>Deals_[[#This Row],[Amount]]*Deals_[[#This Row],[Probability_Pct]]</f>
        <v>15450</v>
      </c>
    </row>
    <row r="939" spans="1:20" x14ac:dyDescent="0.2">
      <c r="A939" t="s">
        <v>1610</v>
      </c>
      <c r="B939" s="7">
        <v>45980</v>
      </c>
      <c r="C939" s="7">
        <v>46140</v>
      </c>
      <c r="D939" t="s">
        <v>1611</v>
      </c>
      <c r="E939" t="s">
        <v>33</v>
      </c>
      <c r="F939" t="s">
        <v>22</v>
      </c>
      <c r="G939" t="s">
        <v>92</v>
      </c>
      <c r="H939" t="s">
        <v>83</v>
      </c>
      <c r="I939" t="s">
        <v>84</v>
      </c>
      <c r="J939" t="s">
        <v>85</v>
      </c>
      <c r="K939" t="s">
        <v>50</v>
      </c>
      <c r="L939" t="s">
        <v>44</v>
      </c>
      <c r="M939" s="46">
        <v>58900</v>
      </c>
      <c r="N939">
        <v>0</v>
      </c>
      <c r="O939">
        <v>1</v>
      </c>
      <c r="P939" t="s">
        <v>29</v>
      </c>
      <c r="R939">
        <v>160</v>
      </c>
      <c r="S939">
        <v>4908.33</v>
      </c>
      <c r="T939">
        <f>Deals_[[#This Row],[Amount]]*Deals_[[#This Row],[Probability_Pct]]</f>
        <v>58900</v>
      </c>
    </row>
    <row r="940" spans="1:20" x14ac:dyDescent="0.2">
      <c r="A940" t="s">
        <v>1612</v>
      </c>
      <c r="B940" s="7">
        <v>46139</v>
      </c>
      <c r="C940" s="7">
        <v>46209</v>
      </c>
      <c r="D940" t="s">
        <v>970</v>
      </c>
      <c r="E940" t="s">
        <v>111</v>
      </c>
      <c r="F940" t="s">
        <v>22</v>
      </c>
      <c r="G940" t="s">
        <v>23</v>
      </c>
      <c r="H940" t="s">
        <v>83</v>
      </c>
      <c r="I940" t="s">
        <v>84</v>
      </c>
      <c r="J940" t="s">
        <v>85</v>
      </c>
      <c r="K940" t="s">
        <v>106</v>
      </c>
      <c r="L940" t="s">
        <v>28</v>
      </c>
      <c r="M940" s="46">
        <v>63700</v>
      </c>
      <c r="N940">
        <v>0</v>
      </c>
      <c r="O940">
        <v>0.2</v>
      </c>
      <c r="P940" t="s">
        <v>38</v>
      </c>
      <c r="R940">
        <v>70</v>
      </c>
      <c r="S940">
        <v>5308.33</v>
      </c>
      <c r="T940">
        <f>Deals_[[#This Row],[Amount]]*Deals_[[#This Row],[Probability_Pct]]</f>
        <v>12740</v>
      </c>
    </row>
    <row r="941" spans="1:20" x14ac:dyDescent="0.2">
      <c r="A941" t="s">
        <v>1613</v>
      </c>
      <c r="B941" s="7">
        <v>46105</v>
      </c>
      <c r="C941" s="7">
        <v>46194</v>
      </c>
      <c r="D941" t="s">
        <v>406</v>
      </c>
      <c r="E941" t="s">
        <v>21</v>
      </c>
      <c r="F941" t="s">
        <v>48</v>
      </c>
      <c r="G941" t="s">
        <v>23</v>
      </c>
      <c r="H941" t="s">
        <v>56</v>
      </c>
      <c r="I941" t="s">
        <v>35</v>
      </c>
      <c r="J941" t="s">
        <v>26</v>
      </c>
      <c r="K941" t="s">
        <v>37</v>
      </c>
      <c r="L941" t="s">
        <v>28</v>
      </c>
      <c r="M941" s="46">
        <v>29200</v>
      </c>
      <c r="N941">
        <v>0.214</v>
      </c>
      <c r="O941">
        <v>0.1</v>
      </c>
      <c r="P941" t="s">
        <v>38</v>
      </c>
      <c r="R941">
        <v>89</v>
      </c>
      <c r="S941">
        <v>1912.97</v>
      </c>
      <c r="T941">
        <f>Deals_[[#This Row],[Amount]]*Deals_[[#This Row],[Probability_Pct]]</f>
        <v>2920</v>
      </c>
    </row>
    <row r="942" spans="1:20" x14ac:dyDescent="0.2">
      <c r="A942" t="s">
        <v>1614</v>
      </c>
      <c r="B942" s="7">
        <v>46043</v>
      </c>
      <c r="C942" s="7">
        <v>46114</v>
      </c>
      <c r="D942" t="s">
        <v>1615</v>
      </c>
      <c r="E942" t="s">
        <v>91</v>
      </c>
      <c r="F942" t="s">
        <v>22</v>
      </c>
      <c r="G942" t="s">
        <v>34</v>
      </c>
      <c r="H942" t="s">
        <v>49</v>
      </c>
      <c r="I942" t="s">
        <v>42</v>
      </c>
      <c r="J942" t="s">
        <v>57</v>
      </c>
      <c r="K942" t="s">
        <v>50</v>
      </c>
      <c r="L942" t="s">
        <v>28</v>
      </c>
      <c r="M942" s="46">
        <v>33000</v>
      </c>
      <c r="N942">
        <v>0</v>
      </c>
      <c r="O942">
        <v>1</v>
      </c>
      <c r="P942" t="s">
        <v>29</v>
      </c>
      <c r="R942">
        <v>71</v>
      </c>
      <c r="S942">
        <v>2750</v>
      </c>
      <c r="T942">
        <f>Deals_[[#This Row],[Amount]]*Deals_[[#This Row],[Probability_Pct]]</f>
        <v>33000</v>
      </c>
    </row>
    <row r="943" spans="1:20" x14ac:dyDescent="0.2">
      <c r="A943" t="s">
        <v>1616</v>
      </c>
      <c r="B943" s="7">
        <v>45969</v>
      </c>
      <c r="C943" s="7">
        <v>46117</v>
      </c>
      <c r="D943" t="s">
        <v>1617</v>
      </c>
      <c r="E943" t="s">
        <v>21</v>
      </c>
      <c r="F943" t="s">
        <v>74</v>
      </c>
      <c r="G943" t="s">
        <v>23</v>
      </c>
      <c r="H943" t="s">
        <v>41</v>
      </c>
      <c r="I943" t="s">
        <v>35</v>
      </c>
      <c r="J943" t="s">
        <v>43</v>
      </c>
      <c r="K943" t="s">
        <v>37</v>
      </c>
      <c r="L943" t="s">
        <v>51</v>
      </c>
      <c r="M943" s="46">
        <v>107300</v>
      </c>
      <c r="N943">
        <v>4.3999999999999997E-2</v>
      </c>
      <c r="O943">
        <v>0.1</v>
      </c>
      <c r="P943" t="s">
        <v>38</v>
      </c>
      <c r="R943">
        <v>148</v>
      </c>
      <c r="S943">
        <v>8546.27</v>
      </c>
      <c r="T943">
        <f>Deals_[[#This Row],[Amount]]*Deals_[[#This Row],[Probability_Pct]]</f>
        <v>10730</v>
      </c>
    </row>
    <row r="944" spans="1:20" x14ac:dyDescent="0.2">
      <c r="A944" t="s">
        <v>1618</v>
      </c>
      <c r="B944" s="7">
        <v>45970</v>
      </c>
      <c r="C944" s="7">
        <v>46112</v>
      </c>
      <c r="D944" t="s">
        <v>1619</v>
      </c>
      <c r="E944" t="s">
        <v>62</v>
      </c>
      <c r="F944" t="s">
        <v>22</v>
      </c>
      <c r="G944" t="s">
        <v>92</v>
      </c>
      <c r="H944" t="s">
        <v>98</v>
      </c>
      <c r="I944" t="s">
        <v>42</v>
      </c>
      <c r="J944" t="s">
        <v>26</v>
      </c>
      <c r="K944" t="s">
        <v>78</v>
      </c>
      <c r="L944" t="s">
        <v>51</v>
      </c>
      <c r="M944" s="46">
        <v>36600</v>
      </c>
      <c r="N944">
        <v>0.11899999999999999</v>
      </c>
      <c r="O944">
        <v>0.6</v>
      </c>
      <c r="P944" t="s">
        <v>79</v>
      </c>
      <c r="R944">
        <v>142</v>
      </c>
      <c r="S944">
        <v>2687.06</v>
      </c>
      <c r="T944">
        <f>Deals_[[#This Row],[Amount]]*Deals_[[#This Row],[Probability_Pct]]</f>
        <v>21960</v>
      </c>
    </row>
    <row r="945" spans="1:20" x14ac:dyDescent="0.2">
      <c r="A945" t="s">
        <v>1620</v>
      </c>
      <c r="B945" s="7">
        <v>46163</v>
      </c>
      <c r="C945" s="7">
        <v>46225</v>
      </c>
      <c r="D945" t="s">
        <v>1217</v>
      </c>
      <c r="E945" t="s">
        <v>62</v>
      </c>
      <c r="F945" t="s">
        <v>48</v>
      </c>
      <c r="G945" t="s">
        <v>23</v>
      </c>
      <c r="H945" t="s">
        <v>95</v>
      </c>
      <c r="I945" t="s">
        <v>42</v>
      </c>
      <c r="J945" t="s">
        <v>26</v>
      </c>
      <c r="K945" t="s">
        <v>106</v>
      </c>
      <c r="L945" t="s">
        <v>51</v>
      </c>
      <c r="M945" s="46">
        <v>7600</v>
      </c>
      <c r="N945">
        <v>8.5000000000000006E-2</v>
      </c>
      <c r="O945">
        <v>0.2</v>
      </c>
      <c r="P945" t="s">
        <v>38</v>
      </c>
      <c r="R945">
        <v>62</v>
      </c>
      <c r="S945">
        <v>579.39</v>
      </c>
      <c r="T945">
        <f>Deals_[[#This Row],[Amount]]*Deals_[[#This Row],[Probability_Pct]]</f>
        <v>1520</v>
      </c>
    </row>
    <row r="946" spans="1:20" x14ac:dyDescent="0.2">
      <c r="A946" t="s">
        <v>1621</v>
      </c>
      <c r="B946" s="7">
        <v>46151</v>
      </c>
      <c r="C946" s="7">
        <v>46333</v>
      </c>
      <c r="D946" t="s">
        <v>1622</v>
      </c>
      <c r="E946" t="s">
        <v>62</v>
      </c>
      <c r="F946" t="s">
        <v>22</v>
      </c>
      <c r="G946" t="s">
        <v>23</v>
      </c>
      <c r="H946" t="s">
        <v>137</v>
      </c>
      <c r="I946" t="s">
        <v>65</v>
      </c>
      <c r="J946" t="s">
        <v>26</v>
      </c>
      <c r="K946" t="s">
        <v>106</v>
      </c>
      <c r="L946" t="s">
        <v>51</v>
      </c>
      <c r="M946" s="46">
        <v>31600</v>
      </c>
      <c r="N946">
        <v>7.9000000000000001E-2</v>
      </c>
      <c r="O946">
        <v>0.2</v>
      </c>
      <c r="P946" t="s">
        <v>38</v>
      </c>
      <c r="R946">
        <v>182</v>
      </c>
      <c r="S946">
        <v>2425.1799999999998</v>
      </c>
      <c r="T946">
        <f>Deals_[[#This Row],[Amount]]*Deals_[[#This Row],[Probability_Pct]]</f>
        <v>6320</v>
      </c>
    </row>
    <row r="947" spans="1:20" x14ac:dyDescent="0.2">
      <c r="A947" t="s">
        <v>1623</v>
      </c>
      <c r="B947" s="7">
        <v>46269</v>
      </c>
      <c r="C947" s="7">
        <v>46295</v>
      </c>
      <c r="D947" t="s">
        <v>979</v>
      </c>
      <c r="E947" t="s">
        <v>21</v>
      </c>
      <c r="F947" t="s">
        <v>22</v>
      </c>
      <c r="G947" t="s">
        <v>55</v>
      </c>
      <c r="H947" t="s">
        <v>69</v>
      </c>
      <c r="I947" t="s">
        <v>35</v>
      </c>
      <c r="J947" t="s">
        <v>85</v>
      </c>
      <c r="K947" t="s">
        <v>37</v>
      </c>
      <c r="L947" t="s">
        <v>44</v>
      </c>
      <c r="M947" s="46">
        <v>63900</v>
      </c>
      <c r="N947">
        <v>0.08</v>
      </c>
      <c r="O947">
        <v>0.1</v>
      </c>
      <c r="P947" t="s">
        <v>38</v>
      </c>
      <c r="R947">
        <v>26</v>
      </c>
      <c r="S947">
        <v>4899.57</v>
      </c>
      <c r="T947">
        <f>Deals_[[#This Row],[Amount]]*Deals_[[#This Row],[Probability_Pct]]</f>
        <v>6390</v>
      </c>
    </row>
    <row r="948" spans="1:20" x14ac:dyDescent="0.2">
      <c r="A948" t="s">
        <v>1624</v>
      </c>
      <c r="B948" s="7">
        <v>46046</v>
      </c>
      <c r="C948" s="7">
        <v>46130</v>
      </c>
      <c r="D948" t="s">
        <v>316</v>
      </c>
      <c r="E948" t="s">
        <v>68</v>
      </c>
      <c r="F948" t="s">
        <v>48</v>
      </c>
      <c r="G948" t="s">
        <v>34</v>
      </c>
      <c r="H948" t="s">
        <v>56</v>
      </c>
      <c r="I948" t="s">
        <v>99</v>
      </c>
      <c r="J948" t="s">
        <v>57</v>
      </c>
      <c r="K948" t="s">
        <v>88</v>
      </c>
      <c r="L948" t="s">
        <v>28</v>
      </c>
      <c r="M948" s="46">
        <v>20100</v>
      </c>
      <c r="N948">
        <v>0.10299999999999999</v>
      </c>
      <c r="O948">
        <v>0.3</v>
      </c>
      <c r="P948" t="s">
        <v>38</v>
      </c>
      <c r="R948">
        <v>84</v>
      </c>
      <c r="S948">
        <v>1501.95</v>
      </c>
      <c r="T948">
        <f>Deals_[[#This Row],[Amount]]*Deals_[[#This Row],[Probability_Pct]]</f>
        <v>6030</v>
      </c>
    </row>
    <row r="949" spans="1:20" x14ac:dyDescent="0.2">
      <c r="A949" t="s">
        <v>1625</v>
      </c>
      <c r="B949" s="7">
        <v>46232</v>
      </c>
      <c r="C949" s="7">
        <v>46335</v>
      </c>
      <c r="D949" t="s">
        <v>330</v>
      </c>
      <c r="E949" t="s">
        <v>111</v>
      </c>
      <c r="F949" t="s">
        <v>74</v>
      </c>
      <c r="G949" t="s">
        <v>63</v>
      </c>
      <c r="H949" t="s">
        <v>69</v>
      </c>
      <c r="I949" t="s">
        <v>65</v>
      </c>
      <c r="J949" t="s">
        <v>26</v>
      </c>
      <c r="K949" t="s">
        <v>88</v>
      </c>
      <c r="L949" t="s">
        <v>51</v>
      </c>
      <c r="M949" s="46">
        <v>206800</v>
      </c>
      <c r="N949">
        <v>2.3E-2</v>
      </c>
      <c r="O949">
        <v>0.4</v>
      </c>
      <c r="P949" t="s">
        <v>38</v>
      </c>
      <c r="R949">
        <v>103</v>
      </c>
      <c r="S949">
        <v>16832.490000000002</v>
      </c>
      <c r="T949">
        <f>Deals_[[#This Row],[Amount]]*Deals_[[#This Row],[Probability_Pct]]</f>
        <v>82720</v>
      </c>
    </row>
    <row r="950" spans="1:20" x14ac:dyDescent="0.2">
      <c r="A950" t="s">
        <v>1626</v>
      </c>
      <c r="B950" s="7">
        <v>46008</v>
      </c>
      <c r="C950" s="7">
        <v>46060</v>
      </c>
      <c r="D950" t="s">
        <v>236</v>
      </c>
      <c r="E950" t="s">
        <v>68</v>
      </c>
      <c r="F950" t="s">
        <v>74</v>
      </c>
      <c r="G950" t="s">
        <v>92</v>
      </c>
      <c r="H950" t="s">
        <v>83</v>
      </c>
      <c r="I950" t="s">
        <v>35</v>
      </c>
      <c r="J950" t="s">
        <v>43</v>
      </c>
      <c r="K950" t="s">
        <v>106</v>
      </c>
      <c r="L950" t="s">
        <v>44</v>
      </c>
      <c r="M950" s="46">
        <v>160000</v>
      </c>
      <c r="N950">
        <v>4.9000000000000002E-2</v>
      </c>
      <c r="O950">
        <v>0.15</v>
      </c>
      <c r="P950" t="s">
        <v>38</v>
      </c>
      <c r="R950">
        <v>52</v>
      </c>
      <c r="S950">
        <v>12675.09</v>
      </c>
      <c r="T950">
        <f>Deals_[[#This Row],[Amount]]*Deals_[[#This Row],[Probability_Pct]]</f>
        <v>24000</v>
      </c>
    </row>
    <row r="951" spans="1:20" x14ac:dyDescent="0.2">
      <c r="A951" t="s">
        <v>1627</v>
      </c>
      <c r="B951" s="7">
        <v>46115</v>
      </c>
      <c r="C951" s="7">
        <v>46181</v>
      </c>
      <c r="D951" t="s">
        <v>101</v>
      </c>
      <c r="E951" t="s">
        <v>21</v>
      </c>
      <c r="F951" t="s">
        <v>48</v>
      </c>
      <c r="G951" t="s">
        <v>63</v>
      </c>
      <c r="H951" t="s">
        <v>77</v>
      </c>
      <c r="I951" t="s">
        <v>42</v>
      </c>
      <c r="J951" t="s">
        <v>43</v>
      </c>
      <c r="K951" t="s">
        <v>106</v>
      </c>
      <c r="L951" t="s">
        <v>44</v>
      </c>
      <c r="M951" s="46">
        <v>14900</v>
      </c>
      <c r="N951">
        <v>4.4999999999999998E-2</v>
      </c>
      <c r="O951">
        <v>0.2</v>
      </c>
      <c r="P951" t="s">
        <v>38</v>
      </c>
      <c r="R951">
        <v>66</v>
      </c>
      <c r="S951">
        <v>1185.4000000000001</v>
      </c>
      <c r="T951">
        <f>Deals_[[#This Row],[Amount]]*Deals_[[#This Row],[Probability_Pct]]</f>
        <v>2980</v>
      </c>
    </row>
    <row r="952" spans="1:20" x14ac:dyDescent="0.2">
      <c r="A952" t="s">
        <v>1628</v>
      </c>
      <c r="B952" s="7">
        <v>46067</v>
      </c>
      <c r="C952" s="7">
        <v>46207</v>
      </c>
      <c r="D952" t="s">
        <v>1629</v>
      </c>
      <c r="E952" t="s">
        <v>54</v>
      </c>
      <c r="F952" t="s">
        <v>48</v>
      </c>
      <c r="G952" t="s">
        <v>63</v>
      </c>
      <c r="H952" t="s">
        <v>24</v>
      </c>
      <c r="I952" t="s">
        <v>84</v>
      </c>
      <c r="J952" t="s">
        <v>36</v>
      </c>
      <c r="K952" t="s">
        <v>37</v>
      </c>
      <c r="L952" t="s">
        <v>51</v>
      </c>
      <c r="M952" s="46">
        <v>17900</v>
      </c>
      <c r="N952">
        <v>2.9000000000000001E-2</v>
      </c>
      <c r="O952">
        <v>0.1</v>
      </c>
      <c r="P952" t="s">
        <v>38</v>
      </c>
      <c r="R952">
        <v>140</v>
      </c>
      <c r="S952">
        <v>1447.84</v>
      </c>
      <c r="T952">
        <f>Deals_[[#This Row],[Amount]]*Deals_[[#This Row],[Probability_Pct]]</f>
        <v>1790</v>
      </c>
    </row>
    <row r="953" spans="1:20" x14ac:dyDescent="0.2">
      <c r="A953" t="s">
        <v>1630</v>
      </c>
      <c r="B953" s="7">
        <v>46064</v>
      </c>
      <c r="C953" s="7">
        <v>46189</v>
      </c>
      <c r="D953" t="s">
        <v>870</v>
      </c>
      <c r="E953" t="s">
        <v>62</v>
      </c>
      <c r="F953" t="s">
        <v>48</v>
      </c>
      <c r="G953" t="s">
        <v>23</v>
      </c>
      <c r="H953" t="s">
        <v>98</v>
      </c>
      <c r="I953" t="s">
        <v>25</v>
      </c>
      <c r="J953" t="s">
        <v>36</v>
      </c>
      <c r="K953" t="s">
        <v>78</v>
      </c>
      <c r="L953" t="s">
        <v>51</v>
      </c>
      <c r="M953" s="46">
        <v>28200</v>
      </c>
      <c r="N953">
        <v>0.13500000000000001</v>
      </c>
      <c r="O953">
        <v>0.55000000000000004</v>
      </c>
      <c r="P953" t="s">
        <v>79</v>
      </c>
      <c r="R953">
        <v>125</v>
      </c>
      <c r="S953">
        <v>2033.15</v>
      </c>
      <c r="T953">
        <f>Deals_[[#This Row],[Amount]]*Deals_[[#This Row],[Probability_Pct]]</f>
        <v>15510.000000000002</v>
      </c>
    </row>
    <row r="954" spans="1:20" x14ac:dyDescent="0.2">
      <c r="A954" t="s">
        <v>1631</v>
      </c>
      <c r="B954" s="7">
        <v>46102</v>
      </c>
      <c r="C954" s="7">
        <v>46248</v>
      </c>
      <c r="D954" t="s">
        <v>103</v>
      </c>
      <c r="E954" t="s">
        <v>62</v>
      </c>
      <c r="F954" t="s">
        <v>22</v>
      </c>
      <c r="G954" t="s">
        <v>63</v>
      </c>
      <c r="H954" t="s">
        <v>41</v>
      </c>
      <c r="I954" t="s">
        <v>84</v>
      </c>
      <c r="J954" t="s">
        <v>57</v>
      </c>
      <c r="K954" t="s">
        <v>37</v>
      </c>
      <c r="L954" t="s">
        <v>51</v>
      </c>
      <c r="M954" s="46">
        <v>48300</v>
      </c>
      <c r="N954">
        <v>0.247</v>
      </c>
      <c r="O954">
        <v>0.05</v>
      </c>
      <c r="P954" t="s">
        <v>38</v>
      </c>
      <c r="R954">
        <v>146</v>
      </c>
      <c r="S954">
        <v>3029.08</v>
      </c>
      <c r="T954">
        <f>Deals_[[#This Row],[Amount]]*Deals_[[#This Row],[Probability_Pct]]</f>
        <v>2415</v>
      </c>
    </row>
    <row r="955" spans="1:20" x14ac:dyDescent="0.2">
      <c r="A955" t="s">
        <v>1632</v>
      </c>
      <c r="B955" s="7">
        <v>46069</v>
      </c>
      <c r="C955" s="7">
        <v>46209</v>
      </c>
      <c r="D955" t="s">
        <v>1633</v>
      </c>
      <c r="E955" t="s">
        <v>33</v>
      </c>
      <c r="F955" t="s">
        <v>48</v>
      </c>
      <c r="G955" t="s">
        <v>34</v>
      </c>
      <c r="H955" t="s">
        <v>24</v>
      </c>
      <c r="I955" t="s">
        <v>84</v>
      </c>
      <c r="J955" t="s">
        <v>85</v>
      </c>
      <c r="K955" t="s">
        <v>37</v>
      </c>
      <c r="L955" t="s">
        <v>51</v>
      </c>
      <c r="M955" s="46">
        <v>15500</v>
      </c>
      <c r="N955">
        <v>0.108</v>
      </c>
      <c r="O955">
        <v>0.15</v>
      </c>
      <c r="P955" t="s">
        <v>38</v>
      </c>
      <c r="R955">
        <v>140</v>
      </c>
      <c r="S955">
        <v>1151.58</v>
      </c>
      <c r="T955">
        <f>Deals_[[#This Row],[Amount]]*Deals_[[#This Row],[Probability_Pct]]</f>
        <v>2325</v>
      </c>
    </row>
    <row r="956" spans="1:20" x14ac:dyDescent="0.2">
      <c r="A956" t="s">
        <v>1634</v>
      </c>
      <c r="B956" s="7">
        <v>46163</v>
      </c>
      <c r="C956" s="7">
        <v>46264</v>
      </c>
      <c r="D956" t="s">
        <v>414</v>
      </c>
      <c r="E956" t="s">
        <v>82</v>
      </c>
      <c r="F956" t="s">
        <v>48</v>
      </c>
      <c r="G956" t="s">
        <v>55</v>
      </c>
      <c r="H956" t="s">
        <v>69</v>
      </c>
      <c r="I956" t="s">
        <v>99</v>
      </c>
      <c r="J956" t="s">
        <v>43</v>
      </c>
      <c r="K956" t="s">
        <v>50</v>
      </c>
      <c r="L956" t="s">
        <v>28</v>
      </c>
      <c r="M956" s="46">
        <v>13700</v>
      </c>
      <c r="N956">
        <v>0.17499999999999999</v>
      </c>
      <c r="O956">
        <v>0.95</v>
      </c>
      <c r="P956" t="s">
        <v>29</v>
      </c>
      <c r="R956">
        <v>101</v>
      </c>
      <c r="S956">
        <v>941.94</v>
      </c>
      <c r="T956">
        <f>Deals_[[#This Row],[Amount]]*Deals_[[#This Row],[Probability_Pct]]</f>
        <v>13015</v>
      </c>
    </row>
    <row r="957" spans="1:20" x14ac:dyDescent="0.2">
      <c r="A957" t="s">
        <v>1635</v>
      </c>
      <c r="B957" s="7">
        <v>46192</v>
      </c>
      <c r="C957" s="7">
        <v>46220</v>
      </c>
      <c r="D957" t="s">
        <v>963</v>
      </c>
      <c r="E957" t="s">
        <v>33</v>
      </c>
      <c r="F957" t="s">
        <v>22</v>
      </c>
      <c r="G957" t="s">
        <v>63</v>
      </c>
      <c r="H957" t="s">
        <v>49</v>
      </c>
      <c r="I957" t="s">
        <v>35</v>
      </c>
      <c r="J957" t="s">
        <v>43</v>
      </c>
      <c r="K957" t="s">
        <v>58</v>
      </c>
      <c r="L957" t="s">
        <v>44</v>
      </c>
      <c r="M957" s="46">
        <v>37300</v>
      </c>
      <c r="N957">
        <v>0.17199999999999999</v>
      </c>
      <c r="O957">
        <v>0.75</v>
      </c>
      <c r="P957" t="s">
        <v>59</v>
      </c>
      <c r="R957">
        <v>28</v>
      </c>
      <c r="S957">
        <v>2572.94</v>
      </c>
      <c r="T957">
        <f>Deals_[[#This Row],[Amount]]*Deals_[[#This Row],[Probability_Pct]]</f>
        <v>27975</v>
      </c>
    </row>
    <row r="958" spans="1:20" x14ac:dyDescent="0.2">
      <c r="A958" t="s">
        <v>1636</v>
      </c>
      <c r="B958" s="7">
        <v>46260</v>
      </c>
      <c r="C958" s="7">
        <v>46329</v>
      </c>
      <c r="D958" t="s">
        <v>67</v>
      </c>
      <c r="E958" t="s">
        <v>82</v>
      </c>
      <c r="F958" t="s">
        <v>22</v>
      </c>
      <c r="G958" t="s">
        <v>34</v>
      </c>
      <c r="H958" t="s">
        <v>64</v>
      </c>
      <c r="I958" t="s">
        <v>99</v>
      </c>
      <c r="J958" t="s">
        <v>36</v>
      </c>
      <c r="K958" t="s">
        <v>58</v>
      </c>
      <c r="L958" t="s">
        <v>51</v>
      </c>
      <c r="M958" s="46">
        <v>26800</v>
      </c>
      <c r="N958">
        <v>6.7000000000000004E-2</v>
      </c>
      <c r="O958">
        <v>0.8</v>
      </c>
      <c r="P958" t="s">
        <v>59</v>
      </c>
      <c r="R958">
        <v>69</v>
      </c>
      <c r="S958">
        <v>2083.4299999999998</v>
      </c>
      <c r="T958">
        <f>Deals_[[#This Row],[Amount]]*Deals_[[#This Row],[Probability_Pct]]</f>
        <v>21440</v>
      </c>
    </row>
    <row r="959" spans="1:20" x14ac:dyDescent="0.2">
      <c r="A959" t="s">
        <v>1637</v>
      </c>
      <c r="B959" s="7">
        <v>46206</v>
      </c>
      <c r="C959" s="7">
        <v>46300</v>
      </c>
      <c r="D959" t="s">
        <v>463</v>
      </c>
      <c r="E959" t="s">
        <v>111</v>
      </c>
      <c r="F959" t="s">
        <v>48</v>
      </c>
      <c r="G959" t="s">
        <v>34</v>
      </c>
      <c r="H959" t="s">
        <v>64</v>
      </c>
      <c r="I959" t="s">
        <v>35</v>
      </c>
      <c r="J959" t="s">
        <v>36</v>
      </c>
      <c r="K959" t="s">
        <v>78</v>
      </c>
      <c r="L959" t="s">
        <v>44</v>
      </c>
      <c r="M959" s="46">
        <v>22800</v>
      </c>
      <c r="N959">
        <v>0.122</v>
      </c>
      <c r="O959">
        <v>0.55000000000000004</v>
      </c>
      <c r="P959" t="s">
        <v>79</v>
      </c>
      <c r="R959">
        <v>94</v>
      </c>
      <c r="S959">
        <v>1668.74</v>
      </c>
      <c r="T959">
        <f>Deals_[[#This Row],[Amount]]*Deals_[[#This Row],[Probability_Pct]]</f>
        <v>12540.000000000002</v>
      </c>
    </row>
    <row r="960" spans="1:20" x14ac:dyDescent="0.2">
      <c r="A960" t="s">
        <v>1638</v>
      </c>
      <c r="B960" s="7">
        <v>46042</v>
      </c>
      <c r="C960" s="7">
        <v>46205</v>
      </c>
      <c r="D960" t="s">
        <v>427</v>
      </c>
      <c r="E960" t="s">
        <v>33</v>
      </c>
      <c r="F960" t="s">
        <v>22</v>
      </c>
      <c r="G960" t="s">
        <v>23</v>
      </c>
      <c r="H960" t="s">
        <v>95</v>
      </c>
      <c r="I960" t="s">
        <v>65</v>
      </c>
      <c r="J960" t="s">
        <v>85</v>
      </c>
      <c r="K960" t="s">
        <v>27</v>
      </c>
      <c r="L960" t="s">
        <v>28</v>
      </c>
      <c r="M960" s="46">
        <v>91000</v>
      </c>
      <c r="N960">
        <v>0.16400000000000001</v>
      </c>
      <c r="O960">
        <v>0</v>
      </c>
      <c r="P960" t="s">
        <v>29</v>
      </c>
      <c r="Q960" t="s">
        <v>45</v>
      </c>
      <c r="R960">
        <v>163</v>
      </c>
      <c r="S960">
        <v>6338.16</v>
      </c>
      <c r="T960">
        <f>Deals_[[#This Row],[Amount]]*Deals_[[#This Row],[Probability_Pct]]</f>
        <v>0</v>
      </c>
    </row>
    <row r="961" spans="1:20" x14ac:dyDescent="0.2">
      <c r="A961" t="s">
        <v>1639</v>
      </c>
      <c r="B961" s="7">
        <v>46010</v>
      </c>
      <c r="C961" s="7">
        <v>46101</v>
      </c>
      <c r="D961" t="s">
        <v>868</v>
      </c>
      <c r="E961" t="s">
        <v>68</v>
      </c>
      <c r="F961" t="s">
        <v>48</v>
      </c>
      <c r="G961" t="s">
        <v>55</v>
      </c>
      <c r="H961" t="s">
        <v>41</v>
      </c>
      <c r="I961" t="s">
        <v>42</v>
      </c>
      <c r="J961" t="s">
        <v>57</v>
      </c>
      <c r="K961" t="s">
        <v>50</v>
      </c>
      <c r="L961" t="s">
        <v>44</v>
      </c>
      <c r="M961" s="46">
        <v>25700</v>
      </c>
      <c r="N961">
        <v>9.8000000000000004E-2</v>
      </c>
      <c r="O961">
        <v>0.95</v>
      </c>
      <c r="P961" t="s">
        <v>29</v>
      </c>
      <c r="R961">
        <v>91</v>
      </c>
      <c r="S961">
        <v>1931.75</v>
      </c>
      <c r="T961">
        <f>Deals_[[#This Row],[Amount]]*Deals_[[#This Row],[Probability_Pct]]</f>
        <v>24415</v>
      </c>
    </row>
    <row r="962" spans="1:20" x14ac:dyDescent="0.2">
      <c r="A962" t="s">
        <v>1640</v>
      </c>
      <c r="B962" s="7">
        <v>46095</v>
      </c>
      <c r="C962" s="7">
        <v>46233</v>
      </c>
      <c r="D962" t="s">
        <v>1347</v>
      </c>
      <c r="E962" t="s">
        <v>68</v>
      </c>
      <c r="F962" t="s">
        <v>22</v>
      </c>
      <c r="G962" t="s">
        <v>34</v>
      </c>
      <c r="H962" t="s">
        <v>98</v>
      </c>
      <c r="I962" t="s">
        <v>84</v>
      </c>
      <c r="J962" t="s">
        <v>36</v>
      </c>
      <c r="K962" t="s">
        <v>37</v>
      </c>
      <c r="L962" t="s">
        <v>51</v>
      </c>
      <c r="M962" s="46">
        <v>34500</v>
      </c>
      <c r="N962">
        <v>0</v>
      </c>
      <c r="O962">
        <v>0.1</v>
      </c>
      <c r="P962" t="s">
        <v>38</v>
      </c>
      <c r="R962">
        <v>138</v>
      </c>
      <c r="S962">
        <v>2875</v>
      </c>
      <c r="T962">
        <f>Deals_[[#This Row],[Amount]]*Deals_[[#This Row],[Probability_Pct]]</f>
        <v>3450</v>
      </c>
    </row>
    <row r="963" spans="1:20" x14ac:dyDescent="0.2">
      <c r="A963" t="s">
        <v>1641</v>
      </c>
      <c r="B963" s="7">
        <v>46261</v>
      </c>
      <c r="C963" s="7">
        <v>46313</v>
      </c>
      <c r="D963" t="s">
        <v>1315</v>
      </c>
      <c r="E963" t="s">
        <v>68</v>
      </c>
      <c r="F963" t="s">
        <v>48</v>
      </c>
      <c r="G963" t="s">
        <v>63</v>
      </c>
      <c r="H963" t="s">
        <v>98</v>
      </c>
      <c r="I963" t="s">
        <v>25</v>
      </c>
      <c r="J963" t="s">
        <v>26</v>
      </c>
      <c r="K963" t="s">
        <v>106</v>
      </c>
      <c r="L963" t="s">
        <v>28</v>
      </c>
      <c r="M963" s="46">
        <v>15400</v>
      </c>
      <c r="N963">
        <v>0.109</v>
      </c>
      <c r="O963">
        <v>0.2</v>
      </c>
      <c r="P963" t="s">
        <v>38</v>
      </c>
      <c r="R963">
        <v>52</v>
      </c>
      <c r="S963">
        <v>1143.93</v>
      </c>
      <c r="T963">
        <f>Deals_[[#This Row],[Amount]]*Deals_[[#This Row],[Probability_Pct]]</f>
        <v>3080</v>
      </c>
    </row>
    <row r="964" spans="1:20" x14ac:dyDescent="0.2">
      <c r="A964" t="s">
        <v>1642</v>
      </c>
      <c r="B964" s="7">
        <v>46183</v>
      </c>
      <c r="C964" s="7">
        <v>46225</v>
      </c>
      <c r="D964" t="s">
        <v>1581</v>
      </c>
      <c r="E964" t="s">
        <v>21</v>
      </c>
      <c r="F964" t="s">
        <v>22</v>
      </c>
      <c r="G964" t="s">
        <v>34</v>
      </c>
      <c r="H964" t="s">
        <v>64</v>
      </c>
      <c r="I964" t="s">
        <v>35</v>
      </c>
      <c r="J964" t="s">
        <v>26</v>
      </c>
      <c r="K964" t="s">
        <v>106</v>
      </c>
      <c r="L964" t="s">
        <v>28</v>
      </c>
      <c r="M964" s="46">
        <v>71500</v>
      </c>
      <c r="N964">
        <v>2.4E-2</v>
      </c>
      <c r="O964">
        <v>0.2</v>
      </c>
      <c r="P964" t="s">
        <v>38</v>
      </c>
      <c r="R964">
        <v>42</v>
      </c>
      <c r="S964">
        <v>5814.76</v>
      </c>
      <c r="T964">
        <f>Deals_[[#This Row],[Amount]]*Deals_[[#This Row],[Probability_Pct]]</f>
        <v>14300</v>
      </c>
    </row>
    <row r="965" spans="1:20" x14ac:dyDescent="0.2">
      <c r="A965" t="s">
        <v>1643</v>
      </c>
      <c r="B965" s="7">
        <v>45945</v>
      </c>
      <c r="C965" s="7">
        <v>46070</v>
      </c>
      <c r="D965" t="s">
        <v>1476</v>
      </c>
      <c r="E965" t="s">
        <v>68</v>
      </c>
      <c r="F965" t="s">
        <v>74</v>
      </c>
      <c r="G965" t="s">
        <v>23</v>
      </c>
      <c r="H965" t="s">
        <v>64</v>
      </c>
      <c r="I965" t="s">
        <v>99</v>
      </c>
      <c r="J965" t="s">
        <v>43</v>
      </c>
      <c r="K965" t="s">
        <v>50</v>
      </c>
      <c r="L965" t="s">
        <v>51</v>
      </c>
      <c r="M965" s="46">
        <v>159900</v>
      </c>
      <c r="N965">
        <v>0.221</v>
      </c>
      <c r="O965">
        <v>1</v>
      </c>
      <c r="P965" t="s">
        <v>29</v>
      </c>
      <c r="R965">
        <v>125</v>
      </c>
      <c r="S965">
        <v>10378.93</v>
      </c>
      <c r="T965">
        <f>Deals_[[#This Row],[Amount]]*Deals_[[#This Row],[Probability_Pct]]</f>
        <v>159900</v>
      </c>
    </row>
    <row r="966" spans="1:20" x14ac:dyDescent="0.2">
      <c r="A966" t="s">
        <v>1644</v>
      </c>
      <c r="B966" s="7">
        <v>46221</v>
      </c>
      <c r="C966" s="7">
        <v>46302</v>
      </c>
      <c r="D966" t="s">
        <v>800</v>
      </c>
      <c r="E966" t="s">
        <v>33</v>
      </c>
      <c r="F966" t="s">
        <v>48</v>
      </c>
      <c r="G966" t="s">
        <v>63</v>
      </c>
      <c r="H966" t="s">
        <v>95</v>
      </c>
      <c r="I966" t="s">
        <v>65</v>
      </c>
      <c r="J966" t="s">
        <v>43</v>
      </c>
      <c r="K966" t="s">
        <v>88</v>
      </c>
      <c r="L966" t="s">
        <v>28</v>
      </c>
      <c r="M966" s="46">
        <v>9600</v>
      </c>
      <c r="N966">
        <v>0.16300000000000001</v>
      </c>
      <c r="O966">
        <v>0.35</v>
      </c>
      <c r="P966" t="s">
        <v>38</v>
      </c>
      <c r="R966">
        <v>81</v>
      </c>
      <c r="S966">
        <v>669.63</v>
      </c>
      <c r="T966">
        <f>Deals_[[#This Row],[Amount]]*Deals_[[#This Row],[Probability_Pct]]</f>
        <v>3360</v>
      </c>
    </row>
    <row r="967" spans="1:20" x14ac:dyDescent="0.2">
      <c r="A967" t="s">
        <v>1645</v>
      </c>
      <c r="B967" s="7">
        <v>46115</v>
      </c>
      <c r="C967" s="7">
        <v>46152</v>
      </c>
      <c r="D967" t="s">
        <v>1646</v>
      </c>
      <c r="E967" t="s">
        <v>111</v>
      </c>
      <c r="F967" t="s">
        <v>22</v>
      </c>
      <c r="G967" t="s">
        <v>23</v>
      </c>
      <c r="H967" t="s">
        <v>120</v>
      </c>
      <c r="I967" t="s">
        <v>99</v>
      </c>
      <c r="J967" t="s">
        <v>36</v>
      </c>
      <c r="K967" t="s">
        <v>50</v>
      </c>
      <c r="L967" t="s">
        <v>28</v>
      </c>
      <c r="M967" s="46">
        <v>87600</v>
      </c>
      <c r="N967">
        <v>0.221</v>
      </c>
      <c r="O967">
        <v>1</v>
      </c>
      <c r="P967" t="s">
        <v>29</v>
      </c>
      <c r="R967">
        <v>37</v>
      </c>
      <c r="S967">
        <v>5690.29</v>
      </c>
      <c r="T967">
        <f>Deals_[[#This Row],[Amount]]*Deals_[[#This Row],[Probability_Pct]]</f>
        <v>87600</v>
      </c>
    </row>
    <row r="968" spans="1:20" x14ac:dyDescent="0.2">
      <c r="A968" t="s">
        <v>1647</v>
      </c>
      <c r="B968" s="7">
        <v>46274</v>
      </c>
      <c r="C968" s="7">
        <v>46308</v>
      </c>
      <c r="D968" t="s">
        <v>764</v>
      </c>
      <c r="E968" t="s">
        <v>21</v>
      </c>
      <c r="F968" t="s">
        <v>74</v>
      </c>
      <c r="G968" t="s">
        <v>63</v>
      </c>
      <c r="H968" t="s">
        <v>120</v>
      </c>
      <c r="I968" t="s">
        <v>42</v>
      </c>
      <c r="J968" t="s">
        <v>57</v>
      </c>
      <c r="K968" t="s">
        <v>78</v>
      </c>
      <c r="L968" t="s">
        <v>51</v>
      </c>
      <c r="M968" s="46">
        <v>180200</v>
      </c>
      <c r="N968">
        <v>7.9000000000000001E-2</v>
      </c>
      <c r="O968">
        <v>0.55000000000000004</v>
      </c>
      <c r="P968" t="s">
        <v>79</v>
      </c>
      <c r="R968">
        <v>34</v>
      </c>
      <c r="S968">
        <v>13830.12</v>
      </c>
      <c r="T968">
        <f>Deals_[[#This Row],[Amount]]*Deals_[[#This Row],[Probability_Pct]]</f>
        <v>99110.000000000015</v>
      </c>
    </row>
    <row r="969" spans="1:20" x14ac:dyDescent="0.2">
      <c r="A969" t="s">
        <v>1648</v>
      </c>
      <c r="B969" s="7">
        <v>46225</v>
      </c>
      <c r="C969" s="7">
        <v>46322</v>
      </c>
      <c r="D969" t="s">
        <v>1649</v>
      </c>
      <c r="E969" t="s">
        <v>111</v>
      </c>
      <c r="F969" t="s">
        <v>48</v>
      </c>
      <c r="G969" t="s">
        <v>23</v>
      </c>
      <c r="H969" t="s">
        <v>120</v>
      </c>
      <c r="I969" t="s">
        <v>42</v>
      </c>
      <c r="J969" t="s">
        <v>26</v>
      </c>
      <c r="K969" t="s">
        <v>78</v>
      </c>
      <c r="L969" t="s">
        <v>51</v>
      </c>
      <c r="M969" s="46">
        <v>9400</v>
      </c>
      <c r="N969">
        <v>0.09</v>
      </c>
      <c r="O969">
        <v>0.5</v>
      </c>
      <c r="P969" t="s">
        <v>79</v>
      </c>
      <c r="R969">
        <v>97</v>
      </c>
      <c r="S969">
        <v>712.71</v>
      </c>
      <c r="T969">
        <f>Deals_[[#This Row],[Amount]]*Deals_[[#This Row],[Probability_Pct]]</f>
        <v>4700</v>
      </c>
    </row>
    <row r="970" spans="1:20" x14ac:dyDescent="0.2">
      <c r="A970" t="s">
        <v>1650</v>
      </c>
      <c r="B970" s="7">
        <v>46116</v>
      </c>
      <c r="C970" s="7">
        <v>46240</v>
      </c>
      <c r="D970" t="s">
        <v>498</v>
      </c>
      <c r="E970" t="s">
        <v>33</v>
      </c>
      <c r="F970" t="s">
        <v>48</v>
      </c>
      <c r="G970" t="s">
        <v>92</v>
      </c>
      <c r="H970" t="s">
        <v>69</v>
      </c>
      <c r="I970" t="s">
        <v>65</v>
      </c>
      <c r="J970" t="s">
        <v>57</v>
      </c>
      <c r="K970" t="s">
        <v>37</v>
      </c>
      <c r="L970" t="s">
        <v>28</v>
      </c>
      <c r="M970" s="46">
        <v>24000</v>
      </c>
      <c r="N970">
        <v>0</v>
      </c>
      <c r="O970">
        <v>0.1</v>
      </c>
      <c r="P970" t="s">
        <v>38</v>
      </c>
      <c r="R970">
        <v>124</v>
      </c>
      <c r="S970">
        <v>2000</v>
      </c>
      <c r="T970">
        <f>Deals_[[#This Row],[Amount]]*Deals_[[#This Row],[Probability_Pct]]</f>
        <v>2400</v>
      </c>
    </row>
    <row r="971" spans="1:20" x14ac:dyDescent="0.2">
      <c r="A971" t="s">
        <v>1651</v>
      </c>
      <c r="B971" s="7">
        <v>46066</v>
      </c>
      <c r="C971" s="7">
        <v>46134</v>
      </c>
      <c r="D971" t="s">
        <v>1109</v>
      </c>
      <c r="E971" t="s">
        <v>62</v>
      </c>
      <c r="F971" t="s">
        <v>74</v>
      </c>
      <c r="G971" t="s">
        <v>63</v>
      </c>
      <c r="H971" t="s">
        <v>64</v>
      </c>
      <c r="I971" t="s">
        <v>35</v>
      </c>
      <c r="J971" t="s">
        <v>57</v>
      </c>
      <c r="K971" t="s">
        <v>88</v>
      </c>
      <c r="L971" t="s">
        <v>51</v>
      </c>
      <c r="M971" s="46">
        <v>210500</v>
      </c>
      <c r="N971">
        <v>0.14099999999999999</v>
      </c>
      <c r="O971">
        <v>0.35</v>
      </c>
      <c r="P971" t="s">
        <v>38</v>
      </c>
      <c r="R971">
        <v>68</v>
      </c>
      <c r="S971">
        <v>15077.02</v>
      </c>
      <c r="T971">
        <f>Deals_[[#This Row],[Amount]]*Deals_[[#This Row],[Probability_Pct]]</f>
        <v>73675</v>
      </c>
    </row>
    <row r="972" spans="1:20" x14ac:dyDescent="0.2">
      <c r="A972" t="s">
        <v>1652</v>
      </c>
      <c r="B972" s="7">
        <v>45934</v>
      </c>
      <c r="C972" s="7">
        <v>46048</v>
      </c>
      <c r="D972" t="s">
        <v>612</v>
      </c>
      <c r="E972" t="s">
        <v>33</v>
      </c>
      <c r="F972" t="s">
        <v>22</v>
      </c>
      <c r="G972" t="s">
        <v>55</v>
      </c>
      <c r="H972" t="s">
        <v>137</v>
      </c>
      <c r="I972" t="s">
        <v>99</v>
      </c>
      <c r="J972" t="s">
        <v>57</v>
      </c>
      <c r="K972" t="s">
        <v>88</v>
      </c>
      <c r="L972" t="s">
        <v>51</v>
      </c>
      <c r="M972" s="46">
        <v>86800</v>
      </c>
      <c r="N972">
        <v>0</v>
      </c>
      <c r="O972">
        <v>0.35</v>
      </c>
      <c r="P972" t="s">
        <v>38</v>
      </c>
      <c r="R972">
        <v>114</v>
      </c>
      <c r="S972">
        <v>7233.33</v>
      </c>
      <c r="T972">
        <f>Deals_[[#This Row],[Amount]]*Deals_[[#This Row],[Probability_Pct]]</f>
        <v>30379.999999999996</v>
      </c>
    </row>
    <row r="973" spans="1:20" x14ac:dyDescent="0.2">
      <c r="A973" t="s">
        <v>1653</v>
      </c>
      <c r="B973" s="7">
        <v>46255</v>
      </c>
      <c r="C973" s="7">
        <v>46280</v>
      </c>
      <c r="D973" t="s">
        <v>1510</v>
      </c>
      <c r="E973" t="s">
        <v>54</v>
      </c>
      <c r="F973" t="s">
        <v>48</v>
      </c>
      <c r="G973" t="s">
        <v>55</v>
      </c>
      <c r="H973" t="s">
        <v>64</v>
      </c>
      <c r="I973" t="s">
        <v>84</v>
      </c>
      <c r="J973" t="s">
        <v>85</v>
      </c>
      <c r="K973" t="s">
        <v>37</v>
      </c>
      <c r="L973" t="s">
        <v>44</v>
      </c>
      <c r="M973" s="46">
        <v>19800</v>
      </c>
      <c r="N973">
        <v>0.10199999999999999</v>
      </c>
      <c r="O973">
        <v>0.1</v>
      </c>
      <c r="P973" t="s">
        <v>38</v>
      </c>
      <c r="R973">
        <v>25</v>
      </c>
      <c r="S973">
        <v>1482.24</v>
      </c>
      <c r="T973">
        <f>Deals_[[#This Row],[Amount]]*Deals_[[#This Row],[Probability_Pct]]</f>
        <v>1980</v>
      </c>
    </row>
    <row r="974" spans="1:20" x14ac:dyDescent="0.2">
      <c r="A974" t="s">
        <v>1654</v>
      </c>
      <c r="B974" s="7">
        <v>45950</v>
      </c>
      <c r="C974" s="7">
        <v>45991</v>
      </c>
      <c r="D974" t="s">
        <v>1112</v>
      </c>
      <c r="E974" t="s">
        <v>33</v>
      </c>
      <c r="F974" t="s">
        <v>22</v>
      </c>
      <c r="G974" t="s">
        <v>63</v>
      </c>
      <c r="H974" t="s">
        <v>41</v>
      </c>
      <c r="I974" t="s">
        <v>35</v>
      </c>
      <c r="J974" t="s">
        <v>43</v>
      </c>
      <c r="K974" t="s">
        <v>78</v>
      </c>
      <c r="L974" t="s">
        <v>51</v>
      </c>
      <c r="M974" s="46">
        <v>89200</v>
      </c>
      <c r="N974">
        <v>4.2000000000000003E-2</v>
      </c>
      <c r="O974">
        <v>0.6</v>
      </c>
      <c r="P974" t="s">
        <v>79</v>
      </c>
      <c r="R974">
        <v>41</v>
      </c>
      <c r="S974">
        <v>7120.28</v>
      </c>
      <c r="T974">
        <f>Deals_[[#This Row],[Amount]]*Deals_[[#This Row],[Probability_Pct]]</f>
        <v>53520</v>
      </c>
    </row>
    <row r="975" spans="1:20" x14ac:dyDescent="0.2">
      <c r="A975" t="s">
        <v>1655</v>
      </c>
      <c r="B975" s="7">
        <v>46225</v>
      </c>
      <c r="C975" s="7">
        <v>46259</v>
      </c>
      <c r="D975" t="s">
        <v>1656</v>
      </c>
      <c r="E975" t="s">
        <v>21</v>
      </c>
      <c r="F975" t="s">
        <v>48</v>
      </c>
      <c r="G975" t="s">
        <v>23</v>
      </c>
      <c r="H975" t="s">
        <v>24</v>
      </c>
      <c r="I975" t="s">
        <v>65</v>
      </c>
      <c r="J975" t="s">
        <v>26</v>
      </c>
      <c r="K975" t="s">
        <v>106</v>
      </c>
      <c r="L975" t="s">
        <v>28</v>
      </c>
      <c r="M975" s="46">
        <v>14600</v>
      </c>
      <c r="N975">
        <v>0.19600000000000001</v>
      </c>
      <c r="O975">
        <v>0.2</v>
      </c>
      <c r="P975" t="s">
        <v>38</v>
      </c>
      <c r="R975">
        <v>34</v>
      </c>
      <c r="S975">
        <v>978.39</v>
      </c>
      <c r="T975">
        <f>Deals_[[#This Row],[Amount]]*Deals_[[#This Row],[Probability_Pct]]</f>
        <v>2920</v>
      </c>
    </row>
    <row r="976" spans="1:20" x14ac:dyDescent="0.2">
      <c r="A976" t="s">
        <v>1657</v>
      </c>
      <c r="B976" s="7">
        <v>46124</v>
      </c>
      <c r="C976" s="7">
        <v>46269</v>
      </c>
      <c r="D976" t="s">
        <v>1658</v>
      </c>
      <c r="E976" t="s">
        <v>68</v>
      </c>
      <c r="F976" t="s">
        <v>22</v>
      </c>
      <c r="G976" t="s">
        <v>23</v>
      </c>
      <c r="H976" t="s">
        <v>83</v>
      </c>
      <c r="I976" t="s">
        <v>99</v>
      </c>
      <c r="J976" t="s">
        <v>26</v>
      </c>
      <c r="K976" t="s">
        <v>58</v>
      </c>
      <c r="L976" t="s">
        <v>44</v>
      </c>
      <c r="M976" s="46">
        <v>48700</v>
      </c>
      <c r="N976">
        <v>0.161</v>
      </c>
      <c r="O976">
        <v>0.75</v>
      </c>
      <c r="P976" t="s">
        <v>59</v>
      </c>
      <c r="R976">
        <v>145</v>
      </c>
      <c r="S976">
        <v>3404.45</v>
      </c>
      <c r="T976">
        <f>Deals_[[#This Row],[Amount]]*Deals_[[#This Row],[Probability_Pct]]</f>
        <v>36525</v>
      </c>
    </row>
    <row r="977" spans="1:20" x14ac:dyDescent="0.2">
      <c r="A977" t="s">
        <v>1659</v>
      </c>
      <c r="B977" s="7">
        <v>46239</v>
      </c>
      <c r="C977" s="7">
        <v>46262</v>
      </c>
      <c r="D977" t="s">
        <v>581</v>
      </c>
      <c r="E977" t="s">
        <v>21</v>
      </c>
      <c r="F977" t="s">
        <v>48</v>
      </c>
      <c r="G977" t="s">
        <v>23</v>
      </c>
      <c r="H977" t="s">
        <v>64</v>
      </c>
      <c r="I977" t="s">
        <v>42</v>
      </c>
      <c r="J977" t="s">
        <v>36</v>
      </c>
      <c r="K977" t="s">
        <v>50</v>
      </c>
      <c r="L977" t="s">
        <v>44</v>
      </c>
      <c r="M977" s="46">
        <v>27200</v>
      </c>
      <c r="N977">
        <v>0.152</v>
      </c>
      <c r="O977">
        <v>1</v>
      </c>
      <c r="P977" t="s">
        <v>29</v>
      </c>
      <c r="R977">
        <v>23</v>
      </c>
      <c r="S977">
        <v>1922.69</v>
      </c>
      <c r="T977">
        <f>Deals_[[#This Row],[Amount]]*Deals_[[#This Row],[Probability_Pct]]</f>
        <v>27200</v>
      </c>
    </row>
    <row r="978" spans="1:20" x14ac:dyDescent="0.2">
      <c r="A978" t="s">
        <v>1660</v>
      </c>
      <c r="B978" s="7">
        <v>46040</v>
      </c>
      <c r="C978" s="7">
        <v>46155</v>
      </c>
      <c r="D978" t="s">
        <v>435</v>
      </c>
      <c r="E978" t="s">
        <v>62</v>
      </c>
      <c r="F978" t="s">
        <v>48</v>
      </c>
      <c r="G978" t="s">
        <v>23</v>
      </c>
      <c r="H978" t="s">
        <v>120</v>
      </c>
      <c r="I978" t="s">
        <v>42</v>
      </c>
      <c r="J978" t="s">
        <v>36</v>
      </c>
      <c r="K978" t="s">
        <v>37</v>
      </c>
      <c r="L978" t="s">
        <v>28</v>
      </c>
      <c r="M978" s="46">
        <v>16100</v>
      </c>
      <c r="N978">
        <v>0.125</v>
      </c>
      <c r="O978">
        <v>0.1</v>
      </c>
      <c r="P978" t="s">
        <v>38</v>
      </c>
      <c r="R978">
        <v>115</v>
      </c>
      <c r="S978">
        <v>1173.48</v>
      </c>
      <c r="T978">
        <f>Deals_[[#This Row],[Amount]]*Deals_[[#This Row],[Probability_Pct]]</f>
        <v>1610</v>
      </c>
    </row>
    <row r="979" spans="1:20" x14ac:dyDescent="0.2">
      <c r="A979" t="s">
        <v>1661</v>
      </c>
      <c r="B979" s="7">
        <v>46223</v>
      </c>
      <c r="C979" s="7">
        <v>46253</v>
      </c>
      <c r="D979" t="s">
        <v>1629</v>
      </c>
      <c r="E979" t="s">
        <v>111</v>
      </c>
      <c r="F979" t="s">
        <v>74</v>
      </c>
      <c r="G979" t="s">
        <v>55</v>
      </c>
      <c r="H979" t="s">
        <v>83</v>
      </c>
      <c r="I979" t="s">
        <v>99</v>
      </c>
      <c r="J979" t="s">
        <v>85</v>
      </c>
      <c r="K979" t="s">
        <v>106</v>
      </c>
      <c r="L979" t="s">
        <v>44</v>
      </c>
      <c r="M979" s="46">
        <v>127500</v>
      </c>
      <c r="N979">
        <v>8.5000000000000006E-2</v>
      </c>
      <c r="O979">
        <v>0.2</v>
      </c>
      <c r="P979" t="s">
        <v>38</v>
      </c>
      <c r="R979">
        <v>30</v>
      </c>
      <c r="S979">
        <v>9721.14</v>
      </c>
      <c r="T979">
        <f>Deals_[[#This Row],[Amount]]*Deals_[[#This Row],[Probability_Pct]]</f>
        <v>25500</v>
      </c>
    </row>
    <row r="980" spans="1:20" x14ac:dyDescent="0.2">
      <c r="A980" t="s">
        <v>1662</v>
      </c>
      <c r="B980" s="7">
        <v>46234</v>
      </c>
      <c r="C980" s="7">
        <v>46304</v>
      </c>
      <c r="D980" t="s">
        <v>128</v>
      </c>
      <c r="E980" t="s">
        <v>111</v>
      </c>
      <c r="F980" t="s">
        <v>22</v>
      </c>
      <c r="G980" t="s">
        <v>34</v>
      </c>
      <c r="H980" t="s">
        <v>98</v>
      </c>
      <c r="I980" t="s">
        <v>25</v>
      </c>
      <c r="J980" t="s">
        <v>85</v>
      </c>
      <c r="K980" t="s">
        <v>88</v>
      </c>
      <c r="L980" t="s">
        <v>51</v>
      </c>
      <c r="M980" s="46">
        <v>81900</v>
      </c>
      <c r="N980">
        <v>0.192</v>
      </c>
      <c r="O980">
        <v>0.35</v>
      </c>
      <c r="P980" t="s">
        <v>38</v>
      </c>
      <c r="R980">
        <v>70</v>
      </c>
      <c r="S980">
        <v>5515.44</v>
      </c>
      <c r="T980">
        <f>Deals_[[#This Row],[Amount]]*Deals_[[#This Row],[Probability_Pct]]</f>
        <v>28665</v>
      </c>
    </row>
    <row r="981" spans="1:20" x14ac:dyDescent="0.2">
      <c r="A981" t="s">
        <v>1663</v>
      </c>
      <c r="B981" s="7">
        <v>46219</v>
      </c>
      <c r="C981" s="7">
        <v>46277</v>
      </c>
      <c r="D981" t="s">
        <v>377</v>
      </c>
      <c r="E981" t="s">
        <v>68</v>
      </c>
      <c r="F981" t="s">
        <v>22</v>
      </c>
      <c r="G981" t="s">
        <v>23</v>
      </c>
      <c r="H981" t="s">
        <v>56</v>
      </c>
      <c r="I981" t="s">
        <v>99</v>
      </c>
      <c r="J981" t="s">
        <v>85</v>
      </c>
      <c r="K981" t="s">
        <v>27</v>
      </c>
      <c r="L981" t="s">
        <v>28</v>
      </c>
      <c r="M981" s="46">
        <v>93600</v>
      </c>
      <c r="N981">
        <v>3.5999999999999997E-2</v>
      </c>
      <c r="O981">
        <v>0</v>
      </c>
      <c r="P981" t="s">
        <v>29</v>
      </c>
      <c r="Q981" t="s">
        <v>209</v>
      </c>
      <c r="R981">
        <v>58</v>
      </c>
      <c r="S981">
        <v>7515.64</v>
      </c>
      <c r="T981">
        <f>Deals_[[#This Row],[Amount]]*Deals_[[#This Row],[Probability_Pct]]</f>
        <v>0</v>
      </c>
    </row>
    <row r="982" spans="1:20" x14ac:dyDescent="0.2">
      <c r="A982" t="s">
        <v>1664</v>
      </c>
      <c r="B982" s="7">
        <v>46020</v>
      </c>
      <c r="C982" s="7">
        <v>46038</v>
      </c>
      <c r="D982" t="s">
        <v>122</v>
      </c>
      <c r="E982" t="s">
        <v>91</v>
      </c>
      <c r="F982" t="s">
        <v>22</v>
      </c>
      <c r="G982" t="s">
        <v>63</v>
      </c>
      <c r="H982" t="s">
        <v>120</v>
      </c>
      <c r="I982" t="s">
        <v>65</v>
      </c>
      <c r="J982" t="s">
        <v>26</v>
      </c>
      <c r="K982" t="s">
        <v>50</v>
      </c>
      <c r="L982" t="s">
        <v>51</v>
      </c>
      <c r="M982" s="46">
        <v>64700</v>
      </c>
      <c r="N982">
        <v>0.17</v>
      </c>
      <c r="O982">
        <v>1</v>
      </c>
      <c r="P982" t="s">
        <v>29</v>
      </c>
      <c r="R982">
        <v>18</v>
      </c>
      <c r="S982">
        <v>4474.16</v>
      </c>
      <c r="T982">
        <f>Deals_[[#This Row],[Amount]]*Deals_[[#This Row],[Probability_Pct]]</f>
        <v>64700</v>
      </c>
    </row>
    <row r="983" spans="1:20" x14ac:dyDescent="0.2">
      <c r="A983" t="s">
        <v>1665</v>
      </c>
      <c r="B983" s="7">
        <v>45956</v>
      </c>
      <c r="C983" s="7">
        <v>45979</v>
      </c>
      <c r="D983" t="s">
        <v>1666</v>
      </c>
      <c r="E983" t="s">
        <v>91</v>
      </c>
      <c r="F983" t="s">
        <v>74</v>
      </c>
      <c r="G983" t="s">
        <v>34</v>
      </c>
      <c r="H983" t="s">
        <v>77</v>
      </c>
      <c r="I983" t="s">
        <v>25</v>
      </c>
      <c r="J983" t="s">
        <v>43</v>
      </c>
      <c r="K983" t="s">
        <v>27</v>
      </c>
      <c r="L983" t="s">
        <v>44</v>
      </c>
      <c r="M983" s="46">
        <v>225600</v>
      </c>
      <c r="N983">
        <v>0.20899999999999999</v>
      </c>
      <c r="O983">
        <v>0</v>
      </c>
      <c r="P983" t="s">
        <v>29</v>
      </c>
      <c r="Q983" t="s">
        <v>126</v>
      </c>
      <c r="R983">
        <v>23</v>
      </c>
      <c r="S983">
        <v>14873.04</v>
      </c>
      <c r="T983">
        <f>Deals_[[#This Row],[Amount]]*Deals_[[#This Row],[Probability_Pct]]</f>
        <v>0</v>
      </c>
    </row>
    <row r="984" spans="1:20" x14ac:dyDescent="0.2">
      <c r="A984" t="s">
        <v>1667</v>
      </c>
      <c r="B984" s="7">
        <v>46045</v>
      </c>
      <c r="C984" s="7">
        <v>46119</v>
      </c>
      <c r="D984" t="s">
        <v>1668</v>
      </c>
      <c r="E984" t="s">
        <v>111</v>
      </c>
      <c r="F984" t="s">
        <v>74</v>
      </c>
      <c r="G984" t="s">
        <v>23</v>
      </c>
      <c r="H984" t="s">
        <v>98</v>
      </c>
      <c r="I984" t="s">
        <v>42</v>
      </c>
      <c r="J984" t="s">
        <v>43</v>
      </c>
      <c r="K984" t="s">
        <v>27</v>
      </c>
      <c r="L984" t="s">
        <v>51</v>
      </c>
      <c r="M984" s="46">
        <v>307300</v>
      </c>
      <c r="N984">
        <v>0.02</v>
      </c>
      <c r="O984">
        <v>0.05</v>
      </c>
      <c r="P984" t="s">
        <v>29</v>
      </c>
      <c r="Q984" t="s">
        <v>45</v>
      </c>
      <c r="R984">
        <v>74</v>
      </c>
      <c r="S984">
        <v>25088.54</v>
      </c>
      <c r="T984">
        <f>Deals_[[#This Row],[Amount]]*Deals_[[#This Row],[Probability_Pct]]</f>
        <v>15365</v>
      </c>
    </row>
    <row r="985" spans="1:20" x14ac:dyDescent="0.2">
      <c r="A985" t="s">
        <v>1669</v>
      </c>
      <c r="B985" s="7">
        <v>46028</v>
      </c>
      <c r="C985" s="7">
        <v>46157</v>
      </c>
      <c r="D985" t="s">
        <v>821</v>
      </c>
      <c r="E985" t="s">
        <v>82</v>
      </c>
      <c r="F985" t="s">
        <v>48</v>
      </c>
      <c r="G985" t="s">
        <v>23</v>
      </c>
      <c r="H985" t="s">
        <v>69</v>
      </c>
      <c r="I985" t="s">
        <v>99</v>
      </c>
      <c r="J985" t="s">
        <v>26</v>
      </c>
      <c r="K985" t="s">
        <v>106</v>
      </c>
      <c r="L985" t="s">
        <v>51</v>
      </c>
      <c r="M985" s="46">
        <v>7700</v>
      </c>
      <c r="N985">
        <v>5.2999999999999999E-2</v>
      </c>
      <c r="O985">
        <v>0.15</v>
      </c>
      <c r="P985" t="s">
        <v>38</v>
      </c>
      <c r="R985">
        <v>129</v>
      </c>
      <c r="S985">
        <v>607.66</v>
      </c>
      <c r="T985">
        <f>Deals_[[#This Row],[Amount]]*Deals_[[#This Row],[Probability_Pct]]</f>
        <v>1155</v>
      </c>
    </row>
    <row r="986" spans="1:20" x14ac:dyDescent="0.2">
      <c r="A986" t="s">
        <v>1670</v>
      </c>
      <c r="B986" s="7">
        <v>46268</v>
      </c>
      <c r="C986" s="7">
        <v>46282</v>
      </c>
      <c r="D986" t="s">
        <v>507</v>
      </c>
      <c r="E986" t="s">
        <v>21</v>
      </c>
      <c r="F986" t="s">
        <v>48</v>
      </c>
      <c r="G986" t="s">
        <v>55</v>
      </c>
      <c r="H986" t="s">
        <v>120</v>
      </c>
      <c r="I986" t="s">
        <v>65</v>
      </c>
      <c r="J986" t="s">
        <v>43</v>
      </c>
      <c r="K986" t="s">
        <v>37</v>
      </c>
      <c r="L986" t="s">
        <v>44</v>
      </c>
      <c r="M986" s="46">
        <v>23700</v>
      </c>
      <c r="N986">
        <v>0</v>
      </c>
      <c r="O986">
        <v>0.1</v>
      </c>
      <c r="P986" t="s">
        <v>38</v>
      </c>
      <c r="R986">
        <v>14</v>
      </c>
      <c r="S986">
        <v>1975</v>
      </c>
      <c r="T986">
        <f>Deals_[[#This Row],[Amount]]*Deals_[[#This Row],[Probability_Pct]]</f>
        <v>2370</v>
      </c>
    </row>
    <row r="987" spans="1:20" x14ac:dyDescent="0.2">
      <c r="A987" t="s">
        <v>1671</v>
      </c>
      <c r="B987" s="7">
        <v>45960</v>
      </c>
      <c r="C987" s="7">
        <v>46024</v>
      </c>
      <c r="D987" t="s">
        <v>738</v>
      </c>
      <c r="E987" t="s">
        <v>54</v>
      </c>
      <c r="F987" t="s">
        <v>48</v>
      </c>
      <c r="G987" t="s">
        <v>92</v>
      </c>
      <c r="H987" t="s">
        <v>56</v>
      </c>
      <c r="I987" t="s">
        <v>99</v>
      </c>
      <c r="J987" t="s">
        <v>43</v>
      </c>
      <c r="K987" t="s">
        <v>88</v>
      </c>
      <c r="L987" t="s">
        <v>44</v>
      </c>
      <c r="M987" s="46">
        <v>15300</v>
      </c>
      <c r="N987">
        <v>0.14799999999999999</v>
      </c>
      <c r="O987">
        <v>0.35</v>
      </c>
      <c r="P987" t="s">
        <v>38</v>
      </c>
      <c r="R987">
        <v>64</v>
      </c>
      <c r="S987">
        <v>1086.1600000000001</v>
      </c>
      <c r="T987">
        <f>Deals_[[#This Row],[Amount]]*Deals_[[#This Row],[Probability_Pct]]</f>
        <v>5355</v>
      </c>
    </row>
    <row r="988" spans="1:20" x14ac:dyDescent="0.2">
      <c r="A988" t="s">
        <v>1672</v>
      </c>
      <c r="B988" s="7">
        <v>46108</v>
      </c>
      <c r="C988" s="7">
        <v>46229</v>
      </c>
      <c r="D988" t="s">
        <v>523</v>
      </c>
      <c r="E988" t="s">
        <v>91</v>
      </c>
      <c r="F988" t="s">
        <v>22</v>
      </c>
      <c r="G988" t="s">
        <v>92</v>
      </c>
      <c r="H988" t="s">
        <v>64</v>
      </c>
      <c r="I988" t="s">
        <v>25</v>
      </c>
      <c r="J988" t="s">
        <v>26</v>
      </c>
      <c r="K988" t="s">
        <v>27</v>
      </c>
      <c r="L988" t="s">
        <v>28</v>
      </c>
      <c r="M988" s="46">
        <v>66600</v>
      </c>
      <c r="N988">
        <v>0</v>
      </c>
      <c r="O988">
        <v>0</v>
      </c>
      <c r="P988" t="s">
        <v>29</v>
      </c>
      <c r="Q988" t="s">
        <v>152</v>
      </c>
      <c r="R988">
        <v>121</v>
      </c>
      <c r="S988">
        <v>5550</v>
      </c>
      <c r="T988">
        <f>Deals_[[#This Row],[Amount]]*Deals_[[#This Row],[Probability_Pct]]</f>
        <v>0</v>
      </c>
    </row>
    <row r="989" spans="1:20" x14ac:dyDescent="0.2">
      <c r="A989" t="s">
        <v>1673</v>
      </c>
      <c r="B989" s="7">
        <v>46146</v>
      </c>
      <c r="C989" s="7">
        <v>46216</v>
      </c>
      <c r="D989" t="s">
        <v>1674</v>
      </c>
      <c r="E989" t="s">
        <v>111</v>
      </c>
      <c r="F989" t="s">
        <v>74</v>
      </c>
      <c r="G989" t="s">
        <v>55</v>
      </c>
      <c r="H989" t="s">
        <v>56</v>
      </c>
      <c r="I989" t="s">
        <v>84</v>
      </c>
      <c r="J989" t="s">
        <v>43</v>
      </c>
      <c r="K989" t="s">
        <v>37</v>
      </c>
      <c r="L989" t="s">
        <v>51</v>
      </c>
      <c r="M989" s="46">
        <v>208800</v>
      </c>
      <c r="N989">
        <v>0.16900000000000001</v>
      </c>
      <c r="O989">
        <v>0.15</v>
      </c>
      <c r="P989" t="s">
        <v>38</v>
      </c>
      <c r="R989">
        <v>70</v>
      </c>
      <c r="S989">
        <v>14465.58</v>
      </c>
      <c r="T989">
        <f>Deals_[[#This Row],[Amount]]*Deals_[[#This Row],[Probability_Pct]]</f>
        <v>31320</v>
      </c>
    </row>
    <row r="990" spans="1:20" x14ac:dyDescent="0.2">
      <c r="A990" t="s">
        <v>1675</v>
      </c>
      <c r="B990" s="7">
        <v>46208</v>
      </c>
      <c r="C990" s="7">
        <v>46247</v>
      </c>
      <c r="D990" t="s">
        <v>531</v>
      </c>
      <c r="E990" t="s">
        <v>33</v>
      </c>
      <c r="F990" t="s">
        <v>22</v>
      </c>
      <c r="G990" t="s">
        <v>63</v>
      </c>
      <c r="H990" t="s">
        <v>69</v>
      </c>
      <c r="I990" t="s">
        <v>42</v>
      </c>
      <c r="J990" t="s">
        <v>85</v>
      </c>
      <c r="K990" t="s">
        <v>37</v>
      </c>
      <c r="L990" t="s">
        <v>44</v>
      </c>
      <c r="M990" s="46">
        <v>40100</v>
      </c>
      <c r="N990">
        <v>0.20100000000000001</v>
      </c>
      <c r="O990">
        <v>0.1</v>
      </c>
      <c r="P990" t="s">
        <v>38</v>
      </c>
      <c r="R990">
        <v>39</v>
      </c>
      <c r="S990">
        <v>2668.76</v>
      </c>
      <c r="T990">
        <f>Deals_[[#This Row],[Amount]]*Deals_[[#This Row],[Probability_Pct]]</f>
        <v>4010</v>
      </c>
    </row>
    <row r="991" spans="1:20" x14ac:dyDescent="0.2">
      <c r="A991" t="s">
        <v>1676</v>
      </c>
      <c r="B991" s="7">
        <v>46168</v>
      </c>
      <c r="C991" s="7">
        <v>46215</v>
      </c>
      <c r="D991" t="s">
        <v>1677</v>
      </c>
      <c r="E991" t="s">
        <v>111</v>
      </c>
      <c r="F991" t="s">
        <v>74</v>
      </c>
      <c r="G991" t="s">
        <v>92</v>
      </c>
      <c r="H991" t="s">
        <v>95</v>
      </c>
      <c r="I991" t="s">
        <v>25</v>
      </c>
      <c r="J991" t="s">
        <v>85</v>
      </c>
      <c r="K991" t="s">
        <v>78</v>
      </c>
      <c r="L991" t="s">
        <v>44</v>
      </c>
      <c r="M991" s="46">
        <v>345900</v>
      </c>
      <c r="N991">
        <v>0.11</v>
      </c>
      <c r="O991">
        <v>0.5</v>
      </c>
      <c r="P991" t="s">
        <v>79</v>
      </c>
      <c r="R991">
        <v>47</v>
      </c>
      <c r="S991">
        <v>25655.62</v>
      </c>
      <c r="T991">
        <f>Deals_[[#This Row],[Amount]]*Deals_[[#This Row],[Probability_Pct]]</f>
        <v>172950</v>
      </c>
    </row>
    <row r="992" spans="1:20" x14ac:dyDescent="0.2">
      <c r="A992" t="s">
        <v>1678</v>
      </c>
      <c r="B992" s="7">
        <v>46229</v>
      </c>
      <c r="C992" s="7">
        <v>46314</v>
      </c>
      <c r="D992" t="s">
        <v>265</v>
      </c>
      <c r="E992" t="s">
        <v>33</v>
      </c>
      <c r="F992" t="s">
        <v>22</v>
      </c>
      <c r="G992" t="s">
        <v>34</v>
      </c>
      <c r="H992" t="s">
        <v>77</v>
      </c>
      <c r="I992" t="s">
        <v>42</v>
      </c>
      <c r="J992" t="s">
        <v>43</v>
      </c>
      <c r="K992" t="s">
        <v>88</v>
      </c>
      <c r="L992" t="s">
        <v>28</v>
      </c>
      <c r="M992" s="46">
        <v>38300</v>
      </c>
      <c r="N992">
        <v>0.154</v>
      </c>
      <c r="O992">
        <v>0.3</v>
      </c>
      <c r="P992" t="s">
        <v>38</v>
      </c>
      <c r="R992">
        <v>85</v>
      </c>
      <c r="S992">
        <v>2699.11</v>
      </c>
      <c r="T992">
        <f>Deals_[[#This Row],[Amount]]*Deals_[[#This Row],[Probability_Pct]]</f>
        <v>11490</v>
      </c>
    </row>
    <row r="993" spans="1:20" x14ac:dyDescent="0.2">
      <c r="A993" t="s">
        <v>1679</v>
      </c>
      <c r="B993" s="7">
        <v>46271</v>
      </c>
      <c r="C993" s="7">
        <v>46277</v>
      </c>
      <c r="D993" t="s">
        <v>1617</v>
      </c>
      <c r="E993" t="s">
        <v>21</v>
      </c>
      <c r="F993" t="s">
        <v>48</v>
      </c>
      <c r="G993" t="s">
        <v>23</v>
      </c>
      <c r="H993" t="s">
        <v>95</v>
      </c>
      <c r="I993" t="s">
        <v>25</v>
      </c>
      <c r="J993" t="s">
        <v>36</v>
      </c>
      <c r="K993" t="s">
        <v>27</v>
      </c>
      <c r="L993" t="s">
        <v>28</v>
      </c>
      <c r="M993" s="46">
        <v>8400</v>
      </c>
      <c r="N993">
        <v>0.193</v>
      </c>
      <c r="O993">
        <v>0</v>
      </c>
      <c r="P993" t="s">
        <v>29</v>
      </c>
      <c r="Q993" t="s">
        <v>222</v>
      </c>
      <c r="R993">
        <v>6</v>
      </c>
      <c r="S993">
        <v>564.6</v>
      </c>
      <c r="T993">
        <f>Deals_[[#This Row],[Amount]]*Deals_[[#This Row],[Probability_Pct]]</f>
        <v>0</v>
      </c>
    </row>
    <row r="994" spans="1:20" x14ac:dyDescent="0.2">
      <c r="A994" t="s">
        <v>1680</v>
      </c>
      <c r="B994" s="7">
        <v>46090</v>
      </c>
      <c r="C994" s="7">
        <v>46259</v>
      </c>
      <c r="D994" t="s">
        <v>1681</v>
      </c>
      <c r="E994" t="s">
        <v>54</v>
      </c>
      <c r="F994" t="s">
        <v>48</v>
      </c>
      <c r="G994" t="s">
        <v>55</v>
      </c>
      <c r="H994" t="s">
        <v>64</v>
      </c>
      <c r="I994" t="s">
        <v>25</v>
      </c>
      <c r="J994" t="s">
        <v>57</v>
      </c>
      <c r="K994" t="s">
        <v>50</v>
      </c>
      <c r="L994" t="s">
        <v>51</v>
      </c>
      <c r="M994" s="46">
        <v>25700</v>
      </c>
      <c r="N994">
        <v>0.19</v>
      </c>
      <c r="O994">
        <v>1</v>
      </c>
      <c r="P994" t="s">
        <v>29</v>
      </c>
      <c r="R994">
        <v>169</v>
      </c>
      <c r="S994">
        <v>1735.24</v>
      </c>
      <c r="T994">
        <f>Deals_[[#This Row],[Amount]]*Deals_[[#This Row],[Probability_Pct]]</f>
        <v>25700</v>
      </c>
    </row>
    <row r="995" spans="1:20" x14ac:dyDescent="0.2">
      <c r="A995" t="s">
        <v>1682</v>
      </c>
      <c r="B995" s="7">
        <v>46253</v>
      </c>
      <c r="C995" s="7">
        <v>46306</v>
      </c>
      <c r="D995" t="s">
        <v>535</v>
      </c>
      <c r="E995" t="s">
        <v>111</v>
      </c>
      <c r="F995" t="s">
        <v>22</v>
      </c>
      <c r="G995" t="s">
        <v>63</v>
      </c>
      <c r="H995" t="s">
        <v>77</v>
      </c>
      <c r="I995" t="s">
        <v>99</v>
      </c>
      <c r="J995" t="s">
        <v>85</v>
      </c>
      <c r="K995" t="s">
        <v>106</v>
      </c>
      <c r="L995" t="s">
        <v>28</v>
      </c>
      <c r="M995" s="46">
        <v>92800</v>
      </c>
      <c r="N995">
        <v>7.9000000000000001E-2</v>
      </c>
      <c r="O995">
        <v>0.15</v>
      </c>
      <c r="P995" t="s">
        <v>38</v>
      </c>
      <c r="R995">
        <v>53</v>
      </c>
      <c r="S995">
        <v>7123.01</v>
      </c>
      <c r="T995">
        <f>Deals_[[#This Row],[Amount]]*Deals_[[#This Row],[Probability_Pct]]</f>
        <v>13920</v>
      </c>
    </row>
    <row r="996" spans="1:20" x14ac:dyDescent="0.2">
      <c r="A996" t="s">
        <v>1683</v>
      </c>
      <c r="B996" s="7">
        <v>46122</v>
      </c>
      <c r="C996" s="7">
        <v>46199</v>
      </c>
      <c r="D996" t="s">
        <v>1562</v>
      </c>
      <c r="E996" t="s">
        <v>33</v>
      </c>
      <c r="F996" t="s">
        <v>48</v>
      </c>
      <c r="G996" t="s">
        <v>34</v>
      </c>
      <c r="H996" t="s">
        <v>77</v>
      </c>
      <c r="I996" t="s">
        <v>25</v>
      </c>
      <c r="J996" t="s">
        <v>26</v>
      </c>
      <c r="K996" t="s">
        <v>37</v>
      </c>
      <c r="L996" t="s">
        <v>44</v>
      </c>
      <c r="M996" s="46">
        <v>29000</v>
      </c>
      <c r="N996">
        <v>9.1999999999999998E-2</v>
      </c>
      <c r="O996">
        <v>0.1</v>
      </c>
      <c r="P996" t="s">
        <v>38</v>
      </c>
      <c r="R996">
        <v>77</v>
      </c>
      <c r="S996">
        <v>2194.21</v>
      </c>
      <c r="T996">
        <f>Deals_[[#This Row],[Amount]]*Deals_[[#This Row],[Probability_Pct]]</f>
        <v>2900</v>
      </c>
    </row>
    <row r="997" spans="1:20" x14ac:dyDescent="0.2">
      <c r="A997" t="s">
        <v>1684</v>
      </c>
      <c r="B997" s="7">
        <v>46238</v>
      </c>
      <c r="C997" s="7">
        <v>46277</v>
      </c>
      <c r="D997" t="s">
        <v>663</v>
      </c>
      <c r="E997" t="s">
        <v>68</v>
      </c>
      <c r="F997" t="s">
        <v>48</v>
      </c>
      <c r="G997" t="s">
        <v>55</v>
      </c>
      <c r="H997" t="s">
        <v>120</v>
      </c>
      <c r="I997" t="s">
        <v>65</v>
      </c>
      <c r="J997" t="s">
        <v>57</v>
      </c>
      <c r="K997" t="s">
        <v>27</v>
      </c>
      <c r="L997" t="s">
        <v>44</v>
      </c>
      <c r="M997" s="46">
        <v>23400</v>
      </c>
      <c r="N997">
        <v>7.1999999999999995E-2</v>
      </c>
      <c r="O997">
        <v>0</v>
      </c>
      <c r="P997" t="s">
        <v>29</v>
      </c>
      <c r="Q997" t="s">
        <v>209</v>
      </c>
      <c r="R997">
        <v>39</v>
      </c>
      <c r="S997">
        <v>1809.26</v>
      </c>
      <c r="T997">
        <f>Deals_[[#This Row],[Amount]]*Deals_[[#This Row],[Probability_Pct]]</f>
        <v>0</v>
      </c>
    </row>
    <row r="998" spans="1:20" x14ac:dyDescent="0.2">
      <c r="A998" t="s">
        <v>1685</v>
      </c>
      <c r="B998" s="7">
        <v>46122</v>
      </c>
      <c r="C998" s="7">
        <v>46164</v>
      </c>
      <c r="D998" t="s">
        <v>1686</v>
      </c>
      <c r="E998" t="s">
        <v>111</v>
      </c>
      <c r="F998" t="s">
        <v>48</v>
      </c>
      <c r="G998" t="s">
        <v>34</v>
      </c>
      <c r="H998" t="s">
        <v>120</v>
      </c>
      <c r="I998" t="s">
        <v>35</v>
      </c>
      <c r="J998" t="s">
        <v>36</v>
      </c>
      <c r="K998" t="s">
        <v>78</v>
      </c>
      <c r="L998" t="s">
        <v>51</v>
      </c>
      <c r="M998" s="46">
        <v>21400</v>
      </c>
      <c r="N998">
        <v>0.14599999999999999</v>
      </c>
      <c r="O998">
        <v>0.55000000000000004</v>
      </c>
      <c r="P998" t="s">
        <v>79</v>
      </c>
      <c r="R998">
        <v>42</v>
      </c>
      <c r="S998">
        <v>1523.84</v>
      </c>
      <c r="T998">
        <f>Deals_[[#This Row],[Amount]]*Deals_[[#This Row],[Probability_Pct]]</f>
        <v>11770.000000000002</v>
      </c>
    </row>
    <row r="999" spans="1:20" x14ac:dyDescent="0.2">
      <c r="A999" t="s">
        <v>1687</v>
      </c>
      <c r="B999" s="7">
        <v>46021</v>
      </c>
      <c r="C999" s="7">
        <v>46099</v>
      </c>
      <c r="D999" t="s">
        <v>1688</v>
      </c>
      <c r="E999" t="s">
        <v>91</v>
      </c>
      <c r="F999" t="s">
        <v>48</v>
      </c>
      <c r="G999" t="s">
        <v>63</v>
      </c>
      <c r="H999" t="s">
        <v>41</v>
      </c>
      <c r="I999" t="s">
        <v>99</v>
      </c>
      <c r="J999" t="s">
        <v>57</v>
      </c>
      <c r="K999" t="s">
        <v>88</v>
      </c>
      <c r="L999" t="s">
        <v>51</v>
      </c>
      <c r="M999" s="46">
        <v>12000</v>
      </c>
      <c r="N999">
        <v>9.1999999999999998E-2</v>
      </c>
      <c r="O999">
        <v>0.35</v>
      </c>
      <c r="P999" t="s">
        <v>38</v>
      </c>
      <c r="R999">
        <v>78</v>
      </c>
      <c r="S999">
        <v>907.65</v>
      </c>
      <c r="T999">
        <f>Deals_[[#This Row],[Amount]]*Deals_[[#This Row],[Probability_Pct]]</f>
        <v>4200</v>
      </c>
    </row>
    <row r="1000" spans="1:20" x14ac:dyDescent="0.2">
      <c r="A1000" t="s">
        <v>1689</v>
      </c>
      <c r="B1000" s="7">
        <v>46027</v>
      </c>
      <c r="C1000" s="7">
        <v>46048</v>
      </c>
      <c r="D1000" t="s">
        <v>1690</v>
      </c>
      <c r="E1000" t="s">
        <v>82</v>
      </c>
      <c r="F1000" t="s">
        <v>48</v>
      </c>
      <c r="G1000" t="s">
        <v>92</v>
      </c>
      <c r="H1000" t="s">
        <v>56</v>
      </c>
      <c r="I1000" t="s">
        <v>42</v>
      </c>
      <c r="J1000" t="s">
        <v>36</v>
      </c>
      <c r="K1000" t="s">
        <v>50</v>
      </c>
      <c r="L1000" t="s">
        <v>51</v>
      </c>
      <c r="M1000" s="46">
        <v>29700</v>
      </c>
      <c r="N1000">
        <v>0.21299999999999999</v>
      </c>
      <c r="O1000">
        <v>1</v>
      </c>
      <c r="P1000" t="s">
        <v>29</v>
      </c>
      <c r="R1000">
        <v>21</v>
      </c>
      <c r="S1000">
        <v>1946.59</v>
      </c>
      <c r="T1000">
        <f>Deals_[[#This Row],[Amount]]*Deals_[[#This Row],[Probability_Pct]]</f>
        <v>29700</v>
      </c>
    </row>
    <row r="1001" spans="1:20" x14ac:dyDescent="0.2">
      <c r="A1001" t="s">
        <v>1691</v>
      </c>
      <c r="B1001" s="7">
        <v>45989</v>
      </c>
      <c r="C1001" s="7">
        <v>46090</v>
      </c>
      <c r="D1001" t="s">
        <v>1692</v>
      </c>
      <c r="E1001" t="s">
        <v>21</v>
      </c>
      <c r="F1001" t="s">
        <v>22</v>
      </c>
      <c r="G1001" t="s">
        <v>55</v>
      </c>
      <c r="H1001" t="s">
        <v>69</v>
      </c>
      <c r="I1001" t="s">
        <v>35</v>
      </c>
      <c r="J1001" t="s">
        <v>26</v>
      </c>
      <c r="K1001" t="s">
        <v>106</v>
      </c>
      <c r="L1001" t="s">
        <v>28</v>
      </c>
      <c r="M1001" s="46">
        <v>43500</v>
      </c>
      <c r="N1001">
        <v>9.2999999999999999E-2</v>
      </c>
      <c r="O1001">
        <v>0.2</v>
      </c>
      <c r="P1001" t="s">
        <v>38</v>
      </c>
      <c r="R1001">
        <v>101</v>
      </c>
      <c r="S1001">
        <v>3288.57</v>
      </c>
      <c r="T1001">
        <f>Deals_[[#This Row],[Amount]]*Deals_[[#This Row],[Probability_Pct]]</f>
        <v>8700</v>
      </c>
    </row>
    <row r="1002" spans="1:20" x14ac:dyDescent="0.2">
      <c r="A1002" t="s">
        <v>1693</v>
      </c>
      <c r="B1002" s="7">
        <v>46035</v>
      </c>
      <c r="C1002" s="7">
        <v>46131</v>
      </c>
      <c r="D1002" t="s">
        <v>517</v>
      </c>
      <c r="E1002" t="s">
        <v>62</v>
      </c>
      <c r="F1002" t="s">
        <v>74</v>
      </c>
      <c r="G1002" t="s">
        <v>23</v>
      </c>
      <c r="H1002" t="s">
        <v>83</v>
      </c>
      <c r="I1002" t="s">
        <v>25</v>
      </c>
      <c r="J1002" t="s">
        <v>26</v>
      </c>
      <c r="K1002" t="s">
        <v>58</v>
      </c>
      <c r="L1002" t="s">
        <v>28</v>
      </c>
      <c r="M1002" s="46">
        <v>319000</v>
      </c>
      <c r="N1002">
        <v>0.29299999999999998</v>
      </c>
      <c r="O1002">
        <v>0.75</v>
      </c>
      <c r="P1002" t="s">
        <v>59</v>
      </c>
      <c r="R1002">
        <v>96</v>
      </c>
      <c r="S1002">
        <v>18781.400000000001</v>
      </c>
      <c r="T1002">
        <f>Deals_[[#This Row],[Amount]]*Deals_[[#This Row],[Probability_Pct]]</f>
        <v>239250</v>
      </c>
    </row>
    <row r="1003" spans="1:20" x14ac:dyDescent="0.2">
      <c r="A1003" t="s">
        <v>1694</v>
      </c>
      <c r="B1003" s="7">
        <v>46130</v>
      </c>
      <c r="C1003" s="7">
        <v>46193</v>
      </c>
      <c r="D1003" t="s">
        <v>1508</v>
      </c>
      <c r="E1003" t="s">
        <v>91</v>
      </c>
      <c r="F1003" t="s">
        <v>48</v>
      </c>
      <c r="G1003" t="s">
        <v>63</v>
      </c>
      <c r="H1003" t="s">
        <v>77</v>
      </c>
      <c r="I1003" t="s">
        <v>84</v>
      </c>
      <c r="J1003" t="s">
        <v>85</v>
      </c>
      <c r="K1003" t="s">
        <v>78</v>
      </c>
      <c r="L1003" t="s">
        <v>44</v>
      </c>
      <c r="M1003" s="46">
        <v>13600</v>
      </c>
      <c r="N1003">
        <v>0.18099999999999999</v>
      </c>
      <c r="O1003">
        <v>0.55000000000000004</v>
      </c>
      <c r="P1003" t="s">
        <v>79</v>
      </c>
      <c r="R1003">
        <v>63</v>
      </c>
      <c r="S1003">
        <v>928.44</v>
      </c>
      <c r="T1003">
        <f>Deals_[[#This Row],[Amount]]*Deals_[[#This Row],[Probability_Pct]]</f>
        <v>7480.0000000000009</v>
      </c>
    </row>
    <row r="1004" spans="1:20" x14ac:dyDescent="0.2">
      <c r="A1004" t="s">
        <v>1695</v>
      </c>
      <c r="B1004" s="7">
        <v>45982</v>
      </c>
      <c r="C1004" s="7">
        <v>46078</v>
      </c>
      <c r="D1004" t="s">
        <v>1696</v>
      </c>
      <c r="E1004" t="s">
        <v>62</v>
      </c>
      <c r="F1004" t="s">
        <v>48</v>
      </c>
      <c r="G1004" t="s">
        <v>23</v>
      </c>
      <c r="H1004" t="s">
        <v>56</v>
      </c>
      <c r="I1004" t="s">
        <v>25</v>
      </c>
      <c r="J1004" t="s">
        <v>36</v>
      </c>
      <c r="K1004" t="s">
        <v>50</v>
      </c>
      <c r="L1004" t="s">
        <v>51</v>
      </c>
      <c r="M1004" s="46">
        <v>16700</v>
      </c>
      <c r="N1004">
        <v>6.2E-2</v>
      </c>
      <c r="O1004">
        <v>0.95</v>
      </c>
      <c r="P1004" t="s">
        <v>29</v>
      </c>
      <c r="R1004">
        <v>96</v>
      </c>
      <c r="S1004">
        <v>1305.46</v>
      </c>
      <c r="T1004">
        <f>Deals_[[#This Row],[Amount]]*Deals_[[#This Row],[Probability_Pct]]</f>
        <v>15865</v>
      </c>
    </row>
    <row r="1005" spans="1:20" x14ac:dyDescent="0.2">
      <c r="A1005" t="s">
        <v>1697</v>
      </c>
      <c r="B1005" s="7">
        <v>46098</v>
      </c>
      <c r="C1005" s="7">
        <v>46190</v>
      </c>
      <c r="D1005" t="s">
        <v>684</v>
      </c>
      <c r="E1005" t="s">
        <v>21</v>
      </c>
      <c r="F1005" t="s">
        <v>48</v>
      </c>
      <c r="G1005" t="s">
        <v>63</v>
      </c>
      <c r="H1005" t="s">
        <v>24</v>
      </c>
      <c r="I1005" t="s">
        <v>65</v>
      </c>
      <c r="J1005" t="s">
        <v>85</v>
      </c>
      <c r="K1005" t="s">
        <v>106</v>
      </c>
      <c r="L1005" t="s">
        <v>28</v>
      </c>
      <c r="M1005" s="46">
        <v>15300</v>
      </c>
      <c r="N1005">
        <v>8.8999999999999996E-2</v>
      </c>
      <c r="O1005">
        <v>0.2</v>
      </c>
      <c r="P1005" t="s">
        <v>38</v>
      </c>
      <c r="R1005">
        <v>92</v>
      </c>
      <c r="S1005">
        <v>1161.01</v>
      </c>
      <c r="T1005">
        <f>Deals_[[#This Row],[Amount]]*Deals_[[#This Row],[Probability_Pct]]</f>
        <v>3060</v>
      </c>
    </row>
    <row r="1006" spans="1:20" x14ac:dyDescent="0.2">
      <c r="A1006" t="s">
        <v>1698</v>
      </c>
      <c r="B1006" s="7">
        <v>46089</v>
      </c>
      <c r="C1006" s="7">
        <v>46177</v>
      </c>
      <c r="D1006" t="s">
        <v>321</v>
      </c>
      <c r="E1006" t="s">
        <v>82</v>
      </c>
      <c r="F1006" t="s">
        <v>22</v>
      </c>
      <c r="G1006" t="s">
        <v>34</v>
      </c>
      <c r="H1006" t="s">
        <v>120</v>
      </c>
      <c r="I1006" t="s">
        <v>35</v>
      </c>
      <c r="J1006" t="s">
        <v>57</v>
      </c>
      <c r="K1006" t="s">
        <v>78</v>
      </c>
      <c r="L1006" t="s">
        <v>51</v>
      </c>
      <c r="M1006" s="46">
        <v>65500</v>
      </c>
      <c r="N1006">
        <v>8.2000000000000003E-2</v>
      </c>
      <c r="O1006">
        <v>0.5</v>
      </c>
      <c r="P1006" t="s">
        <v>79</v>
      </c>
      <c r="R1006">
        <v>88</v>
      </c>
      <c r="S1006">
        <v>5011.6499999999996</v>
      </c>
      <c r="T1006">
        <f>Deals_[[#This Row],[Amount]]*Deals_[[#This Row],[Probability_Pct]]</f>
        <v>32750</v>
      </c>
    </row>
    <row r="1007" spans="1:20" x14ac:dyDescent="0.2">
      <c r="A1007" t="s">
        <v>1699</v>
      </c>
      <c r="B1007" s="7">
        <v>46121</v>
      </c>
      <c r="C1007" s="7">
        <v>46277</v>
      </c>
      <c r="D1007" t="s">
        <v>1700</v>
      </c>
      <c r="E1007" t="s">
        <v>68</v>
      </c>
      <c r="F1007" t="s">
        <v>48</v>
      </c>
      <c r="G1007" t="s">
        <v>23</v>
      </c>
      <c r="H1007" t="s">
        <v>56</v>
      </c>
      <c r="I1007" t="s">
        <v>65</v>
      </c>
      <c r="J1007" t="s">
        <v>43</v>
      </c>
      <c r="K1007" t="s">
        <v>50</v>
      </c>
      <c r="L1007" t="s">
        <v>28</v>
      </c>
      <c r="M1007" s="46">
        <v>6000</v>
      </c>
      <c r="N1007">
        <v>0.109</v>
      </c>
      <c r="O1007">
        <v>1</v>
      </c>
      <c r="P1007" t="s">
        <v>29</v>
      </c>
      <c r="R1007">
        <v>156</v>
      </c>
      <c r="S1007">
        <v>445.57</v>
      </c>
      <c r="T1007">
        <f>Deals_[[#This Row],[Amount]]*Deals_[[#This Row],[Probability_Pct]]</f>
        <v>6000</v>
      </c>
    </row>
    <row r="1008" spans="1:20" x14ac:dyDescent="0.2">
      <c r="A1008" t="s">
        <v>1701</v>
      </c>
      <c r="B1008" s="7">
        <v>46268</v>
      </c>
      <c r="C1008" s="7">
        <v>46311</v>
      </c>
      <c r="D1008" t="s">
        <v>47</v>
      </c>
      <c r="E1008" t="s">
        <v>54</v>
      </c>
      <c r="F1008" t="s">
        <v>22</v>
      </c>
      <c r="G1008" t="s">
        <v>63</v>
      </c>
      <c r="H1008" t="s">
        <v>95</v>
      </c>
      <c r="I1008" t="s">
        <v>65</v>
      </c>
      <c r="J1008" t="s">
        <v>43</v>
      </c>
      <c r="K1008" t="s">
        <v>78</v>
      </c>
      <c r="L1008" t="s">
        <v>44</v>
      </c>
      <c r="M1008" s="46">
        <v>96800</v>
      </c>
      <c r="N1008">
        <v>0.06</v>
      </c>
      <c r="O1008">
        <v>0.55000000000000004</v>
      </c>
      <c r="P1008" t="s">
        <v>79</v>
      </c>
      <c r="R1008">
        <v>43</v>
      </c>
      <c r="S1008">
        <v>7583.28</v>
      </c>
      <c r="T1008">
        <f>Deals_[[#This Row],[Amount]]*Deals_[[#This Row],[Probability_Pct]]</f>
        <v>53240.000000000007</v>
      </c>
    </row>
    <row r="1009" spans="1:20" x14ac:dyDescent="0.2">
      <c r="A1009" t="s">
        <v>1702</v>
      </c>
      <c r="B1009" s="7">
        <v>46102</v>
      </c>
      <c r="C1009" s="7">
        <v>46268</v>
      </c>
      <c r="D1009" t="s">
        <v>1703</v>
      </c>
      <c r="E1009" t="s">
        <v>21</v>
      </c>
      <c r="F1009" t="s">
        <v>48</v>
      </c>
      <c r="G1009" t="s">
        <v>34</v>
      </c>
      <c r="H1009" t="s">
        <v>56</v>
      </c>
      <c r="I1009" t="s">
        <v>25</v>
      </c>
      <c r="J1009" t="s">
        <v>26</v>
      </c>
      <c r="K1009" t="s">
        <v>50</v>
      </c>
      <c r="L1009" t="s">
        <v>44</v>
      </c>
      <c r="M1009" s="46">
        <v>25800</v>
      </c>
      <c r="N1009">
        <v>0.124</v>
      </c>
      <c r="O1009">
        <v>1</v>
      </c>
      <c r="P1009" t="s">
        <v>29</v>
      </c>
      <c r="R1009">
        <v>166</v>
      </c>
      <c r="S1009">
        <v>1883.07</v>
      </c>
      <c r="T1009">
        <f>Deals_[[#This Row],[Amount]]*Deals_[[#This Row],[Probability_Pct]]</f>
        <v>25800</v>
      </c>
    </row>
    <row r="1010" spans="1:20" x14ac:dyDescent="0.2">
      <c r="A1010" t="s">
        <v>1704</v>
      </c>
      <c r="B1010" s="7">
        <v>46118</v>
      </c>
      <c r="C1010" s="7">
        <v>46225</v>
      </c>
      <c r="D1010" t="s">
        <v>1094</v>
      </c>
      <c r="E1010" t="s">
        <v>21</v>
      </c>
      <c r="F1010" t="s">
        <v>22</v>
      </c>
      <c r="G1010" t="s">
        <v>55</v>
      </c>
      <c r="H1010" t="s">
        <v>77</v>
      </c>
      <c r="I1010" t="s">
        <v>42</v>
      </c>
      <c r="J1010" t="s">
        <v>36</v>
      </c>
      <c r="K1010" t="s">
        <v>106</v>
      </c>
      <c r="L1010" t="s">
        <v>51</v>
      </c>
      <c r="M1010" s="46">
        <v>79900</v>
      </c>
      <c r="N1010">
        <v>0.17100000000000001</v>
      </c>
      <c r="O1010">
        <v>0.2</v>
      </c>
      <c r="P1010" t="s">
        <v>38</v>
      </c>
      <c r="R1010">
        <v>107</v>
      </c>
      <c r="S1010">
        <v>5519.3</v>
      </c>
      <c r="T1010">
        <f>Deals_[[#This Row],[Amount]]*Deals_[[#This Row],[Probability_Pct]]</f>
        <v>15980</v>
      </c>
    </row>
    <row r="1011" spans="1:20" x14ac:dyDescent="0.2">
      <c r="A1011" t="s">
        <v>1705</v>
      </c>
      <c r="B1011" s="7">
        <v>46047</v>
      </c>
      <c r="C1011" s="7">
        <v>46091</v>
      </c>
      <c r="D1011" t="s">
        <v>67</v>
      </c>
      <c r="E1011" t="s">
        <v>62</v>
      </c>
      <c r="F1011" t="s">
        <v>48</v>
      </c>
      <c r="G1011" t="s">
        <v>55</v>
      </c>
      <c r="H1011" t="s">
        <v>64</v>
      </c>
      <c r="I1011" t="s">
        <v>99</v>
      </c>
      <c r="J1011" t="s">
        <v>85</v>
      </c>
      <c r="K1011" t="s">
        <v>78</v>
      </c>
      <c r="L1011" t="s">
        <v>28</v>
      </c>
      <c r="M1011" s="46">
        <v>19500</v>
      </c>
      <c r="N1011">
        <v>5.0999999999999997E-2</v>
      </c>
      <c r="O1011">
        <v>0.55000000000000004</v>
      </c>
      <c r="P1011" t="s">
        <v>79</v>
      </c>
      <c r="R1011">
        <v>44</v>
      </c>
      <c r="S1011">
        <v>1541.63</v>
      </c>
      <c r="T1011">
        <f>Deals_[[#This Row],[Amount]]*Deals_[[#This Row],[Probability_Pct]]</f>
        <v>10725</v>
      </c>
    </row>
    <row r="1012" spans="1:20" x14ac:dyDescent="0.2">
      <c r="A1012" t="s">
        <v>1706</v>
      </c>
      <c r="B1012" s="7">
        <v>46067</v>
      </c>
      <c r="C1012" s="7">
        <v>46174</v>
      </c>
      <c r="D1012" t="s">
        <v>380</v>
      </c>
      <c r="E1012" t="s">
        <v>68</v>
      </c>
      <c r="F1012" t="s">
        <v>74</v>
      </c>
      <c r="G1012" t="s">
        <v>92</v>
      </c>
      <c r="H1012" t="s">
        <v>49</v>
      </c>
      <c r="I1012" t="s">
        <v>42</v>
      </c>
      <c r="J1012" t="s">
        <v>26</v>
      </c>
      <c r="K1012" t="s">
        <v>78</v>
      </c>
      <c r="L1012" t="s">
        <v>51</v>
      </c>
      <c r="M1012" s="46">
        <v>228000</v>
      </c>
      <c r="N1012">
        <v>5.8999999999999997E-2</v>
      </c>
      <c r="O1012">
        <v>0.55000000000000004</v>
      </c>
      <c r="P1012" t="s">
        <v>79</v>
      </c>
      <c r="R1012">
        <v>107</v>
      </c>
      <c r="S1012">
        <v>17875.439999999999</v>
      </c>
      <c r="T1012">
        <f>Deals_[[#This Row],[Amount]]*Deals_[[#This Row],[Probability_Pct]]</f>
        <v>125400.00000000001</v>
      </c>
    </row>
    <row r="1013" spans="1:20" x14ac:dyDescent="0.2">
      <c r="A1013" t="s">
        <v>1707</v>
      </c>
      <c r="B1013" s="7">
        <v>46120</v>
      </c>
      <c r="C1013" s="7">
        <v>46246</v>
      </c>
      <c r="D1013" t="s">
        <v>953</v>
      </c>
      <c r="E1013" t="s">
        <v>82</v>
      </c>
      <c r="F1013" t="s">
        <v>22</v>
      </c>
      <c r="G1013" t="s">
        <v>63</v>
      </c>
      <c r="H1013" t="s">
        <v>64</v>
      </c>
      <c r="I1013" t="s">
        <v>42</v>
      </c>
      <c r="J1013" t="s">
        <v>36</v>
      </c>
      <c r="K1013" t="s">
        <v>88</v>
      </c>
      <c r="L1013" t="s">
        <v>51</v>
      </c>
      <c r="M1013" s="46">
        <v>28800</v>
      </c>
      <c r="N1013">
        <v>8.1000000000000003E-2</v>
      </c>
      <c r="O1013">
        <v>0.35</v>
      </c>
      <c r="P1013" t="s">
        <v>38</v>
      </c>
      <c r="R1013">
        <v>126</v>
      </c>
      <c r="S1013">
        <v>2206.5100000000002</v>
      </c>
      <c r="T1013">
        <f>Deals_[[#This Row],[Amount]]*Deals_[[#This Row],[Probability_Pct]]</f>
        <v>10080</v>
      </c>
    </row>
    <row r="1014" spans="1:20" x14ac:dyDescent="0.2">
      <c r="A1014" t="s">
        <v>1708</v>
      </c>
      <c r="B1014" s="7">
        <v>45992</v>
      </c>
      <c r="C1014" s="7">
        <v>46086</v>
      </c>
      <c r="D1014" t="s">
        <v>1709</v>
      </c>
      <c r="E1014" t="s">
        <v>33</v>
      </c>
      <c r="F1014" t="s">
        <v>74</v>
      </c>
      <c r="G1014" t="s">
        <v>92</v>
      </c>
      <c r="H1014" t="s">
        <v>69</v>
      </c>
      <c r="I1014" t="s">
        <v>42</v>
      </c>
      <c r="J1014" t="s">
        <v>57</v>
      </c>
      <c r="K1014" t="s">
        <v>37</v>
      </c>
      <c r="L1014" t="s">
        <v>51</v>
      </c>
      <c r="M1014" s="46">
        <v>220500</v>
      </c>
      <c r="N1014">
        <v>0.09</v>
      </c>
      <c r="O1014">
        <v>0.15</v>
      </c>
      <c r="P1014" t="s">
        <v>38</v>
      </c>
      <c r="R1014">
        <v>94</v>
      </c>
      <c r="S1014">
        <v>16714.080000000002</v>
      </c>
      <c r="T1014">
        <f>Deals_[[#This Row],[Amount]]*Deals_[[#This Row],[Probability_Pct]]</f>
        <v>33075</v>
      </c>
    </row>
    <row r="1015" spans="1:20" x14ac:dyDescent="0.2">
      <c r="A1015" t="s">
        <v>1710</v>
      </c>
      <c r="B1015" s="7">
        <v>46151</v>
      </c>
      <c r="C1015" s="7">
        <v>46303</v>
      </c>
      <c r="D1015" t="s">
        <v>585</v>
      </c>
      <c r="E1015" t="s">
        <v>82</v>
      </c>
      <c r="F1015" t="s">
        <v>48</v>
      </c>
      <c r="G1015" t="s">
        <v>23</v>
      </c>
      <c r="H1015" t="s">
        <v>41</v>
      </c>
      <c r="I1015" t="s">
        <v>65</v>
      </c>
      <c r="J1015" t="s">
        <v>57</v>
      </c>
      <c r="K1015" t="s">
        <v>78</v>
      </c>
      <c r="L1015" t="s">
        <v>51</v>
      </c>
      <c r="M1015" s="46">
        <v>18500</v>
      </c>
      <c r="N1015">
        <v>4.9000000000000002E-2</v>
      </c>
      <c r="O1015">
        <v>0.5</v>
      </c>
      <c r="P1015" t="s">
        <v>79</v>
      </c>
      <c r="R1015">
        <v>152</v>
      </c>
      <c r="S1015">
        <v>1466.44</v>
      </c>
      <c r="T1015">
        <f>Deals_[[#This Row],[Amount]]*Deals_[[#This Row],[Probability_Pct]]</f>
        <v>9250</v>
      </c>
    </row>
    <row r="1016" spans="1:20" x14ac:dyDescent="0.2">
      <c r="A1016" t="s">
        <v>1711</v>
      </c>
      <c r="B1016" s="7">
        <v>46006</v>
      </c>
      <c r="C1016" s="7">
        <v>46053</v>
      </c>
      <c r="D1016" t="s">
        <v>1712</v>
      </c>
      <c r="E1016" t="s">
        <v>111</v>
      </c>
      <c r="F1016" t="s">
        <v>22</v>
      </c>
      <c r="G1016" t="s">
        <v>63</v>
      </c>
      <c r="H1016" t="s">
        <v>98</v>
      </c>
      <c r="I1016" t="s">
        <v>84</v>
      </c>
      <c r="J1016" t="s">
        <v>85</v>
      </c>
      <c r="K1016" t="s">
        <v>88</v>
      </c>
      <c r="L1016" t="s">
        <v>51</v>
      </c>
      <c r="M1016" s="46">
        <v>66200</v>
      </c>
      <c r="N1016">
        <v>8.3000000000000004E-2</v>
      </c>
      <c r="O1016">
        <v>0.35</v>
      </c>
      <c r="P1016" t="s">
        <v>38</v>
      </c>
      <c r="R1016">
        <v>47</v>
      </c>
      <c r="S1016">
        <v>5059.21</v>
      </c>
      <c r="T1016">
        <f>Deals_[[#This Row],[Amount]]*Deals_[[#This Row],[Probability_Pct]]</f>
        <v>23170</v>
      </c>
    </row>
    <row r="1017" spans="1:20" x14ac:dyDescent="0.2">
      <c r="A1017" t="s">
        <v>1713</v>
      </c>
      <c r="B1017" s="7">
        <v>46186</v>
      </c>
      <c r="C1017" s="7">
        <v>46293</v>
      </c>
      <c r="D1017" t="s">
        <v>1714</v>
      </c>
      <c r="E1017" t="s">
        <v>111</v>
      </c>
      <c r="F1017" t="s">
        <v>48</v>
      </c>
      <c r="G1017" t="s">
        <v>34</v>
      </c>
      <c r="H1017" t="s">
        <v>120</v>
      </c>
      <c r="I1017" t="s">
        <v>25</v>
      </c>
      <c r="J1017" t="s">
        <v>43</v>
      </c>
      <c r="K1017" t="s">
        <v>78</v>
      </c>
      <c r="L1017" t="s">
        <v>44</v>
      </c>
      <c r="M1017" s="46">
        <v>20500</v>
      </c>
      <c r="N1017">
        <v>0.126</v>
      </c>
      <c r="O1017">
        <v>0.55000000000000004</v>
      </c>
      <c r="P1017" t="s">
        <v>79</v>
      </c>
      <c r="R1017">
        <v>107</v>
      </c>
      <c r="S1017">
        <v>1492.9</v>
      </c>
      <c r="T1017">
        <f>Deals_[[#This Row],[Amount]]*Deals_[[#This Row],[Probability_Pct]]</f>
        <v>11275.000000000002</v>
      </c>
    </row>
    <row r="1018" spans="1:20" x14ac:dyDescent="0.2">
      <c r="A1018" t="s">
        <v>1715</v>
      </c>
      <c r="B1018" s="7">
        <v>45989</v>
      </c>
      <c r="C1018" s="7">
        <v>46096</v>
      </c>
      <c r="D1018" t="s">
        <v>217</v>
      </c>
      <c r="E1018" t="s">
        <v>62</v>
      </c>
      <c r="F1018" t="s">
        <v>74</v>
      </c>
      <c r="G1018" t="s">
        <v>34</v>
      </c>
      <c r="H1018" t="s">
        <v>24</v>
      </c>
      <c r="I1018" t="s">
        <v>65</v>
      </c>
      <c r="J1018" t="s">
        <v>57</v>
      </c>
      <c r="K1018" t="s">
        <v>88</v>
      </c>
      <c r="L1018" t="s">
        <v>44</v>
      </c>
      <c r="M1018" s="46">
        <v>111800</v>
      </c>
      <c r="N1018">
        <v>0.158</v>
      </c>
      <c r="O1018">
        <v>0.35</v>
      </c>
      <c r="P1018" t="s">
        <v>38</v>
      </c>
      <c r="R1018">
        <v>107</v>
      </c>
      <c r="S1018">
        <v>7843.55</v>
      </c>
      <c r="T1018">
        <f>Deals_[[#This Row],[Amount]]*Deals_[[#This Row],[Probability_Pct]]</f>
        <v>39130</v>
      </c>
    </row>
    <row r="1019" spans="1:20" x14ac:dyDescent="0.2">
      <c r="A1019" t="s">
        <v>1716</v>
      </c>
      <c r="B1019" s="7">
        <v>46262</v>
      </c>
      <c r="C1019" s="7">
        <v>46303</v>
      </c>
      <c r="D1019" t="s">
        <v>1599</v>
      </c>
      <c r="E1019" t="s">
        <v>91</v>
      </c>
      <c r="F1019" t="s">
        <v>48</v>
      </c>
      <c r="G1019" t="s">
        <v>23</v>
      </c>
      <c r="H1019" t="s">
        <v>77</v>
      </c>
      <c r="I1019" t="s">
        <v>35</v>
      </c>
      <c r="J1019" t="s">
        <v>85</v>
      </c>
      <c r="K1019" t="s">
        <v>58</v>
      </c>
      <c r="L1019" t="s">
        <v>44</v>
      </c>
      <c r="M1019" s="46">
        <v>15800</v>
      </c>
      <c r="N1019">
        <v>0.29599999999999999</v>
      </c>
      <c r="O1019">
        <v>0.75</v>
      </c>
      <c r="P1019" t="s">
        <v>59</v>
      </c>
      <c r="R1019">
        <v>41</v>
      </c>
      <c r="S1019">
        <v>926.3</v>
      </c>
      <c r="T1019">
        <f>Deals_[[#This Row],[Amount]]*Deals_[[#This Row],[Probability_Pct]]</f>
        <v>11850</v>
      </c>
    </row>
    <row r="1020" spans="1:20" x14ac:dyDescent="0.2">
      <c r="A1020" t="s">
        <v>1717</v>
      </c>
      <c r="B1020" s="7">
        <v>45964</v>
      </c>
      <c r="C1020" s="7">
        <v>46104</v>
      </c>
      <c r="D1020" t="s">
        <v>965</v>
      </c>
      <c r="E1020" t="s">
        <v>111</v>
      </c>
      <c r="F1020" t="s">
        <v>48</v>
      </c>
      <c r="G1020" t="s">
        <v>63</v>
      </c>
      <c r="H1020" t="s">
        <v>64</v>
      </c>
      <c r="I1020" t="s">
        <v>65</v>
      </c>
      <c r="J1020" t="s">
        <v>43</v>
      </c>
      <c r="K1020" t="s">
        <v>37</v>
      </c>
      <c r="L1020" t="s">
        <v>44</v>
      </c>
      <c r="M1020" s="46">
        <v>25400</v>
      </c>
      <c r="N1020">
        <v>0.188</v>
      </c>
      <c r="O1020">
        <v>0.1</v>
      </c>
      <c r="P1020" t="s">
        <v>38</v>
      </c>
      <c r="R1020">
        <v>140</v>
      </c>
      <c r="S1020">
        <v>1719.54</v>
      </c>
      <c r="T1020">
        <f>Deals_[[#This Row],[Amount]]*Deals_[[#This Row],[Probability_Pct]]</f>
        <v>2540</v>
      </c>
    </row>
    <row r="1021" spans="1:20" x14ac:dyDescent="0.2">
      <c r="A1021" t="s">
        <v>1718</v>
      </c>
      <c r="B1021" s="7">
        <v>46178</v>
      </c>
      <c r="C1021" s="7">
        <v>46206</v>
      </c>
      <c r="D1021" t="s">
        <v>438</v>
      </c>
      <c r="E1021" t="s">
        <v>82</v>
      </c>
      <c r="F1021" t="s">
        <v>74</v>
      </c>
      <c r="G1021" t="s">
        <v>55</v>
      </c>
      <c r="H1021" t="s">
        <v>120</v>
      </c>
      <c r="I1021" t="s">
        <v>35</v>
      </c>
      <c r="J1021" t="s">
        <v>36</v>
      </c>
      <c r="K1021" t="s">
        <v>88</v>
      </c>
      <c r="L1021" t="s">
        <v>28</v>
      </c>
      <c r="M1021" s="46">
        <v>303900</v>
      </c>
      <c r="N1021">
        <v>0.114</v>
      </c>
      <c r="O1021">
        <v>0.3</v>
      </c>
      <c r="P1021" t="s">
        <v>38</v>
      </c>
      <c r="R1021">
        <v>28</v>
      </c>
      <c r="S1021">
        <v>22443.87</v>
      </c>
      <c r="T1021">
        <f>Deals_[[#This Row],[Amount]]*Deals_[[#This Row],[Probability_Pct]]</f>
        <v>91170</v>
      </c>
    </row>
    <row r="1022" spans="1:20" x14ac:dyDescent="0.2">
      <c r="A1022" t="s">
        <v>1719</v>
      </c>
      <c r="B1022" s="7">
        <v>46227</v>
      </c>
      <c r="C1022" s="7">
        <v>46272</v>
      </c>
      <c r="D1022" t="s">
        <v>332</v>
      </c>
      <c r="E1022" t="s">
        <v>33</v>
      </c>
      <c r="F1022" t="s">
        <v>74</v>
      </c>
      <c r="G1022" t="s">
        <v>55</v>
      </c>
      <c r="H1022" t="s">
        <v>49</v>
      </c>
      <c r="I1022" t="s">
        <v>99</v>
      </c>
      <c r="J1022" t="s">
        <v>57</v>
      </c>
      <c r="K1022" t="s">
        <v>88</v>
      </c>
      <c r="L1022" t="s">
        <v>44</v>
      </c>
      <c r="M1022" s="46">
        <v>233600</v>
      </c>
      <c r="N1022">
        <v>3.5999999999999997E-2</v>
      </c>
      <c r="O1022">
        <v>0.3</v>
      </c>
      <c r="P1022" t="s">
        <v>38</v>
      </c>
      <c r="R1022">
        <v>45</v>
      </c>
      <c r="S1022">
        <v>18774.95</v>
      </c>
      <c r="T1022">
        <f>Deals_[[#This Row],[Amount]]*Deals_[[#This Row],[Probability_Pct]]</f>
        <v>70080</v>
      </c>
    </row>
    <row r="1023" spans="1:20" x14ac:dyDescent="0.2">
      <c r="A1023" t="s">
        <v>1720</v>
      </c>
      <c r="B1023" s="7">
        <v>46153</v>
      </c>
      <c r="C1023" s="7">
        <v>46265</v>
      </c>
      <c r="D1023" t="s">
        <v>1668</v>
      </c>
      <c r="E1023" t="s">
        <v>33</v>
      </c>
      <c r="F1023" t="s">
        <v>48</v>
      </c>
      <c r="G1023" t="s">
        <v>63</v>
      </c>
      <c r="H1023" t="s">
        <v>41</v>
      </c>
      <c r="I1023" t="s">
        <v>35</v>
      </c>
      <c r="J1023" t="s">
        <v>36</v>
      </c>
      <c r="K1023" t="s">
        <v>88</v>
      </c>
      <c r="L1023" t="s">
        <v>44</v>
      </c>
      <c r="M1023" s="46">
        <v>11100</v>
      </c>
      <c r="N1023">
        <v>0.13200000000000001</v>
      </c>
      <c r="O1023">
        <v>0.35</v>
      </c>
      <c r="P1023" t="s">
        <v>38</v>
      </c>
      <c r="R1023">
        <v>112</v>
      </c>
      <c r="S1023">
        <v>802.67</v>
      </c>
      <c r="T1023">
        <f>Deals_[[#This Row],[Amount]]*Deals_[[#This Row],[Probability_Pct]]</f>
        <v>3884.9999999999995</v>
      </c>
    </row>
    <row r="1024" spans="1:20" x14ac:dyDescent="0.2">
      <c r="A1024" t="s">
        <v>1721</v>
      </c>
      <c r="B1024" s="7">
        <v>46071</v>
      </c>
      <c r="C1024" s="7">
        <v>46209</v>
      </c>
      <c r="D1024" t="s">
        <v>192</v>
      </c>
      <c r="E1024" t="s">
        <v>62</v>
      </c>
      <c r="F1024" t="s">
        <v>22</v>
      </c>
      <c r="G1024" t="s">
        <v>23</v>
      </c>
      <c r="H1024" t="s">
        <v>98</v>
      </c>
      <c r="I1024" t="s">
        <v>84</v>
      </c>
      <c r="J1024" t="s">
        <v>36</v>
      </c>
      <c r="K1024" t="s">
        <v>37</v>
      </c>
      <c r="L1024" t="s">
        <v>44</v>
      </c>
      <c r="M1024" s="46">
        <v>31100</v>
      </c>
      <c r="N1024">
        <v>0.17499999999999999</v>
      </c>
      <c r="O1024">
        <v>0.1</v>
      </c>
      <c r="P1024" t="s">
        <v>38</v>
      </c>
      <c r="R1024">
        <v>138</v>
      </c>
      <c r="S1024">
        <v>2138.56</v>
      </c>
      <c r="T1024">
        <f>Deals_[[#This Row],[Amount]]*Deals_[[#This Row],[Probability_Pct]]</f>
        <v>3110</v>
      </c>
    </row>
    <row r="1025" spans="1:20" x14ac:dyDescent="0.2">
      <c r="A1025" t="s">
        <v>1722</v>
      </c>
      <c r="B1025" s="7">
        <v>46123</v>
      </c>
      <c r="C1025" s="7">
        <v>46169</v>
      </c>
      <c r="D1025" t="s">
        <v>298</v>
      </c>
      <c r="E1025" t="s">
        <v>62</v>
      </c>
      <c r="F1025" t="s">
        <v>74</v>
      </c>
      <c r="G1025" t="s">
        <v>34</v>
      </c>
      <c r="H1025" t="s">
        <v>64</v>
      </c>
      <c r="I1025" t="s">
        <v>99</v>
      </c>
      <c r="J1025" t="s">
        <v>26</v>
      </c>
      <c r="K1025" t="s">
        <v>50</v>
      </c>
      <c r="L1025" t="s">
        <v>51</v>
      </c>
      <c r="M1025" s="46">
        <v>240400</v>
      </c>
      <c r="N1025">
        <v>3.4000000000000002E-2</v>
      </c>
      <c r="O1025">
        <v>1</v>
      </c>
      <c r="P1025" t="s">
        <v>29</v>
      </c>
      <c r="R1025">
        <v>46</v>
      </c>
      <c r="S1025">
        <v>19360.53</v>
      </c>
      <c r="T1025">
        <f>Deals_[[#This Row],[Amount]]*Deals_[[#This Row],[Probability_Pct]]</f>
        <v>240400</v>
      </c>
    </row>
    <row r="1026" spans="1:20" x14ac:dyDescent="0.2">
      <c r="A1026" t="s">
        <v>1723</v>
      </c>
      <c r="B1026" s="7">
        <v>46191</v>
      </c>
      <c r="C1026" s="7">
        <v>46277</v>
      </c>
      <c r="D1026" t="s">
        <v>1724</v>
      </c>
      <c r="E1026" t="s">
        <v>33</v>
      </c>
      <c r="F1026" t="s">
        <v>48</v>
      </c>
      <c r="G1026" t="s">
        <v>55</v>
      </c>
      <c r="H1026" t="s">
        <v>69</v>
      </c>
      <c r="I1026" t="s">
        <v>35</v>
      </c>
      <c r="J1026" t="s">
        <v>26</v>
      </c>
      <c r="K1026" t="s">
        <v>27</v>
      </c>
      <c r="L1026" t="s">
        <v>44</v>
      </c>
      <c r="M1026" s="46">
        <v>13400</v>
      </c>
      <c r="N1026">
        <v>3.1E-2</v>
      </c>
      <c r="O1026">
        <v>0</v>
      </c>
      <c r="P1026" t="s">
        <v>29</v>
      </c>
      <c r="Q1026" t="s">
        <v>222</v>
      </c>
      <c r="R1026">
        <v>86</v>
      </c>
      <c r="S1026">
        <v>1082.07</v>
      </c>
      <c r="T1026">
        <f>Deals_[[#This Row],[Amount]]*Deals_[[#This Row],[Probability_Pct]]</f>
        <v>0</v>
      </c>
    </row>
    <row r="1027" spans="1:20" x14ac:dyDescent="0.2">
      <c r="A1027" t="s">
        <v>1725</v>
      </c>
      <c r="B1027" s="7">
        <v>45940</v>
      </c>
      <c r="C1027" s="7">
        <v>45982</v>
      </c>
      <c r="D1027" t="s">
        <v>105</v>
      </c>
      <c r="E1027" t="s">
        <v>62</v>
      </c>
      <c r="F1027" t="s">
        <v>22</v>
      </c>
      <c r="G1027" t="s">
        <v>92</v>
      </c>
      <c r="H1027" t="s">
        <v>137</v>
      </c>
      <c r="I1027" t="s">
        <v>42</v>
      </c>
      <c r="J1027" t="s">
        <v>36</v>
      </c>
      <c r="K1027" t="s">
        <v>78</v>
      </c>
      <c r="L1027" t="s">
        <v>28</v>
      </c>
      <c r="M1027" s="46">
        <v>83300</v>
      </c>
      <c r="N1027">
        <v>0</v>
      </c>
      <c r="O1027">
        <v>0.55000000000000004</v>
      </c>
      <c r="P1027" t="s">
        <v>79</v>
      </c>
      <c r="R1027">
        <v>42</v>
      </c>
      <c r="S1027">
        <v>6941.67</v>
      </c>
      <c r="T1027">
        <f>Deals_[[#This Row],[Amount]]*Deals_[[#This Row],[Probability_Pct]]</f>
        <v>45815.000000000007</v>
      </c>
    </row>
    <row r="1028" spans="1:20" x14ac:dyDescent="0.2">
      <c r="A1028" t="s">
        <v>1726</v>
      </c>
      <c r="B1028" s="7">
        <v>46243</v>
      </c>
      <c r="C1028" s="7">
        <v>46301</v>
      </c>
      <c r="D1028" t="s">
        <v>717</v>
      </c>
      <c r="E1028" t="s">
        <v>62</v>
      </c>
      <c r="F1028" t="s">
        <v>22</v>
      </c>
      <c r="G1028" t="s">
        <v>92</v>
      </c>
      <c r="H1028" t="s">
        <v>49</v>
      </c>
      <c r="I1028" t="s">
        <v>42</v>
      </c>
      <c r="J1028" t="s">
        <v>36</v>
      </c>
      <c r="K1028" t="s">
        <v>106</v>
      </c>
      <c r="L1028" t="s">
        <v>28</v>
      </c>
      <c r="M1028" s="46">
        <v>59800</v>
      </c>
      <c r="N1028">
        <v>0.184</v>
      </c>
      <c r="O1028">
        <v>0.2</v>
      </c>
      <c r="P1028" t="s">
        <v>38</v>
      </c>
      <c r="R1028">
        <v>58</v>
      </c>
      <c r="S1028">
        <v>4065.92</v>
      </c>
      <c r="T1028">
        <f>Deals_[[#This Row],[Amount]]*Deals_[[#This Row],[Probability_Pct]]</f>
        <v>11960</v>
      </c>
    </row>
    <row r="1029" spans="1:20" x14ac:dyDescent="0.2">
      <c r="A1029" t="s">
        <v>1727</v>
      </c>
      <c r="B1029" s="7">
        <v>46238</v>
      </c>
      <c r="C1029" s="7">
        <v>46277</v>
      </c>
      <c r="D1029" t="s">
        <v>1728</v>
      </c>
      <c r="E1029" t="s">
        <v>68</v>
      </c>
      <c r="F1029" t="s">
        <v>22</v>
      </c>
      <c r="G1029" t="s">
        <v>55</v>
      </c>
      <c r="H1029" t="s">
        <v>98</v>
      </c>
      <c r="I1029" t="s">
        <v>42</v>
      </c>
      <c r="J1029" t="s">
        <v>57</v>
      </c>
      <c r="K1029" t="s">
        <v>50</v>
      </c>
      <c r="L1029" t="s">
        <v>44</v>
      </c>
      <c r="M1029" s="46">
        <v>36400</v>
      </c>
      <c r="N1029">
        <v>0.11799999999999999</v>
      </c>
      <c r="O1029">
        <v>0.95</v>
      </c>
      <c r="P1029" t="s">
        <v>29</v>
      </c>
      <c r="R1029">
        <v>39</v>
      </c>
      <c r="S1029">
        <v>2675.94</v>
      </c>
      <c r="T1029">
        <f>Deals_[[#This Row],[Amount]]*Deals_[[#This Row],[Probability_Pct]]</f>
        <v>34580</v>
      </c>
    </row>
    <row r="1030" spans="1:20" x14ac:dyDescent="0.2">
      <c r="A1030" t="s">
        <v>1729</v>
      </c>
      <c r="B1030" s="7">
        <v>46093</v>
      </c>
      <c r="C1030" s="7">
        <v>46121</v>
      </c>
      <c r="D1030" t="s">
        <v>115</v>
      </c>
      <c r="E1030" t="s">
        <v>91</v>
      </c>
      <c r="F1030" t="s">
        <v>74</v>
      </c>
      <c r="G1030" t="s">
        <v>34</v>
      </c>
      <c r="H1030" t="s">
        <v>98</v>
      </c>
      <c r="I1030" t="s">
        <v>84</v>
      </c>
      <c r="J1030" t="s">
        <v>26</v>
      </c>
      <c r="K1030" t="s">
        <v>106</v>
      </c>
      <c r="L1030" t="s">
        <v>44</v>
      </c>
      <c r="M1030" s="46">
        <v>246700</v>
      </c>
      <c r="N1030">
        <v>0</v>
      </c>
      <c r="O1030">
        <v>0.2</v>
      </c>
      <c r="P1030" t="s">
        <v>38</v>
      </c>
      <c r="R1030">
        <v>28</v>
      </c>
      <c r="S1030">
        <v>20558.330000000002</v>
      </c>
      <c r="T1030">
        <f>Deals_[[#This Row],[Amount]]*Deals_[[#This Row],[Probability_Pct]]</f>
        <v>49340</v>
      </c>
    </row>
    <row r="1031" spans="1:20" x14ac:dyDescent="0.2">
      <c r="A1031" t="s">
        <v>1730</v>
      </c>
      <c r="B1031" s="7">
        <v>45966</v>
      </c>
      <c r="C1031" s="7">
        <v>46066</v>
      </c>
      <c r="D1031" t="s">
        <v>1731</v>
      </c>
      <c r="E1031" t="s">
        <v>62</v>
      </c>
      <c r="F1031" t="s">
        <v>74</v>
      </c>
      <c r="G1031" t="s">
        <v>92</v>
      </c>
      <c r="H1031" t="s">
        <v>95</v>
      </c>
      <c r="I1031" t="s">
        <v>65</v>
      </c>
      <c r="J1031" t="s">
        <v>36</v>
      </c>
      <c r="K1031" t="s">
        <v>50</v>
      </c>
      <c r="L1031" t="s">
        <v>28</v>
      </c>
      <c r="M1031" s="46">
        <v>81400</v>
      </c>
      <c r="N1031">
        <v>0.157</v>
      </c>
      <c r="O1031">
        <v>1</v>
      </c>
      <c r="P1031" t="s">
        <v>29</v>
      </c>
      <c r="R1031">
        <v>100</v>
      </c>
      <c r="S1031">
        <v>5720.02</v>
      </c>
      <c r="T1031">
        <f>Deals_[[#This Row],[Amount]]*Deals_[[#This Row],[Probability_Pct]]</f>
        <v>81400</v>
      </c>
    </row>
    <row r="1032" spans="1:20" x14ac:dyDescent="0.2">
      <c r="A1032" t="s">
        <v>1732</v>
      </c>
      <c r="B1032" s="7">
        <v>46008</v>
      </c>
      <c r="C1032" s="7">
        <v>46117</v>
      </c>
      <c r="D1032" t="s">
        <v>1733</v>
      </c>
      <c r="E1032" t="s">
        <v>62</v>
      </c>
      <c r="F1032" t="s">
        <v>48</v>
      </c>
      <c r="G1032" t="s">
        <v>55</v>
      </c>
      <c r="H1032" t="s">
        <v>95</v>
      </c>
      <c r="I1032" t="s">
        <v>25</v>
      </c>
      <c r="J1032" t="s">
        <v>26</v>
      </c>
      <c r="K1032" t="s">
        <v>78</v>
      </c>
      <c r="L1032" t="s">
        <v>51</v>
      </c>
      <c r="M1032" s="46">
        <v>15000</v>
      </c>
      <c r="N1032">
        <v>0.152</v>
      </c>
      <c r="O1032">
        <v>0.55000000000000004</v>
      </c>
      <c r="P1032" t="s">
        <v>79</v>
      </c>
      <c r="R1032">
        <v>109</v>
      </c>
      <c r="S1032">
        <v>1060.6199999999999</v>
      </c>
      <c r="T1032">
        <f>Deals_[[#This Row],[Amount]]*Deals_[[#This Row],[Probability_Pct]]</f>
        <v>8250</v>
      </c>
    </row>
    <row r="1033" spans="1:20" x14ac:dyDescent="0.2">
      <c r="A1033" t="s">
        <v>1734</v>
      </c>
      <c r="B1033" s="7">
        <v>45986</v>
      </c>
      <c r="C1033" s="7">
        <v>46006</v>
      </c>
      <c r="D1033" t="s">
        <v>1017</v>
      </c>
      <c r="E1033" t="s">
        <v>62</v>
      </c>
      <c r="F1033" t="s">
        <v>74</v>
      </c>
      <c r="G1033" t="s">
        <v>63</v>
      </c>
      <c r="H1033" t="s">
        <v>83</v>
      </c>
      <c r="I1033" t="s">
        <v>65</v>
      </c>
      <c r="J1033" t="s">
        <v>85</v>
      </c>
      <c r="K1033" t="s">
        <v>50</v>
      </c>
      <c r="L1033" t="s">
        <v>51</v>
      </c>
      <c r="M1033" s="46">
        <v>150600</v>
      </c>
      <c r="N1033">
        <v>0.19800000000000001</v>
      </c>
      <c r="O1033">
        <v>1</v>
      </c>
      <c r="P1033" t="s">
        <v>29</v>
      </c>
      <c r="R1033">
        <v>20</v>
      </c>
      <c r="S1033">
        <v>10068.69</v>
      </c>
      <c r="T1033">
        <f>Deals_[[#This Row],[Amount]]*Deals_[[#This Row],[Probability_Pct]]</f>
        <v>150600</v>
      </c>
    </row>
    <row r="1034" spans="1:20" x14ac:dyDescent="0.2">
      <c r="A1034" t="s">
        <v>1735</v>
      </c>
      <c r="B1034" s="7">
        <v>46243</v>
      </c>
      <c r="C1034" s="7">
        <v>46324</v>
      </c>
      <c r="D1034" t="s">
        <v>564</v>
      </c>
      <c r="E1034" t="s">
        <v>33</v>
      </c>
      <c r="F1034" t="s">
        <v>48</v>
      </c>
      <c r="G1034" t="s">
        <v>92</v>
      </c>
      <c r="H1034" t="s">
        <v>41</v>
      </c>
      <c r="I1034" t="s">
        <v>99</v>
      </c>
      <c r="J1034" t="s">
        <v>43</v>
      </c>
      <c r="K1034" t="s">
        <v>106</v>
      </c>
      <c r="L1034" t="s">
        <v>44</v>
      </c>
      <c r="M1034" s="46">
        <v>23800</v>
      </c>
      <c r="N1034">
        <v>0.153</v>
      </c>
      <c r="O1034">
        <v>0.2</v>
      </c>
      <c r="P1034" t="s">
        <v>38</v>
      </c>
      <c r="R1034">
        <v>81</v>
      </c>
      <c r="S1034">
        <v>1679.51</v>
      </c>
      <c r="T1034">
        <f>Deals_[[#This Row],[Amount]]*Deals_[[#This Row],[Probability_Pct]]</f>
        <v>4760</v>
      </c>
    </row>
    <row r="1035" spans="1:20" x14ac:dyDescent="0.2">
      <c r="A1035" t="s">
        <v>1736</v>
      </c>
      <c r="B1035" s="7">
        <v>46095</v>
      </c>
      <c r="C1035" s="7">
        <v>46165</v>
      </c>
      <c r="D1035" t="s">
        <v>746</v>
      </c>
      <c r="E1035" t="s">
        <v>91</v>
      </c>
      <c r="F1035" t="s">
        <v>48</v>
      </c>
      <c r="G1035" t="s">
        <v>92</v>
      </c>
      <c r="H1035" t="s">
        <v>24</v>
      </c>
      <c r="I1035" t="s">
        <v>42</v>
      </c>
      <c r="J1035" t="s">
        <v>36</v>
      </c>
      <c r="K1035" t="s">
        <v>88</v>
      </c>
      <c r="L1035" t="s">
        <v>51</v>
      </c>
      <c r="M1035" s="46">
        <v>28700</v>
      </c>
      <c r="N1035">
        <v>8.2000000000000003E-2</v>
      </c>
      <c r="O1035">
        <v>0.3</v>
      </c>
      <c r="P1035" t="s">
        <v>38</v>
      </c>
      <c r="R1035">
        <v>70</v>
      </c>
      <c r="S1035">
        <v>2195.37</v>
      </c>
      <c r="T1035">
        <f>Deals_[[#This Row],[Amount]]*Deals_[[#This Row],[Probability_Pct]]</f>
        <v>8610</v>
      </c>
    </row>
    <row r="1036" spans="1:20" x14ac:dyDescent="0.2">
      <c r="A1036" t="s">
        <v>1737</v>
      </c>
      <c r="B1036" s="7">
        <v>46044</v>
      </c>
      <c r="C1036" s="7">
        <v>46087</v>
      </c>
      <c r="D1036" t="s">
        <v>1168</v>
      </c>
      <c r="E1036" t="s">
        <v>111</v>
      </c>
      <c r="F1036" t="s">
        <v>22</v>
      </c>
      <c r="G1036" t="s">
        <v>23</v>
      </c>
      <c r="H1036" t="s">
        <v>83</v>
      </c>
      <c r="I1036" t="s">
        <v>35</v>
      </c>
      <c r="J1036" t="s">
        <v>43</v>
      </c>
      <c r="K1036" t="s">
        <v>50</v>
      </c>
      <c r="L1036" t="s">
        <v>44</v>
      </c>
      <c r="M1036" s="46">
        <v>88100</v>
      </c>
      <c r="N1036">
        <v>7.8E-2</v>
      </c>
      <c r="O1036">
        <v>1</v>
      </c>
      <c r="P1036" t="s">
        <v>29</v>
      </c>
      <c r="R1036">
        <v>43</v>
      </c>
      <c r="S1036">
        <v>6767.58</v>
      </c>
      <c r="T1036">
        <f>Deals_[[#This Row],[Amount]]*Deals_[[#This Row],[Probability_Pct]]</f>
        <v>88100</v>
      </c>
    </row>
    <row r="1037" spans="1:20" x14ac:dyDescent="0.2">
      <c r="A1037" t="s">
        <v>1738</v>
      </c>
      <c r="B1037" s="7">
        <v>46029</v>
      </c>
      <c r="C1037" s="7">
        <v>46147</v>
      </c>
      <c r="D1037" t="s">
        <v>736</v>
      </c>
      <c r="E1037" t="s">
        <v>82</v>
      </c>
      <c r="F1037" t="s">
        <v>22</v>
      </c>
      <c r="G1037" t="s">
        <v>63</v>
      </c>
      <c r="H1037" t="s">
        <v>49</v>
      </c>
      <c r="I1037" t="s">
        <v>65</v>
      </c>
      <c r="J1037" t="s">
        <v>85</v>
      </c>
      <c r="K1037" t="s">
        <v>88</v>
      </c>
      <c r="L1037" t="s">
        <v>51</v>
      </c>
      <c r="M1037" s="46">
        <v>29000</v>
      </c>
      <c r="N1037">
        <v>0.11899999999999999</v>
      </c>
      <c r="O1037">
        <v>0.35</v>
      </c>
      <c r="P1037" t="s">
        <v>38</v>
      </c>
      <c r="R1037">
        <v>118</v>
      </c>
      <c r="S1037">
        <v>2127.98</v>
      </c>
      <c r="T1037">
        <f>Deals_[[#This Row],[Amount]]*Deals_[[#This Row],[Probability_Pct]]</f>
        <v>10150</v>
      </c>
    </row>
    <row r="1038" spans="1:20" x14ac:dyDescent="0.2">
      <c r="A1038" t="s">
        <v>1739</v>
      </c>
      <c r="B1038" s="7">
        <v>46122</v>
      </c>
      <c r="C1038" s="7">
        <v>46213</v>
      </c>
      <c r="D1038" t="s">
        <v>1740</v>
      </c>
      <c r="E1038" t="s">
        <v>111</v>
      </c>
      <c r="F1038" t="s">
        <v>74</v>
      </c>
      <c r="G1038" t="s">
        <v>92</v>
      </c>
      <c r="H1038" t="s">
        <v>95</v>
      </c>
      <c r="I1038" t="s">
        <v>25</v>
      </c>
      <c r="J1038" t="s">
        <v>43</v>
      </c>
      <c r="K1038" t="s">
        <v>58</v>
      </c>
      <c r="L1038" t="s">
        <v>28</v>
      </c>
      <c r="M1038" s="46">
        <v>274100</v>
      </c>
      <c r="N1038">
        <v>0.16400000000000001</v>
      </c>
      <c r="O1038">
        <v>0.8</v>
      </c>
      <c r="P1038" t="s">
        <v>59</v>
      </c>
      <c r="R1038">
        <v>91</v>
      </c>
      <c r="S1038">
        <v>19102.689999999999</v>
      </c>
      <c r="T1038">
        <f>Deals_[[#This Row],[Amount]]*Deals_[[#This Row],[Probability_Pct]]</f>
        <v>219280</v>
      </c>
    </row>
    <row r="1039" spans="1:20" x14ac:dyDescent="0.2">
      <c r="A1039" t="s">
        <v>1741</v>
      </c>
      <c r="B1039" s="7">
        <v>46105</v>
      </c>
      <c r="C1039" s="7">
        <v>46133</v>
      </c>
      <c r="D1039" t="s">
        <v>204</v>
      </c>
      <c r="E1039" t="s">
        <v>62</v>
      </c>
      <c r="F1039" t="s">
        <v>48</v>
      </c>
      <c r="G1039" t="s">
        <v>34</v>
      </c>
      <c r="H1039" t="s">
        <v>77</v>
      </c>
      <c r="I1039" t="s">
        <v>25</v>
      </c>
      <c r="J1039" t="s">
        <v>57</v>
      </c>
      <c r="K1039" t="s">
        <v>50</v>
      </c>
      <c r="L1039" t="s">
        <v>44</v>
      </c>
      <c r="M1039" s="46">
        <v>21700</v>
      </c>
      <c r="N1039">
        <v>7.0999999999999994E-2</v>
      </c>
      <c r="O1039">
        <v>1</v>
      </c>
      <c r="P1039" t="s">
        <v>29</v>
      </c>
      <c r="R1039">
        <v>28</v>
      </c>
      <c r="S1039">
        <v>1680.66</v>
      </c>
      <c r="T1039">
        <f>Deals_[[#This Row],[Amount]]*Deals_[[#This Row],[Probability_Pct]]</f>
        <v>21700</v>
      </c>
    </row>
    <row r="1040" spans="1:20" x14ac:dyDescent="0.2">
      <c r="A1040" t="s">
        <v>1742</v>
      </c>
      <c r="B1040" s="7">
        <v>46105</v>
      </c>
      <c r="C1040" s="7">
        <v>46182</v>
      </c>
      <c r="D1040" t="s">
        <v>655</v>
      </c>
      <c r="E1040" t="s">
        <v>111</v>
      </c>
      <c r="F1040" t="s">
        <v>48</v>
      </c>
      <c r="G1040" t="s">
        <v>55</v>
      </c>
      <c r="H1040" t="s">
        <v>95</v>
      </c>
      <c r="I1040" t="s">
        <v>42</v>
      </c>
      <c r="J1040" t="s">
        <v>57</v>
      </c>
      <c r="K1040" t="s">
        <v>78</v>
      </c>
      <c r="L1040" t="s">
        <v>44</v>
      </c>
      <c r="M1040" s="46">
        <v>12300</v>
      </c>
      <c r="N1040">
        <v>0</v>
      </c>
      <c r="O1040">
        <v>0.6</v>
      </c>
      <c r="P1040" t="s">
        <v>79</v>
      </c>
      <c r="R1040">
        <v>77</v>
      </c>
      <c r="S1040">
        <v>1025</v>
      </c>
      <c r="T1040">
        <f>Deals_[[#This Row],[Amount]]*Deals_[[#This Row],[Probability_Pct]]</f>
        <v>7380</v>
      </c>
    </row>
    <row r="1041" spans="1:20" x14ac:dyDescent="0.2">
      <c r="A1041" t="s">
        <v>1743</v>
      </c>
      <c r="B1041" s="7">
        <v>45979</v>
      </c>
      <c r="C1041" s="7">
        <v>46105</v>
      </c>
      <c r="D1041" t="s">
        <v>836</v>
      </c>
      <c r="E1041" t="s">
        <v>62</v>
      </c>
      <c r="F1041" t="s">
        <v>22</v>
      </c>
      <c r="G1041" t="s">
        <v>34</v>
      </c>
      <c r="H1041" t="s">
        <v>49</v>
      </c>
      <c r="I1041" t="s">
        <v>25</v>
      </c>
      <c r="J1041" t="s">
        <v>26</v>
      </c>
      <c r="K1041" t="s">
        <v>58</v>
      </c>
      <c r="L1041" t="s">
        <v>44</v>
      </c>
      <c r="M1041" s="46">
        <v>39500</v>
      </c>
      <c r="N1041">
        <v>0.16300000000000001</v>
      </c>
      <c r="O1041">
        <v>0.75</v>
      </c>
      <c r="P1041" t="s">
        <v>59</v>
      </c>
      <c r="R1041">
        <v>126</v>
      </c>
      <c r="S1041">
        <v>2756.11</v>
      </c>
      <c r="T1041">
        <f>Deals_[[#This Row],[Amount]]*Deals_[[#This Row],[Probability_Pct]]</f>
        <v>29625</v>
      </c>
    </row>
    <row r="1042" spans="1:20" x14ac:dyDescent="0.2">
      <c r="A1042" t="s">
        <v>1744</v>
      </c>
      <c r="B1042" s="7">
        <v>46164</v>
      </c>
      <c r="C1042" s="7">
        <v>46192</v>
      </c>
      <c r="D1042" t="s">
        <v>1191</v>
      </c>
      <c r="E1042" t="s">
        <v>82</v>
      </c>
      <c r="F1042" t="s">
        <v>48</v>
      </c>
      <c r="G1042" t="s">
        <v>63</v>
      </c>
      <c r="H1042" t="s">
        <v>69</v>
      </c>
      <c r="I1042" t="s">
        <v>25</v>
      </c>
      <c r="J1042" t="s">
        <v>57</v>
      </c>
      <c r="K1042" t="s">
        <v>106</v>
      </c>
      <c r="L1042" t="s">
        <v>44</v>
      </c>
      <c r="M1042" s="46">
        <v>12700</v>
      </c>
      <c r="N1042">
        <v>0.107</v>
      </c>
      <c r="O1042">
        <v>0.2</v>
      </c>
      <c r="P1042" t="s">
        <v>38</v>
      </c>
      <c r="R1042">
        <v>28</v>
      </c>
      <c r="S1042">
        <v>944.75</v>
      </c>
      <c r="T1042">
        <f>Deals_[[#This Row],[Amount]]*Deals_[[#This Row],[Probability_Pct]]</f>
        <v>2540</v>
      </c>
    </row>
    <row r="1043" spans="1:20" x14ac:dyDescent="0.2">
      <c r="A1043" t="s">
        <v>1745</v>
      </c>
      <c r="B1043" s="7">
        <v>46222</v>
      </c>
      <c r="C1043" s="7">
        <v>46265</v>
      </c>
      <c r="D1043" t="s">
        <v>1504</v>
      </c>
      <c r="E1043" t="s">
        <v>21</v>
      </c>
      <c r="F1043" t="s">
        <v>74</v>
      </c>
      <c r="G1043" t="s">
        <v>92</v>
      </c>
      <c r="H1043" t="s">
        <v>77</v>
      </c>
      <c r="I1043" t="s">
        <v>35</v>
      </c>
      <c r="J1043" t="s">
        <v>57</v>
      </c>
      <c r="K1043" t="s">
        <v>50</v>
      </c>
      <c r="L1043" t="s">
        <v>28</v>
      </c>
      <c r="M1043" s="46">
        <v>271800</v>
      </c>
      <c r="N1043">
        <v>0.17699999999999999</v>
      </c>
      <c r="O1043">
        <v>1</v>
      </c>
      <c r="P1043" t="s">
        <v>29</v>
      </c>
      <c r="R1043">
        <v>43</v>
      </c>
      <c r="S1043">
        <v>18649.55</v>
      </c>
      <c r="T1043">
        <f>Deals_[[#This Row],[Amount]]*Deals_[[#This Row],[Probability_Pct]]</f>
        <v>271800</v>
      </c>
    </row>
    <row r="1044" spans="1:20" x14ac:dyDescent="0.2">
      <c r="A1044" t="s">
        <v>1746</v>
      </c>
      <c r="B1044" s="7">
        <v>46098</v>
      </c>
      <c r="C1044" s="7">
        <v>46218</v>
      </c>
      <c r="D1044" t="s">
        <v>1674</v>
      </c>
      <c r="E1044" t="s">
        <v>91</v>
      </c>
      <c r="F1044" t="s">
        <v>22</v>
      </c>
      <c r="G1044" t="s">
        <v>55</v>
      </c>
      <c r="H1044" t="s">
        <v>77</v>
      </c>
      <c r="I1044" t="s">
        <v>25</v>
      </c>
      <c r="J1044" t="s">
        <v>85</v>
      </c>
      <c r="K1044" t="s">
        <v>37</v>
      </c>
      <c r="L1044" t="s">
        <v>51</v>
      </c>
      <c r="M1044" s="46">
        <v>55600</v>
      </c>
      <c r="N1044">
        <v>6.3E-2</v>
      </c>
      <c r="O1044">
        <v>0.1</v>
      </c>
      <c r="P1044" t="s">
        <v>38</v>
      </c>
      <c r="R1044">
        <v>120</v>
      </c>
      <c r="S1044">
        <v>4342.41</v>
      </c>
      <c r="T1044">
        <f>Deals_[[#This Row],[Amount]]*Deals_[[#This Row],[Probability_Pct]]</f>
        <v>5560</v>
      </c>
    </row>
    <row r="1045" spans="1:20" x14ac:dyDescent="0.2">
      <c r="A1045" t="s">
        <v>1747</v>
      </c>
      <c r="B1045" s="7">
        <v>46065</v>
      </c>
      <c r="C1045" s="7">
        <v>46213</v>
      </c>
      <c r="D1045" t="s">
        <v>1319</v>
      </c>
      <c r="E1045" t="s">
        <v>68</v>
      </c>
      <c r="F1045" t="s">
        <v>22</v>
      </c>
      <c r="G1045" t="s">
        <v>23</v>
      </c>
      <c r="H1045" t="s">
        <v>69</v>
      </c>
      <c r="I1045" t="s">
        <v>65</v>
      </c>
      <c r="J1045" t="s">
        <v>57</v>
      </c>
      <c r="K1045" t="s">
        <v>78</v>
      </c>
      <c r="L1045" t="s">
        <v>28</v>
      </c>
      <c r="M1045" s="46">
        <v>51900</v>
      </c>
      <c r="N1045">
        <v>0.114</v>
      </c>
      <c r="O1045">
        <v>0.55000000000000004</v>
      </c>
      <c r="P1045" t="s">
        <v>79</v>
      </c>
      <c r="R1045">
        <v>148</v>
      </c>
      <c r="S1045">
        <v>3831.88</v>
      </c>
      <c r="T1045">
        <f>Deals_[[#This Row],[Amount]]*Deals_[[#This Row],[Probability_Pct]]</f>
        <v>28545.000000000004</v>
      </c>
    </row>
    <row r="1046" spans="1:20" x14ac:dyDescent="0.2">
      <c r="A1046" t="s">
        <v>1748</v>
      </c>
      <c r="B1046" s="7">
        <v>46032</v>
      </c>
      <c r="C1046" s="7">
        <v>46078</v>
      </c>
      <c r="D1046" t="s">
        <v>1011</v>
      </c>
      <c r="E1046" t="s">
        <v>111</v>
      </c>
      <c r="F1046" t="s">
        <v>22</v>
      </c>
      <c r="G1046" t="s">
        <v>63</v>
      </c>
      <c r="H1046" t="s">
        <v>41</v>
      </c>
      <c r="I1046" t="s">
        <v>35</v>
      </c>
      <c r="J1046" t="s">
        <v>26</v>
      </c>
      <c r="K1046" t="s">
        <v>27</v>
      </c>
      <c r="L1046" t="s">
        <v>51</v>
      </c>
      <c r="M1046" s="46">
        <v>45400</v>
      </c>
      <c r="N1046">
        <v>9.5000000000000001E-2</v>
      </c>
      <c r="O1046">
        <v>0</v>
      </c>
      <c r="P1046" t="s">
        <v>29</v>
      </c>
      <c r="Q1046" t="s">
        <v>188</v>
      </c>
      <c r="R1046">
        <v>46</v>
      </c>
      <c r="S1046">
        <v>3425.31</v>
      </c>
      <c r="T1046">
        <f>Deals_[[#This Row],[Amount]]*Deals_[[#This Row],[Probability_Pct]]</f>
        <v>0</v>
      </c>
    </row>
    <row r="1047" spans="1:20" x14ac:dyDescent="0.2">
      <c r="A1047" t="s">
        <v>1749</v>
      </c>
      <c r="B1047" s="7">
        <v>46201</v>
      </c>
      <c r="C1047" s="7">
        <v>46319</v>
      </c>
      <c r="D1047" t="s">
        <v>1750</v>
      </c>
      <c r="E1047" t="s">
        <v>68</v>
      </c>
      <c r="F1047" t="s">
        <v>22</v>
      </c>
      <c r="G1047" t="s">
        <v>63</v>
      </c>
      <c r="H1047" t="s">
        <v>56</v>
      </c>
      <c r="I1047" t="s">
        <v>35</v>
      </c>
      <c r="J1047" t="s">
        <v>85</v>
      </c>
      <c r="K1047" t="s">
        <v>88</v>
      </c>
      <c r="L1047" t="s">
        <v>51</v>
      </c>
      <c r="M1047" s="46">
        <v>82600</v>
      </c>
      <c r="N1047">
        <v>0.14199999999999999</v>
      </c>
      <c r="O1047">
        <v>0.35</v>
      </c>
      <c r="P1047" t="s">
        <v>38</v>
      </c>
      <c r="R1047">
        <v>118</v>
      </c>
      <c r="S1047">
        <v>5903.93</v>
      </c>
      <c r="T1047">
        <f>Deals_[[#This Row],[Amount]]*Deals_[[#This Row],[Probability_Pct]]</f>
        <v>28909.999999999996</v>
      </c>
    </row>
    <row r="1048" spans="1:20" x14ac:dyDescent="0.2">
      <c r="A1048" t="s">
        <v>1751</v>
      </c>
      <c r="B1048" s="7">
        <v>46142</v>
      </c>
      <c r="C1048" s="7">
        <v>46203</v>
      </c>
      <c r="D1048" t="s">
        <v>289</v>
      </c>
      <c r="E1048" t="s">
        <v>62</v>
      </c>
      <c r="F1048" t="s">
        <v>48</v>
      </c>
      <c r="G1048" t="s">
        <v>92</v>
      </c>
      <c r="H1048" t="s">
        <v>137</v>
      </c>
      <c r="I1048" t="s">
        <v>42</v>
      </c>
      <c r="J1048" t="s">
        <v>57</v>
      </c>
      <c r="K1048" t="s">
        <v>58</v>
      </c>
      <c r="L1048" t="s">
        <v>28</v>
      </c>
      <c r="M1048" s="46">
        <v>16200</v>
      </c>
      <c r="N1048">
        <v>8.7999999999999995E-2</v>
      </c>
      <c r="O1048">
        <v>0.75</v>
      </c>
      <c r="P1048" t="s">
        <v>59</v>
      </c>
      <c r="R1048">
        <v>61</v>
      </c>
      <c r="S1048">
        <v>1231.1199999999999</v>
      </c>
      <c r="T1048">
        <f>Deals_[[#This Row],[Amount]]*Deals_[[#This Row],[Probability_Pct]]</f>
        <v>12150</v>
      </c>
    </row>
    <row r="1049" spans="1:20" x14ac:dyDescent="0.2">
      <c r="A1049" t="s">
        <v>1752</v>
      </c>
      <c r="B1049" s="7">
        <v>46123</v>
      </c>
      <c r="C1049" s="7">
        <v>46191</v>
      </c>
      <c r="D1049" t="s">
        <v>330</v>
      </c>
      <c r="E1049" t="s">
        <v>91</v>
      </c>
      <c r="F1049" t="s">
        <v>48</v>
      </c>
      <c r="G1049" t="s">
        <v>34</v>
      </c>
      <c r="H1049" t="s">
        <v>64</v>
      </c>
      <c r="I1049" t="s">
        <v>42</v>
      </c>
      <c r="J1049" t="s">
        <v>57</v>
      </c>
      <c r="K1049" t="s">
        <v>58</v>
      </c>
      <c r="L1049" t="s">
        <v>28</v>
      </c>
      <c r="M1049" s="46">
        <v>18500</v>
      </c>
      <c r="N1049">
        <v>7.0999999999999994E-2</v>
      </c>
      <c r="O1049">
        <v>0.75</v>
      </c>
      <c r="P1049" t="s">
        <v>59</v>
      </c>
      <c r="R1049">
        <v>68</v>
      </c>
      <c r="S1049">
        <v>1431.68</v>
      </c>
      <c r="T1049">
        <f>Deals_[[#This Row],[Amount]]*Deals_[[#This Row],[Probability_Pct]]</f>
        <v>13875</v>
      </c>
    </row>
    <row r="1050" spans="1:20" x14ac:dyDescent="0.2">
      <c r="A1050" t="s">
        <v>1753</v>
      </c>
      <c r="B1050" s="7">
        <v>46099</v>
      </c>
      <c r="C1050" s="7">
        <v>46200</v>
      </c>
      <c r="D1050" t="s">
        <v>1754</v>
      </c>
      <c r="E1050" t="s">
        <v>33</v>
      </c>
      <c r="F1050" t="s">
        <v>48</v>
      </c>
      <c r="G1050" t="s">
        <v>92</v>
      </c>
      <c r="H1050" t="s">
        <v>64</v>
      </c>
      <c r="I1050" t="s">
        <v>84</v>
      </c>
      <c r="J1050" t="s">
        <v>26</v>
      </c>
      <c r="K1050" t="s">
        <v>37</v>
      </c>
      <c r="L1050" t="s">
        <v>51</v>
      </c>
      <c r="M1050" s="46">
        <v>12600</v>
      </c>
      <c r="N1050">
        <v>0.10299999999999999</v>
      </c>
      <c r="O1050">
        <v>0.05</v>
      </c>
      <c r="P1050" t="s">
        <v>38</v>
      </c>
      <c r="R1050">
        <v>101</v>
      </c>
      <c r="S1050">
        <v>942.36</v>
      </c>
      <c r="T1050">
        <f>Deals_[[#This Row],[Amount]]*Deals_[[#This Row],[Probability_Pct]]</f>
        <v>630</v>
      </c>
    </row>
    <row r="1051" spans="1:20" x14ac:dyDescent="0.2">
      <c r="A1051" t="s">
        <v>1755</v>
      </c>
      <c r="B1051" s="7">
        <v>45965</v>
      </c>
      <c r="C1051" s="7">
        <v>46102</v>
      </c>
      <c r="D1051" t="s">
        <v>461</v>
      </c>
      <c r="E1051" t="s">
        <v>82</v>
      </c>
      <c r="F1051" t="s">
        <v>48</v>
      </c>
      <c r="G1051" t="s">
        <v>34</v>
      </c>
      <c r="H1051" t="s">
        <v>41</v>
      </c>
      <c r="I1051" t="s">
        <v>35</v>
      </c>
      <c r="J1051" t="s">
        <v>36</v>
      </c>
      <c r="K1051" t="s">
        <v>50</v>
      </c>
      <c r="L1051" t="s">
        <v>51</v>
      </c>
      <c r="M1051" s="46">
        <v>6400</v>
      </c>
      <c r="N1051">
        <v>0.14000000000000001</v>
      </c>
      <c r="O1051">
        <v>0.95</v>
      </c>
      <c r="P1051" t="s">
        <v>29</v>
      </c>
      <c r="R1051">
        <v>137</v>
      </c>
      <c r="S1051">
        <v>458.48</v>
      </c>
      <c r="T1051">
        <f>Deals_[[#This Row],[Amount]]*Deals_[[#This Row],[Probability_Pct]]</f>
        <v>6080</v>
      </c>
    </row>
    <row r="1052" spans="1:20" x14ac:dyDescent="0.2">
      <c r="A1052" t="s">
        <v>1756</v>
      </c>
      <c r="B1052" s="7">
        <v>46029</v>
      </c>
      <c r="C1052" s="7">
        <v>46159</v>
      </c>
      <c r="D1052" t="s">
        <v>882</v>
      </c>
      <c r="E1052" t="s">
        <v>111</v>
      </c>
      <c r="F1052" t="s">
        <v>48</v>
      </c>
      <c r="G1052" t="s">
        <v>92</v>
      </c>
      <c r="H1052" t="s">
        <v>120</v>
      </c>
      <c r="I1052" t="s">
        <v>35</v>
      </c>
      <c r="J1052" t="s">
        <v>85</v>
      </c>
      <c r="K1052" t="s">
        <v>27</v>
      </c>
      <c r="L1052" t="s">
        <v>51</v>
      </c>
      <c r="M1052" s="46">
        <v>28500</v>
      </c>
      <c r="N1052">
        <v>8.5999999999999993E-2</v>
      </c>
      <c r="O1052">
        <v>0</v>
      </c>
      <c r="P1052" t="s">
        <v>29</v>
      </c>
      <c r="Q1052" t="s">
        <v>45</v>
      </c>
      <c r="R1052">
        <v>130</v>
      </c>
      <c r="S1052">
        <v>2170.2600000000002</v>
      </c>
      <c r="T1052">
        <f>Deals_[[#This Row],[Amount]]*Deals_[[#This Row],[Probability_Pct]]</f>
        <v>0</v>
      </c>
    </row>
    <row r="1053" spans="1:20" x14ac:dyDescent="0.2">
      <c r="A1053" t="s">
        <v>1757</v>
      </c>
      <c r="B1053" s="7">
        <v>45960</v>
      </c>
      <c r="C1053" s="7">
        <v>46038</v>
      </c>
      <c r="D1053" t="s">
        <v>836</v>
      </c>
      <c r="E1053" t="s">
        <v>54</v>
      </c>
      <c r="F1053" t="s">
        <v>22</v>
      </c>
      <c r="G1053" t="s">
        <v>23</v>
      </c>
      <c r="H1053" t="s">
        <v>83</v>
      </c>
      <c r="I1053" t="s">
        <v>25</v>
      </c>
      <c r="J1053" t="s">
        <v>26</v>
      </c>
      <c r="K1053" t="s">
        <v>106</v>
      </c>
      <c r="L1053" t="s">
        <v>28</v>
      </c>
      <c r="M1053" s="46">
        <v>96300</v>
      </c>
      <c r="N1053">
        <v>0.14899999999999999</v>
      </c>
      <c r="O1053">
        <v>0.15</v>
      </c>
      <c r="P1053" t="s">
        <v>38</v>
      </c>
      <c r="R1053">
        <v>78</v>
      </c>
      <c r="S1053">
        <v>6826</v>
      </c>
      <c r="T1053">
        <f>Deals_[[#This Row],[Amount]]*Deals_[[#This Row],[Probability_Pct]]</f>
        <v>14445</v>
      </c>
    </row>
    <row r="1054" spans="1:20" x14ac:dyDescent="0.2">
      <c r="A1054" t="s">
        <v>1758</v>
      </c>
      <c r="B1054" s="7">
        <v>46173</v>
      </c>
      <c r="C1054" s="7">
        <v>46293</v>
      </c>
      <c r="D1054" t="s">
        <v>1045</v>
      </c>
      <c r="E1054" t="s">
        <v>54</v>
      </c>
      <c r="F1054" t="s">
        <v>48</v>
      </c>
      <c r="G1054" t="s">
        <v>63</v>
      </c>
      <c r="H1054" t="s">
        <v>49</v>
      </c>
      <c r="I1054" t="s">
        <v>35</v>
      </c>
      <c r="J1054" t="s">
        <v>43</v>
      </c>
      <c r="K1054" t="s">
        <v>88</v>
      </c>
      <c r="L1054" t="s">
        <v>44</v>
      </c>
      <c r="M1054" s="46">
        <v>29300</v>
      </c>
      <c r="N1054">
        <v>0.156</v>
      </c>
      <c r="O1054">
        <v>0.3</v>
      </c>
      <c r="P1054" t="s">
        <v>38</v>
      </c>
      <c r="R1054">
        <v>120</v>
      </c>
      <c r="S1054">
        <v>2060.19</v>
      </c>
      <c r="T1054">
        <f>Deals_[[#This Row],[Amount]]*Deals_[[#This Row],[Probability_Pct]]</f>
        <v>8790</v>
      </c>
    </row>
    <row r="1055" spans="1:20" x14ac:dyDescent="0.2">
      <c r="A1055" t="s">
        <v>1759</v>
      </c>
      <c r="B1055" s="7">
        <v>45986</v>
      </c>
      <c r="C1055" s="7">
        <v>46072</v>
      </c>
      <c r="D1055" t="s">
        <v>1352</v>
      </c>
      <c r="E1055" t="s">
        <v>82</v>
      </c>
      <c r="F1055" t="s">
        <v>74</v>
      </c>
      <c r="G1055" t="s">
        <v>55</v>
      </c>
      <c r="H1055" t="s">
        <v>98</v>
      </c>
      <c r="I1055" t="s">
        <v>25</v>
      </c>
      <c r="J1055" t="s">
        <v>26</v>
      </c>
      <c r="K1055" t="s">
        <v>78</v>
      </c>
      <c r="L1055" t="s">
        <v>28</v>
      </c>
      <c r="M1055" s="46">
        <v>107400</v>
      </c>
      <c r="N1055">
        <v>0.11</v>
      </c>
      <c r="O1055">
        <v>0.6</v>
      </c>
      <c r="P1055" t="s">
        <v>79</v>
      </c>
      <c r="R1055">
        <v>86</v>
      </c>
      <c r="S1055">
        <v>7963.69</v>
      </c>
      <c r="T1055">
        <f>Deals_[[#This Row],[Amount]]*Deals_[[#This Row],[Probability_Pct]]</f>
        <v>64440</v>
      </c>
    </row>
    <row r="1056" spans="1:20" x14ac:dyDescent="0.2">
      <c r="A1056" t="s">
        <v>1760</v>
      </c>
      <c r="B1056" s="7">
        <v>46139</v>
      </c>
      <c r="C1056" s="7">
        <v>46193</v>
      </c>
      <c r="D1056" t="s">
        <v>368</v>
      </c>
      <c r="E1056" t="s">
        <v>33</v>
      </c>
      <c r="F1056" t="s">
        <v>22</v>
      </c>
      <c r="G1056" t="s">
        <v>55</v>
      </c>
      <c r="H1056" t="s">
        <v>83</v>
      </c>
      <c r="I1056" t="s">
        <v>84</v>
      </c>
      <c r="J1056" t="s">
        <v>26</v>
      </c>
      <c r="K1056" t="s">
        <v>78</v>
      </c>
      <c r="L1056" t="s">
        <v>28</v>
      </c>
      <c r="M1056" s="46">
        <v>49500</v>
      </c>
      <c r="N1056">
        <v>0.16500000000000001</v>
      </c>
      <c r="O1056">
        <v>0.6</v>
      </c>
      <c r="P1056" t="s">
        <v>79</v>
      </c>
      <c r="R1056">
        <v>54</v>
      </c>
      <c r="S1056">
        <v>3444.52</v>
      </c>
      <c r="T1056">
        <f>Deals_[[#This Row],[Amount]]*Deals_[[#This Row],[Probability_Pct]]</f>
        <v>29700</v>
      </c>
    </row>
    <row r="1057" spans="1:20" x14ac:dyDescent="0.2">
      <c r="A1057" t="s">
        <v>1761</v>
      </c>
      <c r="B1057" s="7">
        <v>46144</v>
      </c>
      <c r="C1057" s="7">
        <v>46231</v>
      </c>
      <c r="D1057" t="s">
        <v>1202</v>
      </c>
      <c r="E1057" t="s">
        <v>33</v>
      </c>
      <c r="F1057" t="s">
        <v>48</v>
      </c>
      <c r="G1057" t="s">
        <v>55</v>
      </c>
      <c r="H1057" t="s">
        <v>98</v>
      </c>
      <c r="I1057" t="s">
        <v>25</v>
      </c>
      <c r="J1057" t="s">
        <v>36</v>
      </c>
      <c r="K1057" t="s">
        <v>27</v>
      </c>
      <c r="L1057" t="s">
        <v>44</v>
      </c>
      <c r="M1057" s="46">
        <v>14300</v>
      </c>
      <c r="N1057">
        <v>1.2E-2</v>
      </c>
      <c r="O1057">
        <v>0</v>
      </c>
      <c r="P1057" t="s">
        <v>29</v>
      </c>
      <c r="Q1057" t="s">
        <v>188</v>
      </c>
      <c r="R1057">
        <v>87</v>
      </c>
      <c r="S1057">
        <v>1177.82</v>
      </c>
      <c r="T1057">
        <f>Deals_[[#This Row],[Amount]]*Deals_[[#This Row],[Probability_Pct]]</f>
        <v>0</v>
      </c>
    </row>
    <row r="1058" spans="1:20" x14ac:dyDescent="0.2">
      <c r="A1058" t="s">
        <v>1762</v>
      </c>
      <c r="B1058" s="7">
        <v>45965</v>
      </c>
      <c r="C1058" s="7">
        <v>46115</v>
      </c>
      <c r="D1058" t="s">
        <v>1763</v>
      </c>
      <c r="E1058" t="s">
        <v>68</v>
      </c>
      <c r="F1058" t="s">
        <v>48</v>
      </c>
      <c r="G1058" t="s">
        <v>55</v>
      </c>
      <c r="H1058" t="s">
        <v>49</v>
      </c>
      <c r="I1058" t="s">
        <v>84</v>
      </c>
      <c r="J1058" t="s">
        <v>43</v>
      </c>
      <c r="K1058" t="s">
        <v>88</v>
      </c>
      <c r="L1058" t="s">
        <v>44</v>
      </c>
      <c r="M1058" s="46">
        <v>15800</v>
      </c>
      <c r="N1058">
        <v>0</v>
      </c>
      <c r="O1058">
        <v>0.35</v>
      </c>
      <c r="P1058" t="s">
        <v>38</v>
      </c>
      <c r="R1058">
        <v>150</v>
      </c>
      <c r="S1058">
        <v>1316.67</v>
      </c>
      <c r="T1058">
        <f>Deals_[[#This Row],[Amount]]*Deals_[[#This Row],[Probability_Pct]]</f>
        <v>5530</v>
      </c>
    </row>
    <row r="1059" spans="1:20" x14ac:dyDescent="0.2">
      <c r="A1059" t="s">
        <v>1764</v>
      </c>
      <c r="B1059" s="7">
        <v>46079</v>
      </c>
      <c r="C1059" s="7">
        <v>46123</v>
      </c>
      <c r="D1059" t="s">
        <v>366</v>
      </c>
      <c r="E1059" t="s">
        <v>91</v>
      </c>
      <c r="F1059" t="s">
        <v>48</v>
      </c>
      <c r="G1059" t="s">
        <v>34</v>
      </c>
      <c r="H1059" t="s">
        <v>77</v>
      </c>
      <c r="I1059" t="s">
        <v>99</v>
      </c>
      <c r="J1059" t="s">
        <v>85</v>
      </c>
      <c r="K1059" t="s">
        <v>27</v>
      </c>
      <c r="L1059" t="s">
        <v>28</v>
      </c>
      <c r="M1059" s="46">
        <v>16900</v>
      </c>
      <c r="N1059">
        <v>0.122</v>
      </c>
      <c r="O1059">
        <v>0</v>
      </c>
      <c r="P1059" t="s">
        <v>29</v>
      </c>
      <c r="Q1059" t="s">
        <v>45</v>
      </c>
      <c r="R1059">
        <v>44</v>
      </c>
      <c r="S1059">
        <v>1237.07</v>
      </c>
      <c r="T1059">
        <f>Deals_[[#This Row],[Amount]]*Deals_[[#This Row],[Probability_Pct]]</f>
        <v>0</v>
      </c>
    </row>
    <row r="1060" spans="1:20" x14ac:dyDescent="0.2">
      <c r="A1060" t="s">
        <v>1765</v>
      </c>
      <c r="B1060" s="7">
        <v>46255</v>
      </c>
      <c r="C1060" s="7">
        <v>46298</v>
      </c>
      <c r="D1060" t="s">
        <v>440</v>
      </c>
      <c r="E1060" t="s">
        <v>62</v>
      </c>
      <c r="F1060" t="s">
        <v>48</v>
      </c>
      <c r="G1060" t="s">
        <v>23</v>
      </c>
      <c r="H1060" t="s">
        <v>98</v>
      </c>
      <c r="I1060" t="s">
        <v>99</v>
      </c>
      <c r="J1060" t="s">
        <v>57</v>
      </c>
      <c r="K1060" t="s">
        <v>78</v>
      </c>
      <c r="L1060" t="s">
        <v>44</v>
      </c>
      <c r="M1060" s="46">
        <v>10400</v>
      </c>
      <c r="N1060">
        <v>0.14099999999999999</v>
      </c>
      <c r="O1060">
        <v>0.55000000000000004</v>
      </c>
      <c r="P1060" t="s">
        <v>79</v>
      </c>
      <c r="R1060">
        <v>43</v>
      </c>
      <c r="S1060">
        <v>744.63</v>
      </c>
      <c r="T1060">
        <f>Deals_[[#This Row],[Amount]]*Deals_[[#This Row],[Probability_Pct]]</f>
        <v>5720.0000000000009</v>
      </c>
    </row>
    <row r="1061" spans="1:20" x14ac:dyDescent="0.2">
      <c r="A1061" t="s">
        <v>1766</v>
      </c>
      <c r="B1061" s="7">
        <v>45968</v>
      </c>
      <c r="C1061" s="7">
        <v>46014</v>
      </c>
      <c r="D1061" t="s">
        <v>1767</v>
      </c>
      <c r="E1061" t="s">
        <v>111</v>
      </c>
      <c r="F1061" t="s">
        <v>48</v>
      </c>
      <c r="G1061" t="s">
        <v>92</v>
      </c>
      <c r="H1061" t="s">
        <v>137</v>
      </c>
      <c r="I1061" t="s">
        <v>84</v>
      </c>
      <c r="J1061" t="s">
        <v>85</v>
      </c>
      <c r="K1061" t="s">
        <v>50</v>
      </c>
      <c r="L1061" t="s">
        <v>28</v>
      </c>
      <c r="M1061" s="46">
        <v>27000</v>
      </c>
      <c r="N1061">
        <v>0.17899999999999999</v>
      </c>
      <c r="O1061">
        <v>0.95</v>
      </c>
      <c r="P1061" t="s">
        <v>29</v>
      </c>
      <c r="R1061">
        <v>46</v>
      </c>
      <c r="S1061">
        <v>1848</v>
      </c>
      <c r="T1061">
        <f>Deals_[[#This Row],[Amount]]*Deals_[[#This Row],[Probability_Pct]]</f>
        <v>25650</v>
      </c>
    </row>
    <row r="1062" spans="1:20" x14ac:dyDescent="0.2">
      <c r="A1062" t="s">
        <v>1768</v>
      </c>
      <c r="B1062" s="7">
        <v>46006</v>
      </c>
      <c r="C1062" s="7">
        <v>46152</v>
      </c>
      <c r="D1062" t="s">
        <v>1769</v>
      </c>
      <c r="E1062" t="s">
        <v>91</v>
      </c>
      <c r="F1062" t="s">
        <v>48</v>
      </c>
      <c r="G1062" t="s">
        <v>34</v>
      </c>
      <c r="H1062" t="s">
        <v>120</v>
      </c>
      <c r="I1062" t="s">
        <v>84</v>
      </c>
      <c r="J1062" t="s">
        <v>57</v>
      </c>
      <c r="K1062" t="s">
        <v>88</v>
      </c>
      <c r="L1062" t="s">
        <v>44</v>
      </c>
      <c r="M1062" s="46">
        <v>23300</v>
      </c>
      <c r="N1062">
        <v>0.13800000000000001</v>
      </c>
      <c r="O1062">
        <v>0.35</v>
      </c>
      <c r="P1062" t="s">
        <v>38</v>
      </c>
      <c r="R1062">
        <v>146</v>
      </c>
      <c r="S1062">
        <v>1674.59</v>
      </c>
      <c r="T1062">
        <f>Deals_[[#This Row],[Amount]]*Deals_[[#This Row],[Probability_Pct]]</f>
        <v>8154.9999999999991</v>
      </c>
    </row>
    <row r="1063" spans="1:20" x14ac:dyDescent="0.2">
      <c r="A1063" t="s">
        <v>1770</v>
      </c>
      <c r="B1063" s="7">
        <v>46086</v>
      </c>
      <c r="C1063" s="7">
        <v>46181</v>
      </c>
      <c r="D1063" t="s">
        <v>1092</v>
      </c>
      <c r="E1063" t="s">
        <v>21</v>
      </c>
      <c r="F1063" t="s">
        <v>48</v>
      </c>
      <c r="G1063" t="s">
        <v>23</v>
      </c>
      <c r="H1063" t="s">
        <v>24</v>
      </c>
      <c r="I1063" t="s">
        <v>35</v>
      </c>
      <c r="J1063" t="s">
        <v>85</v>
      </c>
      <c r="K1063" t="s">
        <v>88</v>
      </c>
      <c r="L1063" t="s">
        <v>28</v>
      </c>
      <c r="M1063" s="46">
        <v>18300</v>
      </c>
      <c r="N1063">
        <v>4.4999999999999998E-2</v>
      </c>
      <c r="O1063">
        <v>0.35</v>
      </c>
      <c r="P1063" t="s">
        <v>38</v>
      </c>
      <c r="R1063">
        <v>95</v>
      </c>
      <c r="S1063">
        <v>1456.51</v>
      </c>
      <c r="T1063">
        <f>Deals_[[#This Row],[Amount]]*Deals_[[#This Row],[Probability_Pct]]</f>
        <v>6405</v>
      </c>
    </row>
    <row r="1064" spans="1:20" x14ac:dyDescent="0.2">
      <c r="A1064" t="s">
        <v>1771</v>
      </c>
      <c r="B1064" s="7">
        <v>46155</v>
      </c>
      <c r="C1064" s="7">
        <v>46237</v>
      </c>
      <c r="D1064" t="s">
        <v>594</v>
      </c>
      <c r="E1064" t="s">
        <v>68</v>
      </c>
      <c r="F1064" t="s">
        <v>48</v>
      </c>
      <c r="G1064" t="s">
        <v>34</v>
      </c>
      <c r="H1064" t="s">
        <v>137</v>
      </c>
      <c r="I1064" t="s">
        <v>35</v>
      </c>
      <c r="J1064" t="s">
        <v>85</v>
      </c>
      <c r="K1064" t="s">
        <v>37</v>
      </c>
      <c r="L1064" t="s">
        <v>44</v>
      </c>
      <c r="M1064" s="46">
        <v>17000</v>
      </c>
      <c r="N1064">
        <v>8.6999999999999994E-2</v>
      </c>
      <c r="O1064">
        <v>0.15</v>
      </c>
      <c r="P1064" t="s">
        <v>38</v>
      </c>
      <c r="R1064">
        <v>82</v>
      </c>
      <c r="S1064">
        <v>1293.1099999999999</v>
      </c>
      <c r="T1064">
        <f>Deals_[[#This Row],[Amount]]*Deals_[[#This Row],[Probability_Pct]]</f>
        <v>2550</v>
      </c>
    </row>
    <row r="1065" spans="1:20" x14ac:dyDescent="0.2">
      <c r="A1065" t="s">
        <v>1772</v>
      </c>
      <c r="B1065" s="7">
        <v>46227</v>
      </c>
      <c r="C1065" s="7">
        <v>46256</v>
      </c>
      <c r="D1065" t="s">
        <v>1773</v>
      </c>
      <c r="E1065" t="s">
        <v>54</v>
      </c>
      <c r="F1065" t="s">
        <v>74</v>
      </c>
      <c r="G1065" t="s">
        <v>23</v>
      </c>
      <c r="H1065" t="s">
        <v>24</v>
      </c>
      <c r="I1065" t="s">
        <v>99</v>
      </c>
      <c r="J1065" t="s">
        <v>43</v>
      </c>
      <c r="K1065" t="s">
        <v>58</v>
      </c>
      <c r="L1065" t="s">
        <v>44</v>
      </c>
      <c r="M1065" s="46">
        <v>181600</v>
      </c>
      <c r="N1065">
        <v>0.121</v>
      </c>
      <c r="O1065">
        <v>0.75</v>
      </c>
      <c r="P1065" t="s">
        <v>59</v>
      </c>
      <c r="R1065">
        <v>29</v>
      </c>
      <c r="S1065">
        <v>13307.28</v>
      </c>
      <c r="T1065">
        <f>Deals_[[#This Row],[Amount]]*Deals_[[#This Row],[Probability_Pct]]</f>
        <v>136200</v>
      </c>
    </row>
    <row r="1066" spans="1:20" x14ac:dyDescent="0.2">
      <c r="A1066" t="s">
        <v>1774</v>
      </c>
      <c r="B1066" s="7">
        <v>46002</v>
      </c>
      <c r="C1066" s="7">
        <v>46061</v>
      </c>
      <c r="D1066" t="s">
        <v>1775</v>
      </c>
      <c r="E1066" t="s">
        <v>21</v>
      </c>
      <c r="F1066" t="s">
        <v>22</v>
      </c>
      <c r="G1066" t="s">
        <v>63</v>
      </c>
      <c r="H1066" t="s">
        <v>41</v>
      </c>
      <c r="I1066" t="s">
        <v>25</v>
      </c>
      <c r="J1066" t="s">
        <v>43</v>
      </c>
      <c r="K1066" t="s">
        <v>37</v>
      </c>
      <c r="L1066" t="s">
        <v>51</v>
      </c>
      <c r="M1066" s="46">
        <v>44400</v>
      </c>
      <c r="N1066">
        <v>7.2999999999999995E-2</v>
      </c>
      <c r="O1066">
        <v>0.1</v>
      </c>
      <c r="P1066" t="s">
        <v>38</v>
      </c>
      <c r="R1066">
        <v>59</v>
      </c>
      <c r="S1066">
        <v>3428.75</v>
      </c>
      <c r="T1066">
        <f>Deals_[[#This Row],[Amount]]*Deals_[[#This Row],[Probability_Pct]]</f>
        <v>4440</v>
      </c>
    </row>
    <row r="1067" spans="1:20" x14ac:dyDescent="0.2">
      <c r="A1067" t="s">
        <v>1776</v>
      </c>
      <c r="B1067" s="7">
        <v>46269</v>
      </c>
      <c r="C1067" s="7">
        <v>46277</v>
      </c>
      <c r="D1067" t="s">
        <v>1191</v>
      </c>
      <c r="E1067" t="s">
        <v>54</v>
      </c>
      <c r="F1067" t="s">
        <v>48</v>
      </c>
      <c r="G1067" t="s">
        <v>92</v>
      </c>
      <c r="H1067" t="s">
        <v>56</v>
      </c>
      <c r="I1067" t="s">
        <v>99</v>
      </c>
      <c r="J1067" t="s">
        <v>43</v>
      </c>
      <c r="K1067" t="s">
        <v>50</v>
      </c>
      <c r="L1067" t="s">
        <v>51</v>
      </c>
      <c r="M1067" s="46">
        <v>27600</v>
      </c>
      <c r="N1067">
        <v>0.1</v>
      </c>
      <c r="O1067">
        <v>1</v>
      </c>
      <c r="P1067" t="s">
        <v>29</v>
      </c>
      <c r="R1067">
        <v>8</v>
      </c>
      <c r="S1067">
        <v>2069.67</v>
      </c>
      <c r="T1067">
        <f>Deals_[[#This Row],[Amount]]*Deals_[[#This Row],[Probability_Pct]]</f>
        <v>27600</v>
      </c>
    </row>
    <row r="1068" spans="1:20" x14ac:dyDescent="0.2">
      <c r="A1068" t="s">
        <v>1777</v>
      </c>
      <c r="B1068" s="7">
        <v>45951</v>
      </c>
      <c r="C1068" s="7">
        <v>46055</v>
      </c>
      <c r="D1068" t="s">
        <v>1778</v>
      </c>
      <c r="E1068" t="s">
        <v>54</v>
      </c>
      <c r="F1068" t="s">
        <v>48</v>
      </c>
      <c r="G1068" t="s">
        <v>55</v>
      </c>
      <c r="H1068" t="s">
        <v>98</v>
      </c>
      <c r="I1068" t="s">
        <v>42</v>
      </c>
      <c r="J1068" t="s">
        <v>57</v>
      </c>
      <c r="K1068" t="s">
        <v>88</v>
      </c>
      <c r="L1068" t="s">
        <v>28</v>
      </c>
      <c r="M1068" s="46">
        <v>23400</v>
      </c>
      <c r="N1068">
        <v>0.10299999999999999</v>
      </c>
      <c r="O1068">
        <v>0.4</v>
      </c>
      <c r="P1068" t="s">
        <v>38</v>
      </c>
      <c r="R1068">
        <v>104</v>
      </c>
      <c r="S1068">
        <v>1749.37</v>
      </c>
      <c r="T1068">
        <f>Deals_[[#This Row],[Amount]]*Deals_[[#This Row],[Probability_Pct]]</f>
        <v>9360</v>
      </c>
    </row>
    <row r="1069" spans="1:20" x14ac:dyDescent="0.2">
      <c r="A1069" t="s">
        <v>1779</v>
      </c>
      <c r="B1069" s="7">
        <v>46018</v>
      </c>
      <c r="C1069" s="7">
        <v>46073</v>
      </c>
      <c r="D1069" t="s">
        <v>87</v>
      </c>
      <c r="E1069" t="s">
        <v>54</v>
      </c>
      <c r="F1069" t="s">
        <v>48</v>
      </c>
      <c r="G1069" t="s">
        <v>92</v>
      </c>
      <c r="H1069" t="s">
        <v>24</v>
      </c>
      <c r="I1069" t="s">
        <v>25</v>
      </c>
      <c r="J1069" t="s">
        <v>43</v>
      </c>
      <c r="K1069" t="s">
        <v>27</v>
      </c>
      <c r="L1069" t="s">
        <v>44</v>
      </c>
      <c r="M1069" s="46">
        <v>25500</v>
      </c>
      <c r="N1069">
        <v>0.16400000000000001</v>
      </c>
      <c r="O1069">
        <v>0.05</v>
      </c>
      <c r="P1069" t="s">
        <v>29</v>
      </c>
      <c r="Q1069" t="s">
        <v>45</v>
      </c>
      <c r="R1069">
        <v>55</v>
      </c>
      <c r="S1069">
        <v>1775.97</v>
      </c>
      <c r="T1069">
        <f>Deals_[[#This Row],[Amount]]*Deals_[[#This Row],[Probability_Pct]]</f>
        <v>1275</v>
      </c>
    </row>
    <row r="1070" spans="1:20" x14ac:dyDescent="0.2">
      <c r="A1070" t="s">
        <v>1780</v>
      </c>
      <c r="B1070" s="7">
        <v>45986</v>
      </c>
      <c r="C1070" s="7">
        <v>46030</v>
      </c>
      <c r="D1070" t="s">
        <v>900</v>
      </c>
      <c r="E1070" t="s">
        <v>54</v>
      </c>
      <c r="F1070" t="s">
        <v>48</v>
      </c>
      <c r="G1070" t="s">
        <v>23</v>
      </c>
      <c r="H1070" t="s">
        <v>98</v>
      </c>
      <c r="I1070" t="s">
        <v>99</v>
      </c>
      <c r="J1070" t="s">
        <v>36</v>
      </c>
      <c r="K1070" t="s">
        <v>88</v>
      </c>
      <c r="L1070" t="s">
        <v>44</v>
      </c>
      <c r="M1070" s="46">
        <v>10700</v>
      </c>
      <c r="N1070">
        <v>8.8999999999999996E-2</v>
      </c>
      <c r="O1070">
        <v>0.35</v>
      </c>
      <c r="P1070" t="s">
        <v>38</v>
      </c>
      <c r="R1070">
        <v>44</v>
      </c>
      <c r="S1070">
        <v>812.11</v>
      </c>
      <c r="T1070">
        <f>Deals_[[#This Row],[Amount]]*Deals_[[#This Row],[Probability_Pct]]</f>
        <v>3744.9999999999995</v>
      </c>
    </row>
    <row r="1071" spans="1:20" x14ac:dyDescent="0.2">
      <c r="A1071" t="s">
        <v>1781</v>
      </c>
      <c r="B1071" s="7">
        <v>46273</v>
      </c>
      <c r="C1071" s="7">
        <v>46337</v>
      </c>
      <c r="D1071" t="s">
        <v>1782</v>
      </c>
      <c r="E1071" t="s">
        <v>62</v>
      </c>
      <c r="F1071" t="s">
        <v>74</v>
      </c>
      <c r="G1071" t="s">
        <v>34</v>
      </c>
      <c r="H1071" t="s">
        <v>69</v>
      </c>
      <c r="I1071" t="s">
        <v>65</v>
      </c>
      <c r="J1071" t="s">
        <v>43</v>
      </c>
      <c r="K1071" t="s">
        <v>37</v>
      </c>
      <c r="L1071" t="s">
        <v>44</v>
      </c>
      <c r="M1071" s="46">
        <v>153600</v>
      </c>
      <c r="N1071">
        <v>8.9999999999999993E-3</v>
      </c>
      <c r="O1071">
        <v>0.1</v>
      </c>
      <c r="P1071" t="s">
        <v>38</v>
      </c>
      <c r="R1071">
        <v>64</v>
      </c>
      <c r="S1071">
        <v>12687.21</v>
      </c>
      <c r="T1071">
        <f>Deals_[[#This Row],[Amount]]*Deals_[[#This Row],[Probability_Pct]]</f>
        <v>15360</v>
      </c>
    </row>
    <row r="1072" spans="1:20" x14ac:dyDescent="0.2">
      <c r="A1072" t="s">
        <v>1783</v>
      </c>
      <c r="B1072" s="7">
        <v>46035</v>
      </c>
      <c r="C1072" s="7">
        <v>46100</v>
      </c>
      <c r="D1072" t="s">
        <v>1784</v>
      </c>
      <c r="E1072" t="s">
        <v>82</v>
      </c>
      <c r="F1072" t="s">
        <v>22</v>
      </c>
      <c r="G1072" t="s">
        <v>34</v>
      </c>
      <c r="H1072" t="s">
        <v>95</v>
      </c>
      <c r="I1072" t="s">
        <v>35</v>
      </c>
      <c r="J1072" t="s">
        <v>85</v>
      </c>
      <c r="K1072" t="s">
        <v>106</v>
      </c>
      <c r="L1072" t="s">
        <v>28</v>
      </c>
      <c r="M1072" s="46">
        <v>92600</v>
      </c>
      <c r="N1072">
        <v>3.4000000000000002E-2</v>
      </c>
      <c r="O1072">
        <v>0.2</v>
      </c>
      <c r="P1072" t="s">
        <v>38</v>
      </c>
      <c r="R1072">
        <v>65</v>
      </c>
      <c r="S1072">
        <v>7452.37</v>
      </c>
      <c r="T1072">
        <f>Deals_[[#This Row],[Amount]]*Deals_[[#This Row],[Probability_Pct]]</f>
        <v>18520</v>
      </c>
    </row>
    <row r="1073" spans="1:20" x14ac:dyDescent="0.2">
      <c r="A1073" t="s">
        <v>1785</v>
      </c>
      <c r="B1073" s="7">
        <v>46169</v>
      </c>
      <c r="C1073" s="7">
        <v>46232</v>
      </c>
      <c r="D1073" t="s">
        <v>309</v>
      </c>
      <c r="E1073" t="s">
        <v>21</v>
      </c>
      <c r="F1073" t="s">
        <v>74</v>
      </c>
      <c r="G1073" t="s">
        <v>34</v>
      </c>
      <c r="H1073" t="s">
        <v>41</v>
      </c>
      <c r="I1073" t="s">
        <v>84</v>
      </c>
      <c r="J1073" t="s">
        <v>85</v>
      </c>
      <c r="K1073" t="s">
        <v>78</v>
      </c>
      <c r="L1073" t="s">
        <v>28</v>
      </c>
      <c r="M1073" s="46">
        <v>245200</v>
      </c>
      <c r="N1073">
        <v>0.128</v>
      </c>
      <c r="O1073">
        <v>0.55000000000000004</v>
      </c>
      <c r="P1073" t="s">
        <v>79</v>
      </c>
      <c r="R1073">
        <v>63</v>
      </c>
      <c r="S1073">
        <v>17824.14</v>
      </c>
      <c r="T1073">
        <f>Deals_[[#This Row],[Amount]]*Deals_[[#This Row],[Probability_Pct]]</f>
        <v>134860</v>
      </c>
    </row>
    <row r="1074" spans="1:20" x14ac:dyDescent="0.2">
      <c r="A1074" t="s">
        <v>1786</v>
      </c>
      <c r="B1074" s="7">
        <v>46083</v>
      </c>
      <c r="C1074" s="7">
        <v>46148</v>
      </c>
      <c r="D1074" t="s">
        <v>1532</v>
      </c>
      <c r="E1074" t="s">
        <v>62</v>
      </c>
      <c r="F1074" t="s">
        <v>22</v>
      </c>
      <c r="G1074" t="s">
        <v>63</v>
      </c>
      <c r="H1074" t="s">
        <v>41</v>
      </c>
      <c r="I1074" t="s">
        <v>42</v>
      </c>
      <c r="J1074" t="s">
        <v>36</v>
      </c>
      <c r="K1074" t="s">
        <v>58</v>
      </c>
      <c r="L1074" t="s">
        <v>28</v>
      </c>
      <c r="M1074" s="46">
        <v>40800</v>
      </c>
      <c r="N1074">
        <v>0.11600000000000001</v>
      </c>
      <c r="O1074">
        <v>0.7</v>
      </c>
      <c r="P1074" t="s">
        <v>59</v>
      </c>
      <c r="R1074">
        <v>65</v>
      </c>
      <c r="S1074">
        <v>3005.95</v>
      </c>
      <c r="T1074">
        <f>Deals_[[#This Row],[Amount]]*Deals_[[#This Row],[Probability_Pct]]</f>
        <v>28560</v>
      </c>
    </row>
    <row r="1075" spans="1:20" x14ac:dyDescent="0.2">
      <c r="A1075" t="s">
        <v>1787</v>
      </c>
      <c r="B1075" s="7">
        <v>46026</v>
      </c>
      <c r="C1075" s="7">
        <v>46078</v>
      </c>
      <c r="D1075" t="s">
        <v>1788</v>
      </c>
      <c r="E1075" t="s">
        <v>68</v>
      </c>
      <c r="F1075" t="s">
        <v>22</v>
      </c>
      <c r="G1075" t="s">
        <v>92</v>
      </c>
      <c r="H1075" t="s">
        <v>49</v>
      </c>
      <c r="I1075" t="s">
        <v>35</v>
      </c>
      <c r="J1075" t="s">
        <v>26</v>
      </c>
      <c r="K1075" t="s">
        <v>50</v>
      </c>
      <c r="L1075" t="s">
        <v>44</v>
      </c>
      <c r="M1075" s="46">
        <v>26800</v>
      </c>
      <c r="N1075">
        <v>9.0999999999999998E-2</v>
      </c>
      <c r="O1075">
        <v>1</v>
      </c>
      <c r="P1075" t="s">
        <v>29</v>
      </c>
      <c r="R1075">
        <v>52</v>
      </c>
      <c r="S1075">
        <v>2030.73</v>
      </c>
      <c r="T1075">
        <f>Deals_[[#This Row],[Amount]]*Deals_[[#This Row],[Probability_Pct]]</f>
        <v>26800</v>
      </c>
    </row>
    <row r="1076" spans="1:20" x14ac:dyDescent="0.2">
      <c r="A1076" t="s">
        <v>1789</v>
      </c>
      <c r="B1076" s="7">
        <v>46262</v>
      </c>
      <c r="C1076" s="7">
        <v>46277</v>
      </c>
      <c r="D1076" t="s">
        <v>1790</v>
      </c>
      <c r="E1076" t="s">
        <v>54</v>
      </c>
      <c r="F1076" t="s">
        <v>48</v>
      </c>
      <c r="G1076" t="s">
        <v>34</v>
      </c>
      <c r="H1076" t="s">
        <v>83</v>
      </c>
      <c r="I1076" t="s">
        <v>35</v>
      </c>
      <c r="J1076" t="s">
        <v>43</v>
      </c>
      <c r="K1076" t="s">
        <v>27</v>
      </c>
      <c r="L1076" t="s">
        <v>44</v>
      </c>
      <c r="M1076" s="46">
        <v>18000</v>
      </c>
      <c r="N1076">
        <v>0.20399999999999999</v>
      </c>
      <c r="O1076">
        <v>0.05</v>
      </c>
      <c r="P1076" t="s">
        <v>29</v>
      </c>
      <c r="Q1076" t="s">
        <v>30</v>
      </c>
      <c r="R1076">
        <v>15</v>
      </c>
      <c r="S1076">
        <v>1193.93</v>
      </c>
      <c r="T1076">
        <f>Deals_[[#This Row],[Amount]]*Deals_[[#This Row],[Probability_Pct]]</f>
        <v>900</v>
      </c>
    </row>
    <row r="1077" spans="1:20" x14ac:dyDescent="0.2">
      <c r="A1077" t="s">
        <v>1791</v>
      </c>
      <c r="B1077" s="7">
        <v>45937</v>
      </c>
      <c r="C1077" s="7">
        <v>46001</v>
      </c>
      <c r="D1077" t="s">
        <v>1792</v>
      </c>
      <c r="E1077" t="s">
        <v>68</v>
      </c>
      <c r="F1077" t="s">
        <v>48</v>
      </c>
      <c r="G1077" t="s">
        <v>55</v>
      </c>
      <c r="H1077" t="s">
        <v>77</v>
      </c>
      <c r="I1077" t="s">
        <v>99</v>
      </c>
      <c r="J1077" t="s">
        <v>85</v>
      </c>
      <c r="K1077" t="s">
        <v>78</v>
      </c>
      <c r="L1077" t="s">
        <v>28</v>
      </c>
      <c r="M1077" s="46">
        <v>25300</v>
      </c>
      <c r="N1077">
        <v>0.108</v>
      </c>
      <c r="O1077">
        <v>0.55000000000000004</v>
      </c>
      <c r="P1077" t="s">
        <v>79</v>
      </c>
      <c r="R1077">
        <v>64</v>
      </c>
      <c r="S1077">
        <v>1881.56</v>
      </c>
      <c r="T1077">
        <f>Deals_[[#This Row],[Amount]]*Deals_[[#This Row],[Probability_Pct]]</f>
        <v>13915.000000000002</v>
      </c>
    </row>
    <row r="1078" spans="1:20" x14ac:dyDescent="0.2">
      <c r="A1078" t="s">
        <v>1793</v>
      </c>
      <c r="B1078" s="7">
        <v>46066</v>
      </c>
      <c r="C1078" s="7">
        <v>46208</v>
      </c>
      <c r="D1078" t="s">
        <v>1422</v>
      </c>
      <c r="E1078" t="s">
        <v>33</v>
      </c>
      <c r="F1078" t="s">
        <v>22</v>
      </c>
      <c r="G1078" t="s">
        <v>23</v>
      </c>
      <c r="H1078" t="s">
        <v>95</v>
      </c>
      <c r="I1078" t="s">
        <v>65</v>
      </c>
      <c r="J1078" t="s">
        <v>43</v>
      </c>
      <c r="K1078" t="s">
        <v>78</v>
      </c>
      <c r="L1078" t="s">
        <v>28</v>
      </c>
      <c r="M1078" s="46">
        <v>30500</v>
      </c>
      <c r="N1078">
        <v>0.13200000000000001</v>
      </c>
      <c r="O1078">
        <v>0.55000000000000004</v>
      </c>
      <c r="P1078" t="s">
        <v>79</v>
      </c>
      <c r="R1078">
        <v>142</v>
      </c>
      <c r="S1078">
        <v>2205.91</v>
      </c>
      <c r="T1078">
        <f>Deals_[[#This Row],[Amount]]*Deals_[[#This Row],[Probability_Pct]]</f>
        <v>16775</v>
      </c>
    </row>
    <row r="1079" spans="1:20" x14ac:dyDescent="0.2">
      <c r="A1079" t="s">
        <v>1794</v>
      </c>
      <c r="B1079" s="7">
        <v>46044</v>
      </c>
      <c r="C1079" s="7">
        <v>46084</v>
      </c>
      <c r="D1079" t="s">
        <v>1499</v>
      </c>
      <c r="E1079" t="s">
        <v>91</v>
      </c>
      <c r="F1079" t="s">
        <v>22</v>
      </c>
      <c r="G1079" t="s">
        <v>23</v>
      </c>
      <c r="H1079" t="s">
        <v>49</v>
      </c>
      <c r="I1079" t="s">
        <v>99</v>
      </c>
      <c r="J1079" t="s">
        <v>43</v>
      </c>
      <c r="K1079" t="s">
        <v>58</v>
      </c>
      <c r="L1079" t="s">
        <v>51</v>
      </c>
      <c r="M1079" s="46">
        <v>36400</v>
      </c>
      <c r="N1079">
        <v>9.2999999999999999E-2</v>
      </c>
      <c r="O1079">
        <v>0.8</v>
      </c>
      <c r="P1079" t="s">
        <v>59</v>
      </c>
      <c r="R1079">
        <v>40</v>
      </c>
      <c r="S1079">
        <v>2750.58</v>
      </c>
      <c r="T1079">
        <f>Deals_[[#This Row],[Amount]]*Deals_[[#This Row],[Probability_Pct]]</f>
        <v>29120</v>
      </c>
    </row>
    <row r="1080" spans="1:20" x14ac:dyDescent="0.2">
      <c r="A1080" t="s">
        <v>1795</v>
      </c>
      <c r="B1080" s="7">
        <v>46255</v>
      </c>
      <c r="C1080" s="7">
        <v>46282</v>
      </c>
      <c r="D1080" t="s">
        <v>988</v>
      </c>
      <c r="E1080" t="s">
        <v>62</v>
      </c>
      <c r="F1080" t="s">
        <v>22</v>
      </c>
      <c r="G1080" t="s">
        <v>92</v>
      </c>
      <c r="H1080" t="s">
        <v>24</v>
      </c>
      <c r="I1080" t="s">
        <v>99</v>
      </c>
      <c r="J1080" t="s">
        <v>36</v>
      </c>
      <c r="K1080" t="s">
        <v>37</v>
      </c>
      <c r="L1080" t="s">
        <v>28</v>
      </c>
      <c r="M1080" s="46">
        <v>55000</v>
      </c>
      <c r="N1080">
        <v>5.6000000000000001E-2</v>
      </c>
      <c r="O1080">
        <v>0.1</v>
      </c>
      <c r="P1080" t="s">
        <v>38</v>
      </c>
      <c r="R1080">
        <v>27</v>
      </c>
      <c r="S1080">
        <v>4326.71</v>
      </c>
      <c r="T1080">
        <f>Deals_[[#This Row],[Amount]]*Deals_[[#This Row],[Probability_Pct]]</f>
        <v>5500</v>
      </c>
    </row>
    <row r="1081" spans="1:20" x14ac:dyDescent="0.2">
      <c r="A1081" t="s">
        <v>1796</v>
      </c>
      <c r="B1081" s="7">
        <v>46236</v>
      </c>
      <c r="C1081" s="7">
        <v>46266</v>
      </c>
      <c r="D1081" t="s">
        <v>1797</v>
      </c>
      <c r="E1081" t="s">
        <v>21</v>
      </c>
      <c r="F1081" t="s">
        <v>74</v>
      </c>
      <c r="G1081" t="s">
        <v>23</v>
      </c>
      <c r="H1081" t="s">
        <v>95</v>
      </c>
      <c r="I1081" t="s">
        <v>99</v>
      </c>
      <c r="J1081" t="s">
        <v>26</v>
      </c>
      <c r="K1081" t="s">
        <v>106</v>
      </c>
      <c r="L1081" t="s">
        <v>28</v>
      </c>
      <c r="M1081" s="46">
        <v>267000</v>
      </c>
      <c r="N1081">
        <v>8.8999999999999996E-2</v>
      </c>
      <c r="O1081">
        <v>0.15</v>
      </c>
      <c r="P1081" t="s">
        <v>38</v>
      </c>
      <c r="R1081">
        <v>30</v>
      </c>
      <c r="S1081">
        <v>20270.77</v>
      </c>
      <c r="T1081">
        <f>Deals_[[#This Row],[Amount]]*Deals_[[#This Row],[Probability_Pct]]</f>
        <v>40050</v>
      </c>
    </row>
    <row r="1082" spans="1:20" x14ac:dyDescent="0.2">
      <c r="A1082" t="s">
        <v>1798</v>
      </c>
      <c r="B1082" s="7">
        <v>45954</v>
      </c>
      <c r="C1082" s="7">
        <v>45981</v>
      </c>
      <c r="D1082" t="s">
        <v>1105</v>
      </c>
      <c r="E1082" t="s">
        <v>62</v>
      </c>
      <c r="F1082" t="s">
        <v>48</v>
      </c>
      <c r="G1082" t="s">
        <v>34</v>
      </c>
      <c r="H1082" t="s">
        <v>24</v>
      </c>
      <c r="I1082" t="s">
        <v>99</v>
      </c>
      <c r="J1082" t="s">
        <v>26</v>
      </c>
      <c r="K1082" t="s">
        <v>50</v>
      </c>
      <c r="L1082" t="s">
        <v>28</v>
      </c>
      <c r="M1082" s="46">
        <v>30000</v>
      </c>
      <c r="N1082">
        <v>0.13700000000000001</v>
      </c>
      <c r="O1082">
        <v>0.95</v>
      </c>
      <c r="P1082" t="s">
        <v>29</v>
      </c>
      <c r="R1082">
        <v>27</v>
      </c>
      <c r="S1082">
        <v>2157.58</v>
      </c>
      <c r="T1082">
        <f>Deals_[[#This Row],[Amount]]*Deals_[[#This Row],[Probability_Pct]]</f>
        <v>28500</v>
      </c>
    </row>
    <row r="1083" spans="1:20" x14ac:dyDescent="0.2">
      <c r="A1083" t="s">
        <v>1799</v>
      </c>
      <c r="B1083" s="7">
        <v>46112</v>
      </c>
      <c r="C1083" s="7">
        <v>46277</v>
      </c>
      <c r="D1083" t="s">
        <v>1800</v>
      </c>
      <c r="E1083" t="s">
        <v>33</v>
      </c>
      <c r="F1083" t="s">
        <v>48</v>
      </c>
      <c r="G1083" t="s">
        <v>92</v>
      </c>
      <c r="H1083" t="s">
        <v>64</v>
      </c>
      <c r="I1083" t="s">
        <v>25</v>
      </c>
      <c r="J1083" t="s">
        <v>43</v>
      </c>
      <c r="K1083" t="s">
        <v>27</v>
      </c>
      <c r="L1083" t="s">
        <v>44</v>
      </c>
      <c r="M1083" s="46">
        <v>16700</v>
      </c>
      <c r="N1083">
        <v>0.104</v>
      </c>
      <c r="O1083">
        <v>0</v>
      </c>
      <c r="P1083" t="s">
        <v>29</v>
      </c>
      <c r="Q1083" t="s">
        <v>30</v>
      </c>
      <c r="R1083">
        <v>165</v>
      </c>
      <c r="S1083">
        <v>1247</v>
      </c>
      <c r="T1083">
        <f>Deals_[[#This Row],[Amount]]*Deals_[[#This Row],[Probability_Pct]]</f>
        <v>0</v>
      </c>
    </row>
    <row r="1084" spans="1:20" x14ac:dyDescent="0.2">
      <c r="A1084" t="s">
        <v>1801</v>
      </c>
      <c r="B1084" s="7">
        <v>46137</v>
      </c>
      <c r="C1084" s="7">
        <v>46277</v>
      </c>
      <c r="D1084" t="s">
        <v>1802</v>
      </c>
      <c r="E1084" t="s">
        <v>62</v>
      </c>
      <c r="F1084" t="s">
        <v>48</v>
      </c>
      <c r="G1084" t="s">
        <v>63</v>
      </c>
      <c r="H1084" t="s">
        <v>24</v>
      </c>
      <c r="I1084" t="s">
        <v>25</v>
      </c>
      <c r="J1084" t="s">
        <v>85</v>
      </c>
      <c r="K1084" t="s">
        <v>50</v>
      </c>
      <c r="L1084" t="s">
        <v>44</v>
      </c>
      <c r="M1084" s="46">
        <v>11700</v>
      </c>
      <c r="N1084">
        <v>8.7999999999999995E-2</v>
      </c>
      <c r="O1084">
        <v>1</v>
      </c>
      <c r="P1084" t="s">
        <v>29</v>
      </c>
      <c r="R1084">
        <v>140</v>
      </c>
      <c r="S1084">
        <v>889.34</v>
      </c>
      <c r="T1084">
        <f>Deals_[[#This Row],[Amount]]*Deals_[[#This Row],[Probability_Pct]]</f>
        <v>11700</v>
      </c>
    </row>
    <row r="1085" spans="1:20" x14ac:dyDescent="0.2">
      <c r="A1085" t="s">
        <v>1803</v>
      </c>
      <c r="B1085" s="7">
        <v>46116</v>
      </c>
      <c r="C1085" s="7">
        <v>46199</v>
      </c>
      <c r="D1085" t="s">
        <v>1804</v>
      </c>
      <c r="E1085" t="s">
        <v>111</v>
      </c>
      <c r="F1085" t="s">
        <v>48</v>
      </c>
      <c r="G1085" t="s">
        <v>63</v>
      </c>
      <c r="H1085" t="s">
        <v>137</v>
      </c>
      <c r="I1085" t="s">
        <v>65</v>
      </c>
      <c r="J1085" t="s">
        <v>36</v>
      </c>
      <c r="K1085" t="s">
        <v>78</v>
      </c>
      <c r="L1085" t="s">
        <v>44</v>
      </c>
      <c r="M1085" s="46">
        <v>21000</v>
      </c>
      <c r="N1085">
        <v>0.11600000000000001</v>
      </c>
      <c r="O1085">
        <v>0.55000000000000004</v>
      </c>
      <c r="P1085" t="s">
        <v>79</v>
      </c>
      <c r="R1085">
        <v>83</v>
      </c>
      <c r="S1085">
        <v>1547.07</v>
      </c>
      <c r="T1085">
        <f>Deals_[[#This Row],[Amount]]*Deals_[[#This Row],[Probability_Pct]]</f>
        <v>11550.000000000002</v>
      </c>
    </row>
    <row r="1086" spans="1:20" x14ac:dyDescent="0.2">
      <c r="A1086" t="s">
        <v>1805</v>
      </c>
      <c r="B1086" s="7">
        <v>45975</v>
      </c>
      <c r="C1086" s="7">
        <v>46099</v>
      </c>
      <c r="D1086" t="s">
        <v>1506</v>
      </c>
      <c r="E1086" t="s">
        <v>62</v>
      </c>
      <c r="F1086" t="s">
        <v>22</v>
      </c>
      <c r="G1086" t="s">
        <v>92</v>
      </c>
      <c r="H1086" t="s">
        <v>69</v>
      </c>
      <c r="I1086" t="s">
        <v>35</v>
      </c>
      <c r="J1086" t="s">
        <v>57</v>
      </c>
      <c r="K1086" t="s">
        <v>27</v>
      </c>
      <c r="L1086" t="s">
        <v>44</v>
      </c>
      <c r="M1086" s="46">
        <v>35900</v>
      </c>
      <c r="N1086">
        <v>2.1999999999999999E-2</v>
      </c>
      <c r="O1086">
        <v>0</v>
      </c>
      <c r="P1086" t="s">
        <v>29</v>
      </c>
      <c r="Q1086" t="s">
        <v>209</v>
      </c>
      <c r="R1086">
        <v>124</v>
      </c>
      <c r="S1086">
        <v>2925.15</v>
      </c>
      <c r="T1086">
        <f>Deals_[[#This Row],[Amount]]*Deals_[[#This Row],[Probability_Pct]]</f>
        <v>0</v>
      </c>
    </row>
    <row r="1087" spans="1:20" x14ac:dyDescent="0.2">
      <c r="A1087" t="s">
        <v>1806</v>
      </c>
      <c r="B1087" s="7">
        <v>46266</v>
      </c>
      <c r="C1087" s="7">
        <v>46299</v>
      </c>
      <c r="D1087" t="s">
        <v>1807</v>
      </c>
      <c r="E1087" t="s">
        <v>62</v>
      </c>
      <c r="F1087" t="s">
        <v>48</v>
      </c>
      <c r="G1087" t="s">
        <v>23</v>
      </c>
      <c r="H1087" t="s">
        <v>49</v>
      </c>
      <c r="I1087" t="s">
        <v>35</v>
      </c>
      <c r="J1087" t="s">
        <v>36</v>
      </c>
      <c r="K1087" t="s">
        <v>78</v>
      </c>
      <c r="L1087" t="s">
        <v>44</v>
      </c>
      <c r="M1087" s="46">
        <v>10500</v>
      </c>
      <c r="N1087">
        <v>0.26400000000000001</v>
      </c>
      <c r="O1087">
        <v>0.6</v>
      </c>
      <c r="P1087" t="s">
        <v>79</v>
      </c>
      <c r="R1087">
        <v>33</v>
      </c>
      <c r="S1087">
        <v>643.88</v>
      </c>
      <c r="T1087">
        <f>Deals_[[#This Row],[Amount]]*Deals_[[#This Row],[Probability_Pct]]</f>
        <v>6300</v>
      </c>
    </row>
    <row r="1088" spans="1:20" x14ac:dyDescent="0.2">
      <c r="A1088" t="s">
        <v>1808</v>
      </c>
      <c r="B1088" s="7">
        <v>46227</v>
      </c>
      <c r="C1088" s="7">
        <v>46277</v>
      </c>
      <c r="D1088" t="s">
        <v>1476</v>
      </c>
      <c r="E1088" t="s">
        <v>62</v>
      </c>
      <c r="F1088" t="s">
        <v>48</v>
      </c>
      <c r="G1088" t="s">
        <v>92</v>
      </c>
      <c r="H1088" t="s">
        <v>64</v>
      </c>
      <c r="I1088" t="s">
        <v>99</v>
      </c>
      <c r="J1088" t="s">
        <v>85</v>
      </c>
      <c r="K1088" t="s">
        <v>50</v>
      </c>
      <c r="L1088" t="s">
        <v>51</v>
      </c>
      <c r="M1088" s="46">
        <v>6200</v>
      </c>
      <c r="N1088">
        <v>0.224</v>
      </c>
      <c r="O1088">
        <v>1</v>
      </c>
      <c r="P1088" t="s">
        <v>29</v>
      </c>
      <c r="R1088">
        <v>50</v>
      </c>
      <c r="S1088">
        <v>401.19</v>
      </c>
      <c r="T1088">
        <f>Deals_[[#This Row],[Amount]]*Deals_[[#This Row],[Probability_Pct]]</f>
        <v>6200</v>
      </c>
    </row>
    <row r="1089" spans="1:20" x14ac:dyDescent="0.2">
      <c r="A1089" t="s">
        <v>1809</v>
      </c>
      <c r="B1089" s="7">
        <v>45979</v>
      </c>
      <c r="C1089" s="7">
        <v>46030</v>
      </c>
      <c r="D1089" t="s">
        <v>1324</v>
      </c>
      <c r="E1089" t="s">
        <v>33</v>
      </c>
      <c r="F1089" t="s">
        <v>22</v>
      </c>
      <c r="G1089" t="s">
        <v>23</v>
      </c>
      <c r="H1089" t="s">
        <v>95</v>
      </c>
      <c r="I1089" t="s">
        <v>42</v>
      </c>
      <c r="J1089" t="s">
        <v>43</v>
      </c>
      <c r="K1089" t="s">
        <v>78</v>
      </c>
      <c r="L1089" t="s">
        <v>28</v>
      </c>
      <c r="M1089" s="46">
        <v>68000</v>
      </c>
      <c r="N1089">
        <v>0.13200000000000001</v>
      </c>
      <c r="O1089">
        <v>0.55000000000000004</v>
      </c>
      <c r="P1089" t="s">
        <v>79</v>
      </c>
      <c r="R1089">
        <v>51</v>
      </c>
      <c r="S1089">
        <v>4921.12</v>
      </c>
      <c r="T1089">
        <f>Deals_[[#This Row],[Amount]]*Deals_[[#This Row],[Probability_Pct]]</f>
        <v>37400</v>
      </c>
    </row>
    <row r="1090" spans="1:20" x14ac:dyDescent="0.2">
      <c r="A1090" t="s">
        <v>1810</v>
      </c>
      <c r="B1090" s="7">
        <v>46074</v>
      </c>
      <c r="C1090" s="7">
        <v>46198</v>
      </c>
      <c r="D1090" t="s">
        <v>1811</v>
      </c>
      <c r="E1090" t="s">
        <v>54</v>
      </c>
      <c r="F1090" t="s">
        <v>22</v>
      </c>
      <c r="G1090" t="s">
        <v>63</v>
      </c>
      <c r="H1090" t="s">
        <v>98</v>
      </c>
      <c r="I1090" t="s">
        <v>84</v>
      </c>
      <c r="J1090" t="s">
        <v>85</v>
      </c>
      <c r="K1090" t="s">
        <v>106</v>
      </c>
      <c r="L1090" t="s">
        <v>51</v>
      </c>
      <c r="M1090" s="46">
        <v>88300</v>
      </c>
      <c r="N1090">
        <v>8.5000000000000006E-2</v>
      </c>
      <c r="O1090">
        <v>0.2</v>
      </c>
      <c r="P1090" t="s">
        <v>38</v>
      </c>
      <c r="R1090">
        <v>124</v>
      </c>
      <c r="S1090">
        <v>6730.52</v>
      </c>
      <c r="T1090">
        <f>Deals_[[#This Row],[Amount]]*Deals_[[#This Row],[Probability_Pct]]</f>
        <v>17660</v>
      </c>
    </row>
    <row r="1091" spans="1:20" x14ac:dyDescent="0.2">
      <c r="A1091" t="s">
        <v>1812</v>
      </c>
      <c r="B1091" s="7">
        <v>46113</v>
      </c>
      <c r="C1091" s="7">
        <v>46221</v>
      </c>
      <c r="D1091" t="s">
        <v>1813</v>
      </c>
      <c r="E1091" t="s">
        <v>68</v>
      </c>
      <c r="F1091" t="s">
        <v>74</v>
      </c>
      <c r="G1091" t="s">
        <v>63</v>
      </c>
      <c r="H1091" t="s">
        <v>95</v>
      </c>
      <c r="I1091" t="s">
        <v>25</v>
      </c>
      <c r="J1091" t="s">
        <v>57</v>
      </c>
      <c r="K1091" t="s">
        <v>37</v>
      </c>
      <c r="L1091" t="s">
        <v>51</v>
      </c>
      <c r="M1091" s="46">
        <v>126100</v>
      </c>
      <c r="N1091">
        <v>6.0999999999999999E-2</v>
      </c>
      <c r="O1091">
        <v>0.1</v>
      </c>
      <c r="P1091" t="s">
        <v>38</v>
      </c>
      <c r="R1091">
        <v>108</v>
      </c>
      <c r="S1091">
        <v>9867.11</v>
      </c>
      <c r="T1091">
        <f>Deals_[[#This Row],[Amount]]*Deals_[[#This Row],[Probability_Pct]]</f>
        <v>12610</v>
      </c>
    </row>
    <row r="1092" spans="1:20" x14ac:dyDescent="0.2">
      <c r="A1092" t="s">
        <v>1814</v>
      </c>
      <c r="B1092" s="7">
        <v>46068</v>
      </c>
      <c r="C1092" s="7">
        <v>46125</v>
      </c>
      <c r="D1092" t="s">
        <v>443</v>
      </c>
      <c r="E1092" t="s">
        <v>54</v>
      </c>
      <c r="F1092" t="s">
        <v>74</v>
      </c>
      <c r="G1092" t="s">
        <v>55</v>
      </c>
      <c r="H1092" t="s">
        <v>41</v>
      </c>
      <c r="I1092" t="s">
        <v>84</v>
      </c>
      <c r="J1092" t="s">
        <v>43</v>
      </c>
      <c r="K1092" t="s">
        <v>106</v>
      </c>
      <c r="L1092" t="s">
        <v>44</v>
      </c>
      <c r="M1092" s="46">
        <v>248600</v>
      </c>
      <c r="N1092">
        <v>0.16800000000000001</v>
      </c>
      <c r="O1092">
        <v>0.2</v>
      </c>
      <c r="P1092" t="s">
        <v>38</v>
      </c>
      <c r="R1092">
        <v>57</v>
      </c>
      <c r="S1092">
        <v>17245.57</v>
      </c>
      <c r="T1092">
        <f>Deals_[[#This Row],[Amount]]*Deals_[[#This Row],[Probability_Pct]]</f>
        <v>49720</v>
      </c>
    </row>
    <row r="1093" spans="1:20" x14ac:dyDescent="0.2">
      <c r="A1093" t="s">
        <v>1815</v>
      </c>
      <c r="B1093" s="7">
        <v>45949</v>
      </c>
      <c r="C1093" s="7">
        <v>46046</v>
      </c>
      <c r="D1093" t="s">
        <v>999</v>
      </c>
      <c r="E1093" t="s">
        <v>62</v>
      </c>
      <c r="F1093" t="s">
        <v>48</v>
      </c>
      <c r="G1093" t="s">
        <v>23</v>
      </c>
      <c r="H1093" t="s">
        <v>41</v>
      </c>
      <c r="I1093" t="s">
        <v>84</v>
      </c>
      <c r="J1093" t="s">
        <v>57</v>
      </c>
      <c r="K1093" t="s">
        <v>50</v>
      </c>
      <c r="L1093" t="s">
        <v>28</v>
      </c>
      <c r="M1093" s="46">
        <v>16100</v>
      </c>
      <c r="N1093">
        <v>1.2999999999999999E-2</v>
      </c>
      <c r="O1093">
        <v>0.95</v>
      </c>
      <c r="P1093" t="s">
        <v>29</v>
      </c>
      <c r="R1093">
        <v>97</v>
      </c>
      <c r="S1093">
        <v>1323.98</v>
      </c>
      <c r="T1093">
        <f>Deals_[[#This Row],[Amount]]*Deals_[[#This Row],[Probability_Pct]]</f>
        <v>15295</v>
      </c>
    </row>
    <row r="1094" spans="1:20" x14ac:dyDescent="0.2">
      <c r="A1094" t="s">
        <v>1816</v>
      </c>
      <c r="B1094" s="7">
        <v>46047</v>
      </c>
      <c r="C1094" s="7">
        <v>46113</v>
      </c>
      <c r="D1094" t="s">
        <v>1098</v>
      </c>
      <c r="E1094" t="s">
        <v>21</v>
      </c>
      <c r="F1094" t="s">
        <v>74</v>
      </c>
      <c r="G1094" t="s">
        <v>63</v>
      </c>
      <c r="H1094" t="s">
        <v>24</v>
      </c>
      <c r="I1094" t="s">
        <v>35</v>
      </c>
      <c r="J1094" t="s">
        <v>26</v>
      </c>
      <c r="K1094" t="s">
        <v>37</v>
      </c>
      <c r="L1094" t="s">
        <v>51</v>
      </c>
      <c r="M1094" s="46">
        <v>197600</v>
      </c>
      <c r="N1094">
        <v>0.124</v>
      </c>
      <c r="O1094">
        <v>0.15</v>
      </c>
      <c r="P1094" t="s">
        <v>38</v>
      </c>
      <c r="R1094">
        <v>66</v>
      </c>
      <c r="S1094">
        <v>14418.56</v>
      </c>
      <c r="T1094">
        <f>Deals_[[#This Row],[Amount]]*Deals_[[#This Row],[Probability_Pct]]</f>
        <v>29640</v>
      </c>
    </row>
    <row r="1095" spans="1:20" x14ac:dyDescent="0.2">
      <c r="A1095" t="s">
        <v>1817</v>
      </c>
      <c r="B1095" s="7">
        <v>46035</v>
      </c>
      <c r="C1095" s="7">
        <v>46191</v>
      </c>
      <c r="D1095" t="s">
        <v>377</v>
      </c>
      <c r="E1095" t="s">
        <v>62</v>
      </c>
      <c r="F1095" t="s">
        <v>22</v>
      </c>
      <c r="G1095" t="s">
        <v>92</v>
      </c>
      <c r="H1095" t="s">
        <v>41</v>
      </c>
      <c r="I1095" t="s">
        <v>99</v>
      </c>
      <c r="J1095" t="s">
        <v>85</v>
      </c>
      <c r="K1095" t="s">
        <v>27</v>
      </c>
      <c r="L1095" t="s">
        <v>51</v>
      </c>
      <c r="M1095" s="46">
        <v>54900</v>
      </c>
      <c r="N1095">
        <v>3.5000000000000003E-2</v>
      </c>
      <c r="O1095">
        <v>0</v>
      </c>
      <c r="P1095" t="s">
        <v>29</v>
      </c>
      <c r="Q1095" t="s">
        <v>222</v>
      </c>
      <c r="R1095">
        <v>156</v>
      </c>
      <c r="S1095">
        <v>4413.57</v>
      </c>
      <c r="T1095">
        <f>Deals_[[#This Row],[Amount]]*Deals_[[#This Row],[Probability_Pct]]</f>
        <v>0</v>
      </c>
    </row>
    <row r="1096" spans="1:20" x14ac:dyDescent="0.2">
      <c r="A1096" t="s">
        <v>1818</v>
      </c>
      <c r="B1096" s="7">
        <v>46103</v>
      </c>
      <c r="C1096" s="7">
        <v>46160</v>
      </c>
      <c r="D1096" t="s">
        <v>1819</v>
      </c>
      <c r="E1096" t="s">
        <v>68</v>
      </c>
      <c r="F1096" t="s">
        <v>48</v>
      </c>
      <c r="G1096" t="s">
        <v>23</v>
      </c>
      <c r="H1096" t="s">
        <v>95</v>
      </c>
      <c r="I1096" t="s">
        <v>65</v>
      </c>
      <c r="J1096" t="s">
        <v>85</v>
      </c>
      <c r="K1096" t="s">
        <v>37</v>
      </c>
      <c r="L1096" t="s">
        <v>28</v>
      </c>
      <c r="M1096" s="46">
        <v>18900</v>
      </c>
      <c r="N1096">
        <v>0.128</v>
      </c>
      <c r="O1096">
        <v>0.1</v>
      </c>
      <c r="P1096" t="s">
        <v>38</v>
      </c>
      <c r="R1096">
        <v>57</v>
      </c>
      <c r="S1096">
        <v>1372.99</v>
      </c>
      <c r="T1096">
        <f>Deals_[[#This Row],[Amount]]*Deals_[[#This Row],[Probability_Pct]]</f>
        <v>1890</v>
      </c>
    </row>
    <row r="1097" spans="1:20" x14ac:dyDescent="0.2">
      <c r="A1097" t="s">
        <v>1820</v>
      </c>
      <c r="B1097" s="7">
        <v>45968</v>
      </c>
      <c r="C1097" s="7">
        <v>46063</v>
      </c>
      <c r="D1097" t="s">
        <v>1383</v>
      </c>
      <c r="E1097" t="s">
        <v>68</v>
      </c>
      <c r="F1097" t="s">
        <v>22</v>
      </c>
      <c r="G1097" t="s">
        <v>92</v>
      </c>
      <c r="H1097" t="s">
        <v>64</v>
      </c>
      <c r="I1097" t="s">
        <v>42</v>
      </c>
      <c r="J1097" t="s">
        <v>26</v>
      </c>
      <c r="K1097" t="s">
        <v>50</v>
      </c>
      <c r="L1097" t="s">
        <v>44</v>
      </c>
      <c r="M1097" s="46">
        <v>42100</v>
      </c>
      <c r="N1097">
        <v>0.216</v>
      </c>
      <c r="O1097">
        <v>1</v>
      </c>
      <c r="P1097" t="s">
        <v>29</v>
      </c>
      <c r="R1097">
        <v>95</v>
      </c>
      <c r="S1097">
        <v>2749.13</v>
      </c>
      <c r="T1097">
        <f>Deals_[[#This Row],[Amount]]*Deals_[[#This Row],[Probability_Pct]]</f>
        <v>42100</v>
      </c>
    </row>
    <row r="1098" spans="1:20" x14ac:dyDescent="0.2">
      <c r="A1098" t="s">
        <v>1821</v>
      </c>
      <c r="B1098" s="7">
        <v>45944</v>
      </c>
      <c r="C1098" s="7">
        <v>46033</v>
      </c>
      <c r="D1098" t="s">
        <v>1822</v>
      </c>
      <c r="E1098" t="s">
        <v>62</v>
      </c>
      <c r="F1098" t="s">
        <v>48</v>
      </c>
      <c r="G1098" t="s">
        <v>34</v>
      </c>
      <c r="H1098" t="s">
        <v>120</v>
      </c>
      <c r="I1098" t="s">
        <v>84</v>
      </c>
      <c r="J1098" t="s">
        <v>36</v>
      </c>
      <c r="K1098" t="s">
        <v>88</v>
      </c>
      <c r="L1098" t="s">
        <v>44</v>
      </c>
      <c r="M1098" s="46">
        <v>19900</v>
      </c>
      <c r="N1098">
        <v>8.4000000000000005E-2</v>
      </c>
      <c r="O1098">
        <v>0.35</v>
      </c>
      <c r="P1098" t="s">
        <v>38</v>
      </c>
      <c r="R1098">
        <v>89</v>
      </c>
      <c r="S1098">
        <v>1518.86</v>
      </c>
      <c r="T1098">
        <f>Deals_[[#This Row],[Amount]]*Deals_[[#This Row],[Probability_Pct]]</f>
        <v>6965</v>
      </c>
    </row>
    <row r="1099" spans="1:20" x14ac:dyDescent="0.2">
      <c r="A1099" t="s">
        <v>1823</v>
      </c>
      <c r="B1099" s="7">
        <v>46250</v>
      </c>
      <c r="C1099" s="7">
        <v>46288</v>
      </c>
      <c r="D1099" t="s">
        <v>1824</v>
      </c>
      <c r="E1099" t="s">
        <v>68</v>
      </c>
      <c r="F1099" t="s">
        <v>48</v>
      </c>
      <c r="G1099" t="s">
        <v>55</v>
      </c>
      <c r="H1099" t="s">
        <v>95</v>
      </c>
      <c r="I1099" t="s">
        <v>65</v>
      </c>
      <c r="J1099" t="s">
        <v>36</v>
      </c>
      <c r="K1099" t="s">
        <v>37</v>
      </c>
      <c r="L1099" t="s">
        <v>28</v>
      </c>
      <c r="M1099" s="46">
        <v>24000</v>
      </c>
      <c r="N1099">
        <v>0.1</v>
      </c>
      <c r="O1099">
        <v>0.1</v>
      </c>
      <c r="P1099" t="s">
        <v>38</v>
      </c>
      <c r="R1099">
        <v>38</v>
      </c>
      <c r="S1099">
        <v>1799.57</v>
      </c>
      <c r="T1099">
        <f>Deals_[[#This Row],[Amount]]*Deals_[[#This Row],[Probability_Pct]]</f>
        <v>2400</v>
      </c>
    </row>
    <row r="1100" spans="1:20" x14ac:dyDescent="0.2">
      <c r="A1100" t="s">
        <v>1825</v>
      </c>
      <c r="B1100" s="7">
        <v>46092</v>
      </c>
      <c r="C1100" s="7">
        <v>46164</v>
      </c>
      <c r="D1100" t="s">
        <v>1826</v>
      </c>
      <c r="E1100" t="s">
        <v>111</v>
      </c>
      <c r="F1100" t="s">
        <v>48</v>
      </c>
      <c r="G1100" t="s">
        <v>34</v>
      </c>
      <c r="H1100" t="s">
        <v>95</v>
      </c>
      <c r="I1100" t="s">
        <v>65</v>
      </c>
      <c r="J1100" t="s">
        <v>43</v>
      </c>
      <c r="K1100" t="s">
        <v>37</v>
      </c>
      <c r="L1100" t="s">
        <v>44</v>
      </c>
      <c r="M1100" s="46">
        <v>6800</v>
      </c>
      <c r="N1100">
        <v>0.13500000000000001</v>
      </c>
      <c r="O1100">
        <v>0.1</v>
      </c>
      <c r="P1100" t="s">
        <v>38</v>
      </c>
      <c r="R1100">
        <v>72</v>
      </c>
      <c r="S1100">
        <v>490.42</v>
      </c>
      <c r="T1100">
        <f>Deals_[[#This Row],[Amount]]*Deals_[[#This Row],[Probability_Pct]]</f>
        <v>680</v>
      </c>
    </row>
    <row r="1101" spans="1:20" x14ac:dyDescent="0.2">
      <c r="A1101" t="s">
        <v>1827</v>
      </c>
      <c r="B1101" s="7">
        <v>45983</v>
      </c>
      <c r="C1101" s="7">
        <v>46012</v>
      </c>
      <c r="D1101" t="s">
        <v>149</v>
      </c>
      <c r="E1101" t="s">
        <v>82</v>
      </c>
      <c r="F1101" t="s">
        <v>48</v>
      </c>
      <c r="G1101" t="s">
        <v>55</v>
      </c>
      <c r="H1101" t="s">
        <v>98</v>
      </c>
      <c r="I1101" t="s">
        <v>42</v>
      </c>
      <c r="J1101" t="s">
        <v>36</v>
      </c>
      <c r="K1101" t="s">
        <v>37</v>
      </c>
      <c r="L1101" t="s">
        <v>28</v>
      </c>
      <c r="M1101" s="46">
        <v>7300</v>
      </c>
      <c r="N1101">
        <v>0.16300000000000001</v>
      </c>
      <c r="O1101">
        <v>0.1</v>
      </c>
      <c r="P1101" t="s">
        <v>38</v>
      </c>
      <c r="R1101">
        <v>29</v>
      </c>
      <c r="S1101">
        <v>509.31</v>
      </c>
      <c r="T1101">
        <f>Deals_[[#This Row],[Amount]]*Deals_[[#This Row],[Probability_Pct]]</f>
        <v>730</v>
      </c>
    </row>
    <row r="1102" spans="1:20" x14ac:dyDescent="0.2">
      <c r="A1102" t="s">
        <v>1828</v>
      </c>
      <c r="B1102" s="7">
        <v>46199</v>
      </c>
      <c r="C1102" s="7">
        <v>46261</v>
      </c>
      <c r="D1102" t="s">
        <v>348</v>
      </c>
      <c r="E1102" t="s">
        <v>68</v>
      </c>
      <c r="F1102" t="s">
        <v>22</v>
      </c>
      <c r="G1102" t="s">
        <v>63</v>
      </c>
      <c r="H1102" t="s">
        <v>95</v>
      </c>
      <c r="I1102" t="s">
        <v>25</v>
      </c>
      <c r="J1102" t="s">
        <v>43</v>
      </c>
      <c r="K1102" t="s">
        <v>58</v>
      </c>
      <c r="L1102" t="s">
        <v>44</v>
      </c>
      <c r="M1102" s="46">
        <v>53900</v>
      </c>
      <c r="N1102">
        <v>9.9000000000000005E-2</v>
      </c>
      <c r="O1102">
        <v>0.75</v>
      </c>
      <c r="P1102" t="s">
        <v>59</v>
      </c>
      <c r="R1102">
        <v>62</v>
      </c>
      <c r="S1102">
        <v>4048.62</v>
      </c>
      <c r="T1102">
        <f>Deals_[[#This Row],[Amount]]*Deals_[[#This Row],[Probability_Pct]]</f>
        <v>40425</v>
      </c>
    </row>
    <row r="1103" spans="1:20" x14ac:dyDescent="0.2">
      <c r="A1103" t="s">
        <v>1829</v>
      </c>
      <c r="B1103" s="7">
        <v>46185</v>
      </c>
      <c r="C1103" s="7">
        <v>46242</v>
      </c>
      <c r="D1103" t="s">
        <v>139</v>
      </c>
      <c r="E1103" t="s">
        <v>62</v>
      </c>
      <c r="F1103" t="s">
        <v>74</v>
      </c>
      <c r="G1103" t="s">
        <v>55</v>
      </c>
      <c r="H1103" t="s">
        <v>64</v>
      </c>
      <c r="I1103" t="s">
        <v>35</v>
      </c>
      <c r="J1103" t="s">
        <v>57</v>
      </c>
      <c r="K1103" t="s">
        <v>78</v>
      </c>
      <c r="L1103" t="s">
        <v>44</v>
      </c>
      <c r="M1103" s="46">
        <v>314300</v>
      </c>
      <c r="N1103">
        <v>3.1E-2</v>
      </c>
      <c r="O1103">
        <v>0.55000000000000004</v>
      </c>
      <c r="P1103" t="s">
        <v>79</v>
      </c>
      <c r="R1103">
        <v>57</v>
      </c>
      <c r="S1103">
        <v>25370.35</v>
      </c>
      <c r="T1103">
        <f>Deals_[[#This Row],[Amount]]*Deals_[[#This Row],[Probability_Pct]]</f>
        <v>172865</v>
      </c>
    </row>
    <row r="1104" spans="1:20" x14ac:dyDescent="0.2">
      <c r="A1104" t="s">
        <v>1830</v>
      </c>
      <c r="B1104" s="7">
        <v>45978</v>
      </c>
      <c r="C1104" s="7">
        <v>46031</v>
      </c>
      <c r="D1104" t="s">
        <v>1831</v>
      </c>
      <c r="E1104" t="s">
        <v>82</v>
      </c>
      <c r="F1104" t="s">
        <v>48</v>
      </c>
      <c r="G1104" t="s">
        <v>34</v>
      </c>
      <c r="H1104" t="s">
        <v>98</v>
      </c>
      <c r="I1104" t="s">
        <v>25</v>
      </c>
      <c r="J1104" t="s">
        <v>36</v>
      </c>
      <c r="K1104" t="s">
        <v>37</v>
      </c>
      <c r="L1104" t="s">
        <v>28</v>
      </c>
      <c r="M1104" s="46">
        <v>22200</v>
      </c>
      <c r="N1104">
        <v>5.1999999999999998E-2</v>
      </c>
      <c r="O1104">
        <v>0.15</v>
      </c>
      <c r="P1104" t="s">
        <v>38</v>
      </c>
      <c r="R1104">
        <v>53</v>
      </c>
      <c r="S1104">
        <v>1754.31</v>
      </c>
      <c r="T1104">
        <f>Deals_[[#This Row],[Amount]]*Deals_[[#This Row],[Probability_Pct]]</f>
        <v>3330</v>
      </c>
    </row>
    <row r="1105" spans="1:20" x14ac:dyDescent="0.2">
      <c r="A1105" t="s">
        <v>1832</v>
      </c>
      <c r="B1105" s="7">
        <v>46119</v>
      </c>
      <c r="C1105" s="7">
        <v>46234</v>
      </c>
      <c r="D1105" t="s">
        <v>1833</v>
      </c>
      <c r="E1105" t="s">
        <v>82</v>
      </c>
      <c r="F1105" t="s">
        <v>22</v>
      </c>
      <c r="G1105" t="s">
        <v>63</v>
      </c>
      <c r="H1105" t="s">
        <v>24</v>
      </c>
      <c r="I1105" t="s">
        <v>25</v>
      </c>
      <c r="J1105" t="s">
        <v>43</v>
      </c>
      <c r="K1105" t="s">
        <v>78</v>
      </c>
      <c r="L1105" t="s">
        <v>44</v>
      </c>
      <c r="M1105" s="46">
        <v>27600</v>
      </c>
      <c r="N1105">
        <v>8.7999999999999995E-2</v>
      </c>
      <c r="O1105">
        <v>0.55000000000000004</v>
      </c>
      <c r="P1105" t="s">
        <v>79</v>
      </c>
      <c r="R1105">
        <v>115</v>
      </c>
      <c r="S1105">
        <v>2098.6</v>
      </c>
      <c r="T1105">
        <f>Deals_[[#This Row],[Amount]]*Deals_[[#This Row],[Probability_Pct]]</f>
        <v>15180.000000000002</v>
      </c>
    </row>
    <row r="1106" spans="1:20" x14ac:dyDescent="0.2">
      <c r="A1106" t="s">
        <v>1834</v>
      </c>
      <c r="B1106" s="7">
        <v>46224</v>
      </c>
      <c r="C1106" s="7">
        <v>46292</v>
      </c>
      <c r="D1106" t="s">
        <v>1835</v>
      </c>
      <c r="E1106" t="s">
        <v>91</v>
      </c>
      <c r="F1106" t="s">
        <v>74</v>
      </c>
      <c r="G1106" t="s">
        <v>63</v>
      </c>
      <c r="H1106" t="s">
        <v>95</v>
      </c>
      <c r="I1106" t="s">
        <v>35</v>
      </c>
      <c r="J1106" t="s">
        <v>43</v>
      </c>
      <c r="K1106" t="s">
        <v>78</v>
      </c>
      <c r="L1106" t="s">
        <v>44</v>
      </c>
      <c r="M1106" s="46">
        <v>248400</v>
      </c>
      <c r="N1106">
        <v>0.109</v>
      </c>
      <c r="O1106">
        <v>0.5</v>
      </c>
      <c r="P1106" t="s">
        <v>79</v>
      </c>
      <c r="R1106">
        <v>68</v>
      </c>
      <c r="S1106">
        <v>18449.07</v>
      </c>
      <c r="T1106">
        <f>Deals_[[#This Row],[Amount]]*Deals_[[#This Row],[Probability_Pct]]</f>
        <v>124200</v>
      </c>
    </row>
    <row r="1107" spans="1:20" x14ac:dyDescent="0.2">
      <c r="A1107" t="s">
        <v>1836</v>
      </c>
      <c r="B1107" s="7">
        <v>45955</v>
      </c>
      <c r="C1107" s="7">
        <v>46102</v>
      </c>
      <c r="D1107" t="s">
        <v>1096</v>
      </c>
      <c r="E1107" t="s">
        <v>68</v>
      </c>
      <c r="F1107" t="s">
        <v>74</v>
      </c>
      <c r="G1107" t="s">
        <v>34</v>
      </c>
      <c r="H1107" t="s">
        <v>137</v>
      </c>
      <c r="I1107" t="s">
        <v>84</v>
      </c>
      <c r="J1107" t="s">
        <v>26</v>
      </c>
      <c r="K1107" t="s">
        <v>50</v>
      </c>
      <c r="L1107" t="s">
        <v>44</v>
      </c>
      <c r="M1107" s="46">
        <v>170800</v>
      </c>
      <c r="N1107">
        <v>0.157</v>
      </c>
      <c r="O1107">
        <v>1</v>
      </c>
      <c r="P1107" t="s">
        <v>29</v>
      </c>
      <c r="R1107">
        <v>147</v>
      </c>
      <c r="S1107">
        <v>11999.63</v>
      </c>
      <c r="T1107">
        <f>Deals_[[#This Row],[Amount]]*Deals_[[#This Row],[Probability_Pct]]</f>
        <v>170800</v>
      </c>
    </row>
    <row r="1108" spans="1:20" x14ac:dyDescent="0.2">
      <c r="A1108" t="s">
        <v>1837</v>
      </c>
      <c r="B1108" s="7">
        <v>46140</v>
      </c>
      <c r="C1108" s="7">
        <v>46166</v>
      </c>
      <c r="D1108" t="s">
        <v>890</v>
      </c>
      <c r="E1108" t="s">
        <v>82</v>
      </c>
      <c r="F1108" t="s">
        <v>48</v>
      </c>
      <c r="G1108" t="s">
        <v>55</v>
      </c>
      <c r="H1108" t="s">
        <v>77</v>
      </c>
      <c r="I1108" t="s">
        <v>25</v>
      </c>
      <c r="J1108" t="s">
        <v>43</v>
      </c>
      <c r="K1108" t="s">
        <v>37</v>
      </c>
      <c r="L1108" t="s">
        <v>28</v>
      </c>
      <c r="M1108" s="46">
        <v>23500</v>
      </c>
      <c r="N1108">
        <v>0.18099999999999999</v>
      </c>
      <c r="O1108">
        <v>0.1</v>
      </c>
      <c r="P1108" t="s">
        <v>38</v>
      </c>
      <c r="R1108">
        <v>26</v>
      </c>
      <c r="S1108">
        <v>1604.43</v>
      </c>
      <c r="T1108">
        <f>Deals_[[#This Row],[Amount]]*Deals_[[#This Row],[Probability_Pct]]</f>
        <v>2350</v>
      </c>
    </row>
    <row r="1109" spans="1:20" x14ac:dyDescent="0.2">
      <c r="A1109" t="s">
        <v>1838</v>
      </c>
      <c r="B1109" s="7">
        <v>46133</v>
      </c>
      <c r="C1109" s="7">
        <v>46327</v>
      </c>
      <c r="D1109" t="s">
        <v>977</v>
      </c>
      <c r="E1109" t="s">
        <v>62</v>
      </c>
      <c r="F1109" t="s">
        <v>48</v>
      </c>
      <c r="G1109" t="s">
        <v>23</v>
      </c>
      <c r="H1109" t="s">
        <v>41</v>
      </c>
      <c r="I1109" t="s">
        <v>65</v>
      </c>
      <c r="J1109" t="s">
        <v>26</v>
      </c>
      <c r="K1109" t="s">
        <v>106</v>
      </c>
      <c r="L1109" t="s">
        <v>51</v>
      </c>
      <c r="M1109" s="46">
        <v>28700</v>
      </c>
      <c r="N1109">
        <v>0</v>
      </c>
      <c r="O1109">
        <v>0.25</v>
      </c>
      <c r="P1109" t="s">
        <v>38</v>
      </c>
      <c r="R1109">
        <v>194</v>
      </c>
      <c r="S1109">
        <v>2391.67</v>
      </c>
      <c r="T1109">
        <f>Deals_[[#This Row],[Amount]]*Deals_[[#This Row],[Probability_Pct]]</f>
        <v>7175</v>
      </c>
    </row>
    <row r="1110" spans="1:20" x14ac:dyDescent="0.2">
      <c r="A1110" t="s">
        <v>1839</v>
      </c>
      <c r="B1110" s="7">
        <v>46074</v>
      </c>
      <c r="C1110" s="7">
        <v>46169</v>
      </c>
      <c r="D1110" t="s">
        <v>1289</v>
      </c>
      <c r="E1110" t="s">
        <v>54</v>
      </c>
      <c r="F1110" t="s">
        <v>22</v>
      </c>
      <c r="G1110" t="s">
        <v>55</v>
      </c>
      <c r="H1110" t="s">
        <v>83</v>
      </c>
      <c r="I1110" t="s">
        <v>35</v>
      </c>
      <c r="J1110" t="s">
        <v>85</v>
      </c>
      <c r="K1110" t="s">
        <v>88</v>
      </c>
      <c r="L1110" t="s">
        <v>28</v>
      </c>
      <c r="M1110" s="46">
        <v>79000</v>
      </c>
      <c r="N1110">
        <v>0.159</v>
      </c>
      <c r="O1110">
        <v>0.35</v>
      </c>
      <c r="P1110" t="s">
        <v>38</v>
      </c>
      <c r="R1110">
        <v>95</v>
      </c>
      <c r="S1110">
        <v>5534.62</v>
      </c>
      <c r="T1110">
        <f>Deals_[[#This Row],[Amount]]*Deals_[[#This Row],[Probability_Pct]]</f>
        <v>27650</v>
      </c>
    </row>
    <row r="1111" spans="1:20" x14ac:dyDescent="0.2">
      <c r="A1111" t="s">
        <v>1840</v>
      </c>
      <c r="B1111" s="7">
        <v>45996</v>
      </c>
      <c r="C1111" s="7">
        <v>46087</v>
      </c>
      <c r="D1111" t="s">
        <v>1567</v>
      </c>
      <c r="E1111" t="s">
        <v>33</v>
      </c>
      <c r="F1111" t="s">
        <v>22</v>
      </c>
      <c r="G1111" t="s">
        <v>55</v>
      </c>
      <c r="H1111" t="s">
        <v>41</v>
      </c>
      <c r="I1111" t="s">
        <v>65</v>
      </c>
      <c r="J1111" t="s">
        <v>85</v>
      </c>
      <c r="K1111" t="s">
        <v>88</v>
      </c>
      <c r="L1111" t="s">
        <v>51</v>
      </c>
      <c r="M1111" s="46">
        <v>96800</v>
      </c>
      <c r="N1111">
        <v>8.9999999999999993E-3</v>
      </c>
      <c r="O1111">
        <v>0.4</v>
      </c>
      <c r="P1111" t="s">
        <v>38</v>
      </c>
      <c r="R1111">
        <v>91</v>
      </c>
      <c r="S1111">
        <v>7990.15</v>
      </c>
      <c r="T1111">
        <f>Deals_[[#This Row],[Amount]]*Deals_[[#This Row],[Probability_Pct]]</f>
        <v>38720</v>
      </c>
    </row>
    <row r="1112" spans="1:20" x14ac:dyDescent="0.2">
      <c r="A1112" t="s">
        <v>1841</v>
      </c>
      <c r="B1112" s="7">
        <v>46009</v>
      </c>
      <c r="C1112" s="7">
        <v>46140</v>
      </c>
      <c r="D1112" t="s">
        <v>1128</v>
      </c>
      <c r="E1112" t="s">
        <v>111</v>
      </c>
      <c r="F1112" t="s">
        <v>48</v>
      </c>
      <c r="G1112" t="s">
        <v>34</v>
      </c>
      <c r="H1112" t="s">
        <v>95</v>
      </c>
      <c r="I1112" t="s">
        <v>84</v>
      </c>
      <c r="J1112" t="s">
        <v>26</v>
      </c>
      <c r="K1112" t="s">
        <v>58</v>
      </c>
      <c r="L1112" t="s">
        <v>28</v>
      </c>
      <c r="M1112" s="46">
        <v>13800</v>
      </c>
      <c r="N1112">
        <v>9.6000000000000002E-2</v>
      </c>
      <c r="O1112">
        <v>0.8</v>
      </c>
      <c r="P1112" t="s">
        <v>59</v>
      </c>
      <c r="R1112">
        <v>131</v>
      </c>
      <c r="S1112">
        <v>1039.0899999999999</v>
      </c>
      <c r="T1112">
        <f>Deals_[[#This Row],[Amount]]*Deals_[[#This Row],[Probability_Pct]]</f>
        <v>11040</v>
      </c>
    </row>
    <row r="1113" spans="1:20" x14ac:dyDescent="0.2">
      <c r="A1113" t="s">
        <v>1842</v>
      </c>
      <c r="B1113" s="7">
        <v>45960</v>
      </c>
      <c r="C1113" s="7">
        <v>45991</v>
      </c>
      <c r="D1113" t="s">
        <v>236</v>
      </c>
      <c r="E1113" t="s">
        <v>54</v>
      </c>
      <c r="F1113" t="s">
        <v>48</v>
      </c>
      <c r="G1113" t="s">
        <v>55</v>
      </c>
      <c r="H1113" t="s">
        <v>49</v>
      </c>
      <c r="I1113" t="s">
        <v>35</v>
      </c>
      <c r="J1113" t="s">
        <v>57</v>
      </c>
      <c r="K1113" t="s">
        <v>78</v>
      </c>
      <c r="L1113" t="s">
        <v>51</v>
      </c>
      <c r="M1113" s="46">
        <v>23600</v>
      </c>
      <c r="N1113">
        <v>5.7000000000000002E-2</v>
      </c>
      <c r="O1113">
        <v>0.5</v>
      </c>
      <c r="P1113" t="s">
        <v>79</v>
      </c>
      <c r="R1113">
        <v>31</v>
      </c>
      <c r="S1113">
        <v>1855.06</v>
      </c>
      <c r="T1113">
        <f>Deals_[[#This Row],[Amount]]*Deals_[[#This Row],[Probability_Pct]]</f>
        <v>11800</v>
      </c>
    </row>
    <row r="1114" spans="1:20" x14ac:dyDescent="0.2">
      <c r="A1114" t="s">
        <v>1843</v>
      </c>
      <c r="B1114" s="7">
        <v>46001</v>
      </c>
      <c r="C1114" s="7">
        <v>46163</v>
      </c>
      <c r="D1114" t="s">
        <v>857</v>
      </c>
      <c r="E1114" t="s">
        <v>68</v>
      </c>
      <c r="F1114" t="s">
        <v>48</v>
      </c>
      <c r="G1114" t="s">
        <v>63</v>
      </c>
      <c r="H1114" t="s">
        <v>83</v>
      </c>
      <c r="I1114" t="s">
        <v>35</v>
      </c>
      <c r="J1114" t="s">
        <v>57</v>
      </c>
      <c r="K1114" t="s">
        <v>50</v>
      </c>
      <c r="L1114" t="s">
        <v>44</v>
      </c>
      <c r="M1114" s="46">
        <v>28000</v>
      </c>
      <c r="N1114">
        <v>0.14099999999999999</v>
      </c>
      <c r="O1114">
        <v>1</v>
      </c>
      <c r="P1114" t="s">
        <v>29</v>
      </c>
      <c r="R1114">
        <v>162</v>
      </c>
      <c r="S1114">
        <v>2004.25</v>
      </c>
      <c r="T1114">
        <f>Deals_[[#This Row],[Amount]]*Deals_[[#This Row],[Probability_Pct]]</f>
        <v>28000</v>
      </c>
    </row>
    <row r="1115" spans="1:20" x14ac:dyDescent="0.2">
      <c r="A1115" t="s">
        <v>1844</v>
      </c>
      <c r="B1115" s="7">
        <v>46192</v>
      </c>
      <c r="C1115" s="7">
        <v>46277</v>
      </c>
      <c r="D1115" t="s">
        <v>684</v>
      </c>
      <c r="E1115" t="s">
        <v>62</v>
      </c>
      <c r="F1115" t="s">
        <v>48</v>
      </c>
      <c r="G1115" t="s">
        <v>63</v>
      </c>
      <c r="H1115" t="s">
        <v>49</v>
      </c>
      <c r="I1115" t="s">
        <v>99</v>
      </c>
      <c r="J1115" t="s">
        <v>26</v>
      </c>
      <c r="K1115" t="s">
        <v>50</v>
      </c>
      <c r="L1115" t="s">
        <v>44</v>
      </c>
      <c r="M1115" s="46">
        <v>19800</v>
      </c>
      <c r="N1115">
        <v>0.154</v>
      </c>
      <c r="O1115">
        <v>1</v>
      </c>
      <c r="P1115" t="s">
        <v>29</v>
      </c>
      <c r="R1115">
        <v>85</v>
      </c>
      <c r="S1115">
        <v>1396.63</v>
      </c>
      <c r="T1115">
        <f>Deals_[[#This Row],[Amount]]*Deals_[[#This Row],[Probability_Pct]]</f>
        <v>19800</v>
      </c>
    </row>
    <row r="1116" spans="1:20" x14ac:dyDescent="0.2">
      <c r="A1116" t="s">
        <v>1845</v>
      </c>
      <c r="B1116" s="7">
        <v>46074</v>
      </c>
      <c r="C1116" s="7">
        <v>46160</v>
      </c>
      <c r="D1116" t="s">
        <v>1846</v>
      </c>
      <c r="E1116" t="s">
        <v>33</v>
      </c>
      <c r="F1116" t="s">
        <v>22</v>
      </c>
      <c r="G1116" t="s">
        <v>92</v>
      </c>
      <c r="H1116" t="s">
        <v>77</v>
      </c>
      <c r="I1116" t="s">
        <v>25</v>
      </c>
      <c r="J1116" t="s">
        <v>36</v>
      </c>
      <c r="K1116" t="s">
        <v>78</v>
      </c>
      <c r="L1116" t="s">
        <v>28</v>
      </c>
      <c r="M1116" s="46">
        <v>84800</v>
      </c>
      <c r="N1116">
        <v>0.13500000000000001</v>
      </c>
      <c r="O1116">
        <v>0.55000000000000004</v>
      </c>
      <c r="P1116" t="s">
        <v>79</v>
      </c>
      <c r="R1116">
        <v>86</v>
      </c>
      <c r="S1116">
        <v>6109.18</v>
      </c>
      <c r="T1116">
        <f>Deals_[[#This Row],[Amount]]*Deals_[[#This Row],[Probability_Pct]]</f>
        <v>46640.000000000007</v>
      </c>
    </row>
    <row r="1117" spans="1:20" x14ac:dyDescent="0.2">
      <c r="A1117" t="s">
        <v>1847</v>
      </c>
      <c r="B1117" s="7">
        <v>46210</v>
      </c>
      <c r="C1117" s="7">
        <v>46297</v>
      </c>
      <c r="D1117" t="s">
        <v>610</v>
      </c>
      <c r="E1117" t="s">
        <v>54</v>
      </c>
      <c r="F1117" t="s">
        <v>22</v>
      </c>
      <c r="G1117" t="s">
        <v>55</v>
      </c>
      <c r="H1117" t="s">
        <v>69</v>
      </c>
      <c r="I1117" t="s">
        <v>99</v>
      </c>
      <c r="J1117" t="s">
        <v>26</v>
      </c>
      <c r="K1117" t="s">
        <v>58</v>
      </c>
      <c r="L1117" t="s">
        <v>44</v>
      </c>
      <c r="M1117" s="46">
        <v>69000</v>
      </c>
      <c r="N1117">
        <v>6.9000000000000006E-2</v>
      </c>
      <c r="O1117">
        <v>0.7</v>
      </c>
      <c r="P1117" t="s">
        <v>59</v>
      </c>
      <c r="R1117">
        <v>87</v>
      </c>
      <c r="S1117">
        <v>5354.98</v>
      </c>
      <c r="T1117">
        <f>Deals_[[#This Row],[Amount]]*Deals_[[#This Row],[Probability_Pct]]</f>
        <v>48300</v>
      </c>
    </row>
    <row r="1118" spans="1:20" x14ac:dyDescent="0.2">
      <c r="A1118" t="s">
        <v>1848</v>
      </c>
      <c r="B1118" s="7">
        <v>46276</v>
      </c>
      <c r="C1118" s="7">
        <v>46277</v>
      </c>
      <c r="D1118" t="s">
        <v>1123</v>
      </c>
      <c r="E1118" t="s">
        <v>62</v>
      </c>
      <c r="F1118" t="s">
        <v>48</v>
      </c>
      <c r="G1118" t="s">
        <v>92</v>
      </c>
      <c r="H1118" t="s">
        <v>24</v>
      </c>
      <c r="I1118" t="s">
        <v>84</v>
      </c>
      <c r="J1118" t="s">
        <v>43</v>
      </c>
      <c r="K1118" t="s">
        <v>27</v>
      </c>
      <c r="L1118" t="s">
        <v>44</v>
      </c>
      <c r="M1118" s="46">
        <v>18800</v>
      </c>
      <c r="N1118">
        <v>0.16700000000000001</v>
      </c>
      <c r="O1118">
        <v>0</v>
      </c>
      <c r="P1118" t="s">
        <v>29</v>
      </c>
      <c r="Q1118" t="s">
        <v>209</v>
      </c>
      <c r="R1118">
        <v>1</v>
      </c>
      <c r="S1118">
        <v>1304.94</v>
      </c>
      <c r="T1118">
        <f>Deals_[[#This Row],[Amount]]*Deals_[[#This Row],[Probability_Pct]]</f>
        <v>0</v>
      </c>
    </row>
    <row r="1119" spans="1:20" x14ac:dyDescent="0.2">
      <c r="A1119" t="s">
        <v>1849</v>
      </c>
      <c r="B1119" s="7">
        <v>46003</v>
      </c>
      <c r="C1119" s="7">
        <v>46069</v>
      </c>
      <c r="D1119" t="s">
        <v>250</v>
      </c>
      <c r="E1119" t="s">
        <v>62</v>
      </c>
      <c r="F1119" t="s">
        <v>48</v>
      </c>
      <c r="G1119" t="s">
        <v>92</v>
      </c>
      <c r="H1119" t="s">
        <v>120</v>
      </c>
      <c r="I1119" t="s">
        <v>99</v>
      </c>
      <c r="J1119" t="s">
        <v>85</v>
      </c>
      <c r="K1119" t="s">
        <v>78</v>
      </c>
      <c r="L1119" t="s">
        <v>28</v>
      </c>
      <c r="M1119" s="46">
        <v>17100</v>
      </c>
      <c r="N1119">
        <v>0.12</v>
      </c>
      <c r="O1119">
        <v>0.6</v>
      </c>
      <c r="P1119" t="s">
        <v>79</v>
      </c>
      <c r="R1119">
        <v>66</v>
      </c>
      <c r="S1119">
        <v>1253.5899999999999</v>
      </c>
      <c r="T1119">
        <f>Deals_[[#This Row],[Amount]]*Deals_[[#This Row],[Probability_Pct]]</f>
        <v>10260</v>
      </c>
    </row>
    <row r="1120" spans="1:20" x14ac:dyDescent="0.2">
      <c r="A1120" t="s">
        <v>1850</v>
      </c>
      <c r="B1120" s="7">
        <v>46086</v>
      </c>
      <c r="C1120" s="7">
        <v>46211</v>
      </c>
      <c r="D1120" t="s">
        <v>870</v>
      </c>
      <c r="E1120" t="s">
        <v>21</v>
      </c>
      <c r="F1120" t="s">
        <v>48</v>
      </c>
      <c r="G1120" t="s">
        <v>63</v>
      </c>
      <c r="H1120" t="s">
        <v>24</v>
      </c>
      <c r="I1120" t="s">
        <v>99</v>
      </c>
      <c r="J1120" t="s">
        <v>26</v>
      </c>
      <c r="K1120" t="s">
        <v>50</v>
      </c>
      <c r="L1120" t="s">
        <v>51</v>
      </c>
      <c r="M1120" s="46">
        <v>23200</v>
      </c>
      <c r="N1120">
        <v>7.6999999999999999E-2</v>
      </c>
      <c r="O1120">
        <v>1</v>
      </c>
      <c r="P1120" t="s">
        <v>29</v>
      </c>
      <c r="R1120">
        <v>125</v>
      </c>
      <c r="S1120">
        <v>1784.74</v>
      </c>
      <c r="T1120">
        <f>Deals_[[#This Row],[Amount]]*Deals_[[#This Row],[Probability_Pct]]</f>
        <v>23200</v>
      </c>
    </row>
    <row r="1121" spans="1:20" x14ac:dyDescent="0.2">
      <c r="A1121" t="s">
        <v>1851</v>
      </c>
      <c r="B1121" s="7">
        <v>46036</v>
      </c>
      <c r="C1121" s="7">
        <v>46150</v>
      </c>
      <c r="D1121" t="s">
        <v>1852</v>
      </c>
      <c r="E1121" t="s">
        <v>111</v>
      </c>
      <c r="F1121" t="s">
        <v>22</v>
      </c>
      <c r="G1121" t="s">
        <v>55</v>
      </c>
      <c r="H1121" t="s">
        <v>64</v>
      </c>
      <c r="I1121" t="s">
        <v>65</v>
      </c>
      <c r="J1121" t="s">
        <v>26</v>
      </c>
      <c r="K1121" t="s">
        <v>37</v>
      </c>
      <c r="L1121" t="s">
        <v>28</v>
      </c>
      <c r="M1121" s="46">
        <v>50200</v>
      </c>
      <c r="N1121">
        <v>6.6000000000000003E-2</v>
      </c>
      <c r="O1121">
        <v>0.05</v>
      </c>
      <c r="P1121" t="s">
        <v>38</v>
      </c>
      <c r="R1121">
        <v>114</v>
      </c>
      <c r="S1121">
        <v>3905.37</v>
      </c>
      <c r="T1121">
        <f>Deals_[[#This Row],[Amount]]*Deals_[[#This Row],[Probability_Pct]]</f>
        <v>2510</v>
      </c>
    </row>
    <row r="1122" spans="1:20" x14ac:dyDescent="0.2">
      <c r="A1122" t="s">
        <v>1853</v>
      </c>
      <c r="B1122" s="7">
        <v>46035</v>
      </c>
      <c r="C1122" s="7">
        <v>46106</v>
      </c>
      <c r="D1122" t="s">
        <v>517</v>
      </c>
      <c r="E1122" t="s">
        <v>54</v>
      </c>
      <c r="F1122" t="s">
        <v>74</v>
      </c>
      <c r="G1122" t="s">
        <v>63</v>
      </c>
      <c r="H1122" t="s">
        <v>95</v>
      </c>
      <c r="I1122" t="s">
        <v>65</v>
      </c>
      <c r="J1122" t="s">
        <v>26</v>
      </c>
      <c r="K1122" t="s">
        <v>50</v>
      </c>
      <c r="L1122" t="s">
        <v>51</v>
      </c>
      <c r="M1122" s="46">
        <v>207100</v>
      </c>
      <c r="N1122">
        <v>0.21</v>
      </c>
      <c r="O1122">
        <v>1</v>
      </c>
      <c r="P1122" t="s">
        <v>29</v>
      </c>
      <c r="R1122">
        <v>71</v>
      </c>
      <c r="S1122">
        <v>13636.63</v>
      </c>
      <c r="T1122">
        <f>Deals_[[#This Row],[Amount]]*Deals_[[#This Row],[Probability_Pct]]</f>
        <v>207100</v>
      </c>
    </row>
    <row r="1123" spans="1:20" x14ac:dyDescent="0.2">
      <c r="A1123" t="s">
        <v>1854</v>
      </c>
      <c r="B1123" s="7">
        <v>46263</v>
      </c>
      <c r="C1123" s="7">
        <v>46313</v>
      </c>
      <c r="D1123" t="s">
        <v>1855</v>
      </c>
      <c r="E1123" t="s">
        <v>82</v>
      </c>
      <c r="F1123" t="s">
        <v>74</v>
      </c>
      <c r="G1123" t="s">
        <v>92</v>
      </c>
      <c r="H1123" t="s">
        <v>24</v>
      </c>
      <c r="I1123" t="s">
        <v>42</v>
      </c>
      <c r="J1123" t="s">
        <v>26</v>
      </c>
      <c r="K1123" t="s">
        <v>58</v>
      </c>
      <c r="L1123" t="s">
        <v>51</v>
      </c>
      <c r="M1123" s="46">
        <v>181200</v>
      </c>
      <c r="N1123">
        <v>0.157</v>
      </c>
      <c r="O1123">
        <v>0.75</v>
      </c>
      <c r="P1123" t="s">
        <v>59</v>
      </c>
      <c r="R1123">
        <v>50</v>
      </c>
      <c r="S1123">
        <v>12734.52</v>
      </c>
      <c r="T1123">
        <f>Deals_[[#This Row],[Amount]]*Deals_[[#This Row],[Probability_Pct]]</f>
        <v>135900</v>
      </c>
    </row>
    <row r="1124" spans="1:20" x14ac:dyDescent="0.2">
      <c r="A1124" t="s">
        <v>1856</v>
      </c>
      <c r="B1124" s="7">
        <v>46016</v>
      </c>
      <c r="C1124" s="7">
        <v>46146</v>
      </c>
      <c r="D1124" t="s">
        <v>470</v>
      </c>
      <c r="E1124" t="s">
        <v>33</v>
      </c>
      <c r="F1124" t="s">
        <v>48</v>
      </c>
      <c r="G1124" t="s">
        <v>34</v>
      </c>
      <c r="H1124" t="s">
        <v>56</v>
      </c>
      <c r="I1124" t="s">
        <v>25</v>
      </c>
      <c r="J1124" t="s">
        <v>36</v>
      </c>
      <c r="K1124" t="s">
        <v>88</v>
      </c>
      <c r="L1124" t="s">
        <v>51</v>
      </c>
      <c r="M1124" s="46">
        <v>9300</v>
      </c>
      <c r="N1124">
        <v>0.10199999999999999</v>
      </c>
      <c r="O1124">
        <v>0.35</v>
      </c>
      <c r="P1124" t="s">
        <v>38</v>
      </c>
      <c r="R1124">
        <v>130</v>
      </c>
      <c r="S1124">
        <v>695.67</v>
      </c>
      <c r="T1124">
        <f>Deals_[[#This Row],[Amount]]*Deals_[[#This Row],[Probability_Pct]]</f>
        <v>3255</v>
      </c>
    </row>
    <row r="1125" spans="1:20" x14ac:dyDescent="0.2">
      <c r="A1125" t="s">
        <v>1857</v>
      </c>
      <c r="B1125" s="7">
        <v>46150</v>
      </c>
      <c r="C1125" s="7">
        <v>46260</v>
      </c>
      <c r="D1125" t="s">
        <v>1512</v>
      </c>
      <c r="E1125" t="s">
        <v>21</v>
      </c>
      <c r="F1125" t="s">
        <v>74</v>
      </c>
      <c r="G1125" t="s">
        <v>63</v>
      </c>
      <c r="H1125" t="s">
        <v>137</v>
      </c>
      <c r="I1125" t="s">
        <v>65</v>
      </c>
      <c r="J1125" t="s">
        <v>57</v>
      </c>
      <c r="K1125" t="s">
        <v>37</v>
      </c>
      <c r="L1125" t="s">
        <v>28</v>
      </c>
      <c r="M1125" s="46">
        <v>152800</v>
      </c>
      <c r="N1125">
        <v>4.1000000000000002E-2</v>
      </c>
      <c r="O1125">
        <v>0.05</v>
      </c>
      <c r="P1125" t="s">
        <v>38</v>
      </c>
      <c r="R1125">
        <v>110</v>
      </c>
      <c r="S1125">
        <v>12205.89</v>
      </c>
      <c r="T1125">
        <f>Deals_[[#This Row],[Amount]]*Deals_[[#This Row],[Probability_Pct]]</f>
        <v>7640</v>
      </c>
    </row>
    <row r="1126" spans="1:20" x14ac:dyDescent="0.2">
      <c r="A1126" t="s">
        <v>1858</v>
      </c>
      <c r="B1126" s="7">
        <v>46111</v>
      </c>
      <c r="C1126" s="7">
        <v>46160</v>
      </c>
      <c r="D1126" t="s">
        <v>818</v>
      </c>
      <c r="E1126" t="s">
        <v>21</v>
      </c>
      <c r="F1126" t="s">
        <v>22</v>
      </c>
      <c r="G1126" t="s">
        <v>63</v>
      </c>
      <c r="H1126" t="s">
        <v>77</v>
      </c>
      <c r="I1126" t="s">
        <v>84</v>
      </c>
      <c r="J1126" t="s">
        <v>85</v>
      </c>
      <c r="K1126" t="s">
        <v>88</v>
      </c>
      <c r="L1126" t="s">
        <v>44</v>
      </c>
      <c r="M1126" s="46">
        <v>76000</v>
      </c>
      <c r="N1126">
        <v>0.17499999999999999</v>
      </c>
      <c r="O1126">
        <v>0.4</v>
      </c>
      <c r="P1126" t="s">
        <v>38</v>
      </c>
      <c r="R1126">
        <v>49</v>
      </c>
      <c r="S1126">
        <v>5224.87</v>
      </c>
      <c r="T1126">
        <f>Deals_[[#This Row],[Amount]]*Deals_[[#This Row],[Probability_Pct]]</f>
        <v>30400</v>
      </c>
    </row>
    <row r="1127" spans="1:20" x14ac:dyDescent="0.2">
      <c r="A1127" t="s">
        <v>1859</v>
      </c>
      <c r="B1127" s="7">
        <v>46242</v>
      </c>
      <c r="C1127" s="7">
        <v>46279</v>
      </c>
      <c r="D1127" t="s">
        <v>621</v>
      </c>
      <c r="E1127" t="s">
        <v>91</v>
      </c>
      <c r="F1127" t="s">
        <v>48</v>
      </c>
      <c r="G1127" t="s">
        <v>34</v>
      </c>
      <c r="H1127" t="s">
        <v>77</v>
      </c>
      <c r="I1127" t="s">
        <v>84</v>
      </c>
      <c r="J1127" t="s">
        <v>85</v>
      </c>
      <c r="K1127" t="s">
        <v>37</v>
      </c>
      <c r="L1127" t="s">
        <v>44</v>
      </c>
      <c r="M1127" s="46">
        <v>19900</v>
      </c>
      <c r="N1127">
        <v>0.13700000000000001</v>
      </c>
      <c r="O1127">
        <v>0.1</v>
      </c>
      <c r="P1127" t="s">
        <v>38</v>
      </c>
      <c r="R1127">
        <v>37</v>
      </c>
      <c r="S1127">
        <v>1431.79</v>
      </c>
      <c r="T1127">
        <f>Deals_[[#This Row],[Amount]]*Deals_[[#This Row],[Probability_Pct]]</f>
        <v>1990</v>
      </c>
    </row>
    <row r="1128" spans="1:20" x14ac:dyDescent="0.2">
      <c r="A1128" t="s">
        <v>1860</v>
      </c>
      <c r="B1128" s="7">
        <v>46042</v>
      </c>
      <c r="C1128" s="7">
        <v>46184</v>
      </c>
      <c r="D1128" t="s">
        <v>1308</v>
      </c>
      <c r="E1128" t="s">
        <v>21</v>
      </c>
      <c r="F1128" t="s">
        <v>22</v>
      </c>
      <c r="G1128" t="s">
        <v>55</v>
      </c>
      <c r="H1128" t="s">
        <v>98</v>
      </c>
      <c r="I1128" t="s">
        <v>25</v>
      </c>
      <c r="J1128" t="s">
        <v>57</v>
      </c>
      <c r="K1128" t="s">
        <v>78</v>
      </c>
      <c r="L1128" t="s">
        <v>44</v>
      </c>
      <c r="M1128" s="46">
        <v>39000</v>
      </c>
      <c r="N1128">
        <v>7.3999999999999996E-2</v>
      </c>
      <c r="O1128">
        <v>0.6</v>
      </c>
      <c r="P1128" t="s">
        <v>79</v>
      </c>
      <c r="R1128">
        <v>142</v>
      </c>
      <c r="S1128">
        <v>3008.38</v>
      </c>
      <c r="T1128">
        <f>Deals_[[#This Row],[Amount]]*Deals_[[#This Row],[Probability_Pct]]</f>
        <v>23400</v>
      </c>
    </row>
    <row r="1129" spans="1:20" x14ac:dyDescent="0.2">
      <c r="A1129" t="s">
        <v>1861</v>
      </c>
      <c r="B1129" s="7">
        <v>46213</v>
      </c>
      <c r="C1129" s="7">
        <v>46251</v>
      </c>
      <c r="D1129" t="s">
        <v>1862</v>
      </c>
      <c r="E1129" t="s">
        <v>68</v>
      </c>
      <c r="F1129" t="s">
        <v>48</v>
      </c>
      <c r="G1129" t="s">
        <v>23</v>
      </c>
      <c r="H1129" t="s">
        <v>56</v>
      </c>
      <c r="I1129" t="s">
        <v>99</v>
      </c>
      <c r="J1129" t="s">
        <v>57</v>
      </c>
      <c r="K1129" t="s">
        <v>27</v>
      </c>
      <c r="L1129" t="s">
        <v>51</v>
      </c>
      <c r="M1129" s="46">
        <v>25300</v>
      </c>
      <c r="N1129">
        <v>0.21099999999999999</v>
      </c>
      <c r="O1129">
        <v>0</v>
      </c>
      <c r="P1129" t="s">
        <v>29</v>
      </c>
      <c r="Q1129" t="s">
        <v>222</v>
      </c>
      <c r="R1129">
        <v>38</v>
      </c>
      <c r="S1129">
        <v>1664.29</v>
      </c>
      <c r="T1129">
        <f>Deals_[[#This Row],[Amount]]*Deals_[[#This Row],[Probability_Pct]]</f>
        <v>0</v>
      </c>
    </row>
    <row r="1130" spans="1:20" x14ac:dyDescent="0.2">
      <c r="A1130" t="s">
        <v>1863</v>
      </c>
      <c r="B1130" s="7">
        <v>46060</v>
      </c>
      <c r="C1130" s="7">
        <v>46161</v>
      </c>
      <c r="D1130" t="s">
        <v>1864</v>
      </c>
      <c r="E1130" t="s">
        <v>82</v>
      </c>
      <c r="F1130" t="s">
        <v>22</v>
      </c>
      <c r="G1130" t="s">
        <v>63</v>
      </c>
      <c r="H1130" t="s">
        <v>49</v>
      </c>
      <c r="I1130" t="s">
        <v>35</v>
      </c>
      <c r="J1130" t="s">
        <v>57</v>
      </c>
      <c r="K1130" t="s">
        <v>37</v>
      </c>
      <c r="L1130" t="s">
        <v>51</v>
      </c>
      <c r="M1130" s="46">
        <v>64500</v>
      </c>
      <c r="N1130">
        <v>0.11</v>
      </c>
      <c r="O1130">
        <v>0.05</v>
      </c>
      <c r="P1130" t="s">
        <v>38</v>
      </c>
      <c r="R1130">
        <v>101</v>
      </c>
      <c r="S1130">
        <v>4784.1000000000004</v>
      </c>
      <c r="T1130">
        <f>Deals_[[#This Row],[Amount]]*Deals_[[#This Row],[Probability_Pct]]</f>
        <v>3225</v>
      </c>
    </row>
    <row r="1131" spans="1:20" x14ac:dyDescent="0.2">
      <c r="A1131" t="s">
        <v>1865</v>
      </c>
      <c r="B1131" s="7">
        <v>45959</v>
      </c>
      <c r="C1131" s="7">
        <v>46055</v>
      </c>
      <c r="D1131" t="s">
        <v>1866</v>
      </c>
      <c r="E1131" t="s">
        <v>82</v>
      </c>
      <c r="F1131" t="s">
        <v>48</v>
      </c>
      <c r="G1131" t="s">
        <v>55</v>
      </c>
      <c r="H1131" t="s">
        <v>83</v>
      </c>
      <c r="I1131" t="s">
        <v>99</v>
      </c>
      <c r="J1131" t="s">
        <v>26</v>
      </c>
      <c r="K1131" t="s">
        <v>50</v>
      </c>
      <c r="L1131" t="s">
        <v>51</v>
      </c>
      <c r="M1131" s="46">
        <v>23000</v>
      </c>
      <c r="N1131">
        <v>0.106</v>
      </c>
      <c r="O1131">
        <v>1</v>
      </c>
      <c r="P1131" t="s">
        <v>29</v>
      </c>
      <c r="R1131">
        <v>96</v>
      </c>
      <c r="S1131">
        <v>1714.19</v>
      </c>
      <c r="T1131">
        <f>Deals_[[#This Row],[Amount]]*Deals_[[#This Row],[Probability_Pct]]</f>
        <v>23000</v>
      </c>
    </row>
    <row r="1132" spans="1:20" x14ac:dyDescent="0.2">
      <c r="A1132" t="s">
        <v>1867</v>
      </c>
      <c r="B1132" s="7">
        <v>46212</v>
      </c>
      <c r="C1132" s="7">
        <v>46277</v>
      </c>
      <c r="D1132" t="s">
        <v>487</v>
      </c>
      <c r="E1132" t="s">
        <v>33</v>
      </c>
      <c r="F1132" t="s">
        <v>74</v>
      </c>
      <c r="G1132" t="s">
        <v>23</v>
      </c>
      <c r="H1132" t="s">
        <v>41</v>
      </c>
      <c r="I1132" t="s">
        <v>25</v>
      </c>
      <c r="J1132" t="s">
        <v>26</v>
      </c>
      <c r="K1132" t="s">
        <v>50</v>
      </c>
      <c r="L1132" t="s">
        <v>28</v>
      </c>
      <c r="M1132" s="46">
        <v>341600</v>
      </c>
      <c r="N1132">
        <v>6.8000000000000005E-2</v>
      </c>
      <c r="O1132">
        <v>0.95</v>
      </c>
      <c r="P1132" t="s">
        <v>29</v>
      </c>
      <c r="R1132">
        <v>65</v>
      </c>
      <c r="S1132">
        <v>26534.48</v>
      </c>
      <c r="T1132">
        <f>Deals_[[#This Row],[Amount]]*Deals_[[#This Row],[Probability_Pct]]</f>
        <v>324520</v>
      </c>
    </row>
    <row r="1133" spans="1:20" x14ac:dyDescent="0.2">
      <c r="A1133" t="s">
        <v>1868</v>
      </c>
      <c r="B1133" s="7">
        <v>45969</v>
      </c>
      <c r="C1133" s="7">
        <v>46111</v>
      </c>
      <c r="D1133" t="s">
        <v>269</v>
      </c>
      <c r="E1133" t="s">
        <v>21</v>
      </c>
      <c r="F1133" t="s">
        <v>74</v>
      </c>
      <c r="G1133" t="s">
        <v>92</v>
      </c>
      <c r="H1133" t="s">
        <v>83</v>
      </c>
      <c r="I1133" t="s">
        <v>42</v>
      </c>
      <c r="J1133" t="s">
        <v>85</v>
      </c>
      <c r="K1133" t="s">
        <v>78</v>
      </c>
      <c r="L1133" t="s">
        <v>28</v>
      </c>
      <c r="M1133" s="46">
        <v>234700</v>
      </c>
      <c r="N1133">
        <v>0.121</v>
      </c>
      <c r="O1133">
        <v>0.6</v>
      </c>
      <c r="P1133" t="s">
        <v>79</v>
      </c>
      <c r="R1133">
        <v>142</v>
      </c>
      <c r="S1133">
        <v>17184.400000000001</v>
      </c>
      <c r="T1133">
        <f>Deals_[[#This Row],[Amount]]*Deals_[[#This Row],[Probability_Pct]]</f>
        <v>140820</v>
      </c>
    </row>
    <row r="1134" spans="1:20" x14ac:dyDescent="0.2">
      <c r="A1134" t="s">
        <v>1869</v>
      </c>
      <c r="B1134" s="7">
        <v>45994</v>
      </c>
      <c r="C1134" s="7">
        <v>46148</v>
      </c>
      <c r="D1134" t="s">
        <v>1436</v>
      </c>
      <c r="E1134" t="s">
        <v>62</v>
      </c>
      <c r="F1134" t="s">
        <v>48</v>
      </c>
      <c r="G1134" t="s">
        <v>55</v>
      </c>
      <c r="H1134" t="s">
        <v>120</v>
      </c>
      <c r="I1134" t="s">
        <v>84</v>
      </c>
      <c r="J1134" t="s">
        <v>85</v>
      </c>
      <c r="K1134" t="s">
        <v>50</v>
      </c>
      <c r="L1134" t="s">
        <v>44</v>
      </c>
      <c r="M1134" s="46">
        <v>27400</v>
      </c>
      <c r="N1134">
        <v>0.17100000000000001</v>
      </c>
      <c r="O1134">
        <v>1</v>
      </c>
      <c r="P1134" t="s">
        <v>29</v>
      </c>
      <c r="R1134">
        <v>154</v>
      </c>
      <c r="S1134">
        <v>1892.78</v>
      </c>
      <c r="T1134">
        <f>Deals_[[#This Row],[Amount]]*Deals_[[#This Row],[Probability_Pct]]</f>
        <v>27400</v>
      </c>
    </row>
    <row r="1135" spans="1:20" x14ac:dyDescent="0.2">
      <c r="A1135" t="s">
        <v>1870</v>
      </c>
      <c r="B1135" s="7">
        <v>46048</v>
      </c>
      <c r="C1135" s="7">
        <v>46170</v>
      </c>
      <c r="D1135" t="s">
        <v>263</v>
      </c>
      <c r="E1135" t="s">
        <v>33</v>
      </c>
      <c r="F1135" t="s">
        <v>22</v>
      </c>
      <c r="G1135" t="s">
        <v>63</v>
      </c>
      <c r="H1135" t="s">
        <v>120</v>
      </c>
      <c r="I1135" t="s">
        <v>65</v>
      </c>
      <c r="J1135" t="s">
        <v>57</v>
      </c>
      <c r="K1135" t="s">
        <v>106</v>
      </c>
      <c r="L1135" t="s">
        <v>28</v>
      </c>
      <c r="M1135" s="46">
        <v>34700</v>
      </c>
      <c r="N1135">
        <v>6.6000000000000003E-2</v>
      </c>
      <c r="O1135">
        <v>0.2</v>
      </c>
      <c r="P1135" t="s">
        <v>38</v>
      </c>
      <c r="R1135">
        <v>122</v>
      </c>
      <c r="S1135">
        <v>2700</v>
      </c>
      <c r="T1135">
        <f>Deals_[[#This Row],[Amount]]*Deals_[[#This Row],[Probability_Pct]]</f>
        <v>6940</v>
      </c>
    </row>
    <row r="1136" spans="1:20" x14ac:dyDescent="0.2">
      <c r="A1136" t="s">
        <v>1871</v>
      </c>
      <c r="B1136" s="7">
        <v>46180</v>
      </c>
      <c r="C1136" s="7">
        <v>46206</v>
      </c>
      <c r="D1136" t="s">
        <v>1543</v>
      </c>
      <c r="E1136" t="s">
        <v>54</v>
      </c>
      <c r="F1136" t="s">
        <v>22</v>
      </c>
      <c r="G1136" t="s">
        <v>23</v>
      </c>
      <c r="H1136" t="s">
        <v>69</v>
      </c>
      <c r="I1136" t="s">
        <v>65</v>
      </c>
      <c r="J1136" t="s">
        <v>26</v>
      </c>
      <c r="K1136" t="s">
        <v>78</v>
      </c>
      <c r="L1136" t="s">
        <v>28</v>
      </c>
      <c r="M1136" s="46">
        <v>35100</v>
      </c>
      <c r="N1136">
        <v>0.11700000000000001</v>
      </c>
      <c r="O1136">
        <v>0.55000000000000004</v>
      </c>
      <c r="P1136" t="s">
        <v>79</v>
      </c>
      <c r="R1136">
        <v>26</v>
      </c>
      <c r="S1136">
        <v>2582.19</v>
      </c>
      <c r="T1136">
        <f>Deals_[[#This Row],[Amount]]*Deals_[[#This Row],[Probability_Pct]]</f>
        <v>19305</v>
      </c>
    </row>
    <row r="1137" spans="1:20" x14ac:dyDescent="0.2">
      <c r="A1137" t="s">
        <v>1872</v>
      </c>
      <c r="B1137" s="7">
        <v>46183</v>
      </c>
      <c r="C1137" s="7">
        <v>46233</v>
      </c>
      <c r="D1137" t="s">
        <v>1297</v>
      </c>
      <c r="E1137" t="s">
        <v>68</v>
      </c>
      <c r="F1137" t="s">
        <v>48</v>
      </c>
      <c r="G1137" t="s">
        <v>34</v>
      </c>
      <c r="H1137" t="s">
        <v>24</v>
      </c>
      <c r="I1137" t="s">
        <v>84</v>
      </c>
      <c r="J1137" t="s">
        <v>57</v>
      </c>
      <c r="K1137" t="s">
        <v>78</v>
      </c>
      <c r="L1137" t="s">
        <v>44</v>
      </c>
      <c r="M1137" s="46">
        <v>9500</v>
      </c>
      <c r="N1137">
        <v>9.0999999999999998E-2</v>
      </c>
      <c r="O1137">
        <v>0.6</v>
      </c>
      <c r="P1137" t="s">
        <v>79</v>
      </c>
      <c r="R1137">
        <v>50</v>
      </c>
      <c r="S1137">
        <v>719.9</v>
      </c>
      <c r="T1137">
        <f>Deals_[[#This Row],[Amount]]*Deals_[[#This Row],[Probability_Pct]]</f>
        <v>5700</v>
      </c>
    </row>
    <row r="1138" spans="1:20" x14ac:dyDescent="0.2">
      <c r="A1138" t="s">
        <v>1873</v>
      </c>
      <c r="B1138" s="7">
        <v>46029</v>
      </c>
      <c r="C1138" s="7">
        <v>46071</v>
      </c>
      <c r="D1138" t="s">
        <v>1364</v>
      </c>
      <c r="E1138" t="s">
        <v>91</v>
      </c>
      <c r="F1138" t="s">
        <v>22</v>
      </c>
      <c r="G1138" t="s">
        <v>34</v>
      </c>
      <c r="H1138" t="s">
        <v>120</v>
      </c>
      <c r="I1138" t="s">
        <v>99</v>
      </c>
      <c r="J1138" t="s">
        <v>57</v>
      </c>
      <c r="K1138" t="s">
        <v>78</v>
      </c>
      <c r="L1138" t="s">
        <v>28</v>
      </c>
      <c r="M1138" s="46">
        <v>99800</v>
      </c>
      <c r="N1138">
        <v>0.11899999999999999</v>
      </c>
      <c r="O1138">
        <v>0.55000000000000004</v>
      </c>
      <c r="P1138" t="s">
        <v>79</v>
      </c>
      <c r="R1138">
        <v>42</v>
      </c>
      <c r="S1138">
        <v>7330.48</v>
      </c>
      <c r="T1138">
        <f>Deals_[[#This Row],[Amount]]*Deals_[[#This Row],[Probability_Pct]]</f>
        <v>54890.000000000007</v>
      </c>
    </row>
    <row r="1139" spans="1:20" x14ac:dyDescent="0.2">
      <c r="A1139" t="s">
        <v>1874</v>
      </c>
      <c r="B1139" s="7">
        <v>45967</v>
      </c>
      <c r="C1139" s="7">
        <v>45997</v>
      </c>
      <c r="D1139" t="s">
        <v>562</v>
      </c>
      <c r="E1139" t="s">
        <v>68</v>
      </c>
      <c r="F1139" t="s">
        <v>22</v>
      </c>
      <c r="G1139" t="s">
        <v>23</v>
      </c>
      <c r="H1139" t="s">
        <v>77</v>
      </c>
      <c r="I1139" t="s">
        <v>42</v>
      </c>
      <c r="J1139" t="s">
        <v>57</v>
      </c>
      <c r="K1139" t="s">
        <v>50</v>
      </c>
      <c r="L1139" t="s">
        <v>51</v>
      </c>
      <c r="M1139" s="46">
        <v>37000</v>
      </c>
      <c r="N1139">
        <v>0.122</v>
      </c>
      <c r="O1139">
        <v>1</v>
      </c>
      <c r="P1139" t="s">
        <v>29</v>
      </c>
      <c r="R1139">
        <v>30</v>
      </c>
      <c r="S1139">
        <v>2706.09</v>
      </c>
      <c r="T1139">
        <f>Deals_[[#This Row],[Amount]]*Deals_[[#This Row],[Probability_Pct]]</f>
        <v>37000</v>
      </c>
    </row>
    <row r="1140" spans="1:20" x14ac:dyDescent="0.2">
      <c r="A1140" t="s">
        <v>1875</v>
      </c>
      <c r="B1140" s="7">
        <v>46168</v>
      </c>
      <c r="C1140" s="7">
        <v>46199</v>
      </c>
      <c r="D1140" t="s">
        <v>811</v>
      </c>
      <c r="E1140" t="s">
        <v>33</v>
      </c>
      <c r="F1140" t="s">
        <v>48</v>
      </c>
      <c r="G1140" t="s">
        <v>63</v>
      </c>
      <c r="H1140" t="s">
        <v>83</v>
      </c>
      <c r="I1140" t="s">
        <v>84</v>
      </c>
      <c r="J1140" t="s">
        <v>26</v>
      </c>
      <c r="K1140" t="s">
        <v>50</v>
      </c>
      <c r="L1140" t="s">
        <v>51</v>
      </c>
      <c r="M1140" s="46">
        <v>26800</v>
      </c>
      <c r="N1140">
        <v>1.4999999999999999E-2</v>
      </c>
      <c r="O1140">
        <v>1</v>
      </c>
      <c r="P1140" t="s">
        <v>29</v>
      </c>
      <c r="R1140">
        <v>31</v>
      </c>
      <c r="S1140">
        <v>2200.83</v>
      </c>
      <c r="T1140">
        <f>Deals_[[#This Row],[Amount]]*Deals_[[#This Row],[Probability_Pct]]</f>
        <v>26800</v>
      </c>
    </row>
    <row r="1141" spans="1:20" x14ac:dyDescent="0.2">
      <c r="A1141" t="s">
        <v>1876</v>
      </c>
      <c r="B1141" s="7">
        <v>45934</v>
      </c>
      <c r="C1141" s="7">
        <v>45967</v>
      </c>
      <c r="D1141" t="s">
        <v>1590</v>
      </c>
      <c r="E1141" t="s">
        <v>54</v>
      </c>
      <c r="F1141" t="s">
        <v>48</v>
      </c>
      <c r="G1141" t="s">
        <v>63</v>
      </c>
      <c r="H1141" t="s">
        <v>95</v>
      </c>
      <c r="I1141" t="s">
        <v>42</v>
      </c>
      <c r="J1141" t="s">
        <v>85</v>
      </c>
      <c r="K1141" t="s">
        <v>106</v>
      </c>
      <c r="L1141" t="s">
        <v>51</v>
      </c>
      <c r="M1141" s="46">
        <v>24300</v>
      </c>
      <c r="N1141">
        <v>0.109</v>
      </c>
      <c r="O1141">
        <v>0.15</v>
      </c>
      <c r="P1141" t="s">
        <v>38</v>
      </c>
      <c r="R1141">
        <v>33</v>
      </c>
      <c r="S1141">
        <v>1803.41</v>
      </c>
      <c r="T1141">
        <f>Deals_[[#This Row],[Amount]]*Deals_[[#This Row],[Probability_Pct]]</f>
        <v>3645</v>
      </c>
    </row>
    <row r="1142" spans="1:20" x14ac:dyDescent="0.2">
      <c r="A1142" t="s">
        <v>1877</v>
      </c>
      <c r="B1142" s="7">
        <v>46276</v>
      </c>
      <c r="C1142" s="7">
        <v>46277</v>
      </c>
      <c r="D1142" t="s">
        <v>637</v>
      </c>
      <c r="E1142" t="s">
        <v>111</v>
      </c>
      <c r="F1142" t="s">
        <v>48</v>
      </c>
      <c r="G1142" t="s">
        <v>55</v>
      </c>
      <c r="H1142" t="s">
        <v>98</v>
      </c>
      <c r="I1142" t="s">
        <v>25</v>
      </c>
      <c r="J1142" t="s">
        <v>43</v>
      </c>
      <c r="K1142" t="s">
        <v>50</v>
      </c>
      <c r="L1142" t="s">
        <v>44</v>
      </c>
      <c r="M1142" s="46">
        <v>8500</v>
      </c>
      <c r="N1142">
        <v>0.13300000000000001</v>
      </c>
      <c r="O1142">
        <v>1</v>
      </c>
      <c r="P1142" t="s">
        <v>29</v>
      </c>
      <c r="R1142">
        <v>1</v>
      </c>
      <c r="S1142">
        <v>614.12</v>
      </c>
      <c r="T1142">
        <f>Deals_[[#This Row],[Amount]]*Deals_[[#This Row],[Probability_Pct]]</f>
        <v>8500</v>
      </c>
    </row>
    <row r="1143" spans="1:20" x14ac:dyDescent="0.2">
      <c r="A1143" t="s">
        <v>1878</v>
      </c>
      <c r="B1143" s="7">
        <v>46179</v>
      </c>
      <c r="C1143" s="7">
        <v>46332</v>
      </c>
      <c r="D1143" t="s">
        <v>236</v>
      </c>
      <c r="E1143" t="s">
        <v>33</v>
      </c>
      <c r="F1143" t="s">
        <v>22</v>
      </c>
      <c r="G1143" t="s">
        <v>34</v>
      </c>
      <c r="H1143" t="s">
        <v>49</v>
      </c>
      <c r="I1143" t="s">
        <v>35</v>
      </c>
      <c r="J1143" t="s">
        <v>85</v>
      </c>
      <c r="K1143" t="s">
        <v>78</v>
      </c>
      <c r="L1143" t="s">
        <v>51</v>
      </c>
      <c r="M1143" s="46">
        <v>89000</v>
      </c>
      <c r="N1143">
        <v>0.161</v>
      </c>
      <c r="O1143">
        <v>0.55000000000000004</v>
      </c>
      <c r="P1143" t="s">
        <v>79</v>
      </c>
      <c r="R1143">
        <v>153</v>
      </c>
      <c r="S1143">
        <v>6221.23</v>
      </c>
      <c r="T1143">
        <f>Deals_[[#This Row],[Amount]]*Deals_[[#This Row],[Probability_Pct]]</f>
        <v>48950.000000000007</v>
      </c>
    </row>
    <row r="1144" spans="1:20" x14ac:dyDescent="0.2">
      <c r="A1144" t="s">
        <v>1879</v>
      </c>
      <c r="B1144" s="7">
        <v>46025</v>
      </c>
      <c r="C1144" s="7">
        <v>46040</v>
      </c>
      <c r="D1144" t="s">
        <v>1428</v>
      </c>
      <c r="E1144" t="s">
        <v>68</v>
      </c>
      <c r="F1144" t="s">
        <v>74</v>
      </c>
      <c r="G1144" t="s">
        <v>92</v>
      </c>
      <c r="H1144" t="s">
        <v>95</v>
      </c>
      <c r="I1144" t="s">
        <v>65</v>
      </c>
      <c r="J1144" t="s">
        <v>26</v>
      </c>
      <c r="K1144" t="s">
        <v>27</v>
      </c>
      <c r="L1144" t="s">
        <v>28</v>
      </c>
      <c r="M1144" s="46">
        <v>136700</v>
      </c>
      <c r="N1144">
        <v>0.187</v>
      </c>
      <c r="O1144">
        <v>0</v>
      </c>
      <c r="P1144" t="s">
        <v>29</v>
      </c>
      <c r="Q1144" t="s">
        <v>152</v>
      </c>
      <c r="R1144">
        <v>15</v>
      </c>
      <c r="S1144">
        <v>9257.33</v>
      </c>
      <c r="T1144">
        <f>Deals_[[#This Row],[Amount]]*Deals_[[#This Row],[Probability_Pct]]</f>
        <v>0</v>
      </c>
    </row>
    <row r="1145" spans="1:20" x14ac:dyDescent="0.2">
      <c r="A1145" t="s">
        <v>1880</v>
      </c>
      <c r="B1145" s="7">
        <v>46080</v>
      </c>
      <c r="C1145" s="7">
        <v>46096</v>
      </c>
      <c r="D1145" t="s">
        <v>1881</v>
      </c>
      <c r="E1145" t="s">
        <v>33</v>
      </c>
      <c r="F1145" t="s">
        <v>48</v>
      </c>
      <c r="G1145" t="s">
        <v>92</v>
      </c>
      <c r="H1145" t="s">
        <v>56</v>
      </c>
      <c r="I1145" t="s">
        <v>99</v>
      </c>
      <c r="J1145" t="s">
        <v>36</v>
      </c>
      <c r="K1145" t="s">
        <v>27</v>
      </c>
      <c r="L1145" t="s">
        <v>44</v>
      </c>
      <c r="M1145" s="46">
        <v>27100</v>
      </c>
      <c r="N1145">
        <v>0.153</v>
      </c>
      <c r="O1145">
        <v>0</v>
      </c>
      <c r="P1145" t="s">
        <v>29</v>
      </c>
      <c r="Q1145" t="s">
        <v>222</v>
      </c>
      <c r="R1145">
        <v>16</v>
      </c>
      <c r="S1145">
        <v>1911.9</v>
      </c>
      <c r="T1145">
        <f>Deals_[[#This Row],[Amount]]*Deals_[[#This Row],[Probability_Pct]]</f>
        <v>0</v>
      </c>
    </row>
    <row r="1146" spans="1:20" x14ac:dyDescent="0.2">
      <c r="A1146" t="s">
        <v>1882</v>
      </c>
      <c r="B1146" s="7">
        <v>46008</v>
      </c>
      <c r="C1146" s="7">
        <v>46104</v>
      </c>
      <c r="D1146" t="s">
        <v>1883</v>
      </c>
      <c r="E1146" t="s">
        <v>54</v>
      </c>
      <c r="F1146" t="s">
        <v>22</v>
      </c>
      <c r="G1146" t="s">
        <v>63</v>
      </c>
      <c r="H1146" t="s">
        <v>49</v>
      </c>
      <c r="I1146" t="s">
        <v>25</v>
      </c>
      <c r="J1146" t="s">
        <v>85</v>
      </c>
      <c r="K1146" t="s">
        <v>78</v>
      </c>
      <c r="L1146" t="s">
        <v>44</v>
      </c>
      <c r="M1146" s="46">
        <v>27600</v>
      </c>
      <c r="N1146">
        <v>8.2000000000000003E-2</v>
      </c>
      <c r="O1146">
        <v>0.55000000000000004</v>
      </c>
      <c r="P1146" t="s">
        <v>79</v>
      </c>
      <c r="R1146">
        <v>96</v>
      </c>
      <c r="S1146">
        <v>2110.98</v>
      </c>
      <c r="T1146">
        <f>Deals_[[#This Row],[Amount]]*Deals_[[#This Row],[Probability_Pct]]</f>
        <v>15180.000000000002</v>
      </c>
    </row>
    <row r="1147" spans="1:20" x14ac:dyDescent="0.2">
      <c r="A1147" t="s">
        <v>1884</v>
      </c>
      <c r="B1147" s="7">
        <v>46210</v>
      </c>
      <c r="C1147" s="7">
        <v>46325</v>
      </c>
      <c r="D1147" t="s">
        <v>245</v>
      </c>
      <c r="E1147" t="s">
        <v>33</v>
      </c>
      <c r="F1147" t="s">
        <v>48</v>
      </c>
      <c r="G1147" t="s">
        <v>92</v>
      </c>
      <c r="H1147" t="s">
        <v>69</v>
      </c>
      <c r="I1147" t="s">
        <v>84</v>
      </c>
      <c r="J1147" t="s">
        <v>57</v>
      </c>
      <c r="K1147" t="s">
        <v>37</v>
      </c>
      <c r="L1147" t="s">
        <v>44</v>
      </c>
      <c r="M1147" s="46">
        <v>29200</v>
      </c>
      <c r="N1147">
        <v>0.123</v>
      </c>
      <c r="O1147">
        <v>0.1</v>
      </c>
      <c r="P1147" t="s">
        <v>38</v>
      </c>
      <c r="R1147">
        <v>115</v>
      </c>
      <c r="S1147">
        <v>2135.17</v>
      </c>
      <c r="T1147">
        <f>Deals_[[#This Row],[Amount]]*Deals_[[#This Row],[Probability_Pct]]</f>
        <v>2920</v>
      </c>
    </row>
    <row r="1148" spans="1:20" x14ac:dyDescent="0.2">
      <c r="A1148" t="s">
        <v>1885</v>
      </c>
      <c r="B1148" s="7">
        <v>45957</v>
      </c>
      <c r="C1148" s="7">
        <v>46120</v>
      </c>
      <c r="D1148" t="s">
        <v>392</v>
      </c>
      <c r="E1148" t="s">
        <v>91</v>
      </c>
      <c r="F1148" t="s">
        <v>48</v>
      </c>
      <c r="G1148" t="s">
        <v>55</v>
      </c>
      <c r="H1148" t="s">
        <v>95</v>
      </c>
      <c r="I1148" t="s">
        <v>35</v>
      </c>
      <c r="J1148" t="s">
        <v>57</v>
      </c>
      <c r="K1148" t="s">
        <v>50</v>
      </c>
      <c r="L1148" t="s">
        <v>51</v>
      </c>
      <c r="M1148" s="46">
        <v>25400</v>
      </c>
      <c r="N1148">
        <v>6.0999999999999999E-2</v>
      </c>
      <c r="O1148">
        <v>0.95</v>
      </c>
      <c r="P1148" t="s">
        <v>29</v>
      </c>
      <c r="R1148">
        <v>163</v>
      </c>
      <c r="S1148">
        <v>1987.44</v>
      </c>
      <c r="T1148">
        <f>Deals_[[#This Row],[Amount]]*Deals_[[#This Row],[Probability_Pct]]</f>
        <v>24130</v>
      </c>
    </row>
    <row r="1149" spans="1:20" x14ac:dyDescent="0.2">
      <c r="A1149" t="s">
        <v>1886</v>
      </c>
      <c r="B1149" s="7">
        <v>45992</v>
      </c>
      <c r="C1149" s="7">
        <v>46008</v>
      </c>
      <c r="D1149" t="s">
        <v>1102</v>
      </c>
      <c r="E1149" t="s">
        <v>68</v>
      </c>
      <c r="F1149" t="s">
        <v>74</v>
      </c>
      <c r="G1149" t="s">
        <v>23</v>
      </c>
      <c r="H1149" t="s">
        <v>49</v>
      </c>
      <c r="I1149" t="s">
        <v>65</v>
      </c>
      <c r="J1149" t="s">
        <v>26</v>
      </c>
      <c r="K1149" t="s">
        <v>50</v>
      </c>
      <c r="L1149" t="s">
        <v>28</v>
      </c>
      <c r="M1149" s="46">
        <v>130700</v>
      </c>
      <c r="N1149">
        <v>0.10199999999999999</v>
      </c>
      <c r="O1149">
        <v>1</v>
      </c>
      <c r="P1149" t="s">
        <v>29</v>
      </c>
      <c r="R1149">
        <v>16</v>
      </c>
      <c r="S1149">
        <v>9785.49</v>
      </c>
      <c r="T1149">
        <f>Deals_[[#This Row],[Amount]]*Deals_[[#This Row],[Probability_Pct]]</f>
        <v>130700</v>
      </c>
    </row>
    <row r="1150" spans="1:20" x14ac:dyDescent="0.2">
      <c r="A1150" t="s">
        <v>1887</v>
      </c>
      <c r="B1150" s="7">
        <v>46058</v>
      </c>
      <c r="C1150" s="7">
        <v>46094</v>
      </c>
      <c r="D1150" t="s">
        <v>1372</v>
      </c>
      <c r="E1150" t="s">
        <v>54</v>
      </c>
      <c r="F1150" t="s">
        <v>22</v>
      </c>
      <c r="G1150" t="s">
        <v>55</v>
      </c>
      <c r="H1150" t="s">
        <v>98</v>
      </c>
      <c r="I1150" t="s">
        <v>84</v>
      </c>
      <c r="J1150" t="s">
        <v>85</v>
      </c>
      <c r="K1150" t="s">
        <v>78</v>
      </c>
      <c r="L1150" t="s">
        <v>51</v>
      </c>
      <c r="M1150" s="46">
        <v>55500</v>
      </c>
      <c r="N1150">
        <v>0.14499999999999999</v>
      </c>
      <c r="O1150">
        <v>0.55000000000000004</v>
      </c>
      <c r="P1150" t="s">
        <v>79</v>
      </c>
      <c r="R1150">
        <v>36</v>
      </c>
      <c r="S1150">
        <v>3952.74</v>
      </c>
      <c r="T1150">
        <f>Deals_[[#This Row],[Amount]]*Deals_[[#This Row],[Probability_Pct]]</f>
        <v>30525.000000000004</v>
      </c>
    </row>
    <row r="1151" spans="1:20" x14ac:dyDescent="0.2">
      <c r="A1151" t="s">
        <v>1888</v>
      </c>
      <c r="B1151" s="7">
        <v>46234</v>
      </c>
      <c r="C1151" s="7">
        <v>46317</v>
      </c>
      <c r="D1151" t="s">
        <v>627</v>
      </c>
      <c r="E1151" t="s">
        <v>33</v>
      </c>
      <c r="F1151" t="s">
        <v>48</v>
      </c>
      <c r="G1151" t="s">
        <v>63</v>
      </c>
      <c r="H1151" t="s">
        <v>83</v>
      </c>
      <c r="I1151" t="s">
        <v>42</v>
      </c>
      <c r="J1151" t="s">
        <v>26</v>
      </c>
      <c r="K1151" t="s">
        <v>78</v>
      </c>
      <c r="L1151" t="s">
        <v>44</v>
      </c>
      <c r="M1151" s="46">
        <v>14600</v>
      </c>
      <c r="N1151">
        <v>0.11600000000000001</v>
      </c>
      <c r="O1151">
        <v>0.5</v>
      </c>
      <c r="P1151" t="s">
        <v>79</v>
      </c>
      <c r="R1151">
        <v>83</v>
      </c>
      <c r="S1151">
        <v>1075.74</v>
      </c>
      <c r="T1151">
        <f>Deals_[[#This Row],[Amount]]*Deals_[[#This Row],[Probability_Pct]]</f>
        <v>7300</v>
      </c>
    </row>
    <row r="1152" spans="1:20" x14ac:dyDescent="0.2">
      <c r="A1152" t="s">
        <v>1889</v>
      </c>
      <c r="B1152" s="7">
        <v>46201</v>
      </c>
      <c r="C1152" s="7">
        <v>46298</v>
      </c>
      <c r="D1152" t="s">
        <v>1690</v>
      </c>
      <c r="E1152" t="s">
        <v>21</v>
      </c>
      <c r="F1152" t="s">
        <v>22</v>
      </c>
      <c r="G1152" t="s">
        <v>63</v>
      </c>
      <c r="H1152" t="s">
        <v>64</v>
      </c>
      <c r="I1152" t="s">
        <v>42</v>
      </c>
      <c r="J1152" t="s">
        <v>26</v>
      </c>
      <c r="K1152" t="s">
        <v>106</v>
      </c>
      <c r="L1152" t="s">
        <v>28</v>
      </c>
      <c r="M1152" s="46">
        <v>76300</v>
      </c>
      <c r="N1152">
        <v>0.11799999999999999</v>
      </c>
      <c r="O1152">
        <v>0.2</v>
      </c>
      <c r="P1152" t="s">
        <v>38</v>
      </c>
      <c r="R1152">
        <v>97</v>
      </c>
      <c r="S1152">
        <v>5610.04</v>
      </c>
      <c r="T1152">
        <f>Deals_[[#This Row],[Amount]]*Deals_[[#This Row],[Probability_Pct]]</f>
        <v>15260</v>
      </c>
    </row>
    <row r="1153" spans="1:20" x14ac:dyDescent="0.2">
      <c r="A1153" t="s">
        <v>1890</v>
      </c>
      <c r="B1153" s="7">
        <v>46190</v>
      </c>
      <c r="C1153" s="7">
        <v>46321</v>
      </c>
      <c r="D1153" t="s">
        <v>667</v>
      </c>
      <c r="E1153" t="s">
        <v>62</v>
      </c>
      <c r="F1153" t="s">
        <v>22</v>
      </c>
      <c r="G1153" t="s">
        <v>63</v>
      </c>
      <c r="H1153" t="s">
        <v>64</v>
      </c>
      <c r="I1153" t="s">
        <v>42</v>
      </c>
      <c r="J1153" t="s">
        <v>26</v>
      </c>
      <c r="K1153" t="s">
        <v>78</v>
      </c>
      <c r="L1153" t="s">
        <v>44</v>
      </c>
      <c r="M1153" s="46">
        <v>25300</v>
      </c>
      <c r="N1153">
        <v>0.14899999999999999</v>
      </c>
      <c r="O1153">
        <v>0.55000000000000004</v>
      </c>
      <c r="P1153" t="s">
        <v>79</v>
      </c>
      <c r="R1153">
        <v>131</v>
      </c>
      <c r="S1153">
        <v>1793.48</v>
      </c>
      <c r="T1153">
        <f>Deals_[[#This Row],[Amount]]*Deals_[[#This Row],[Probability_Pct]]</f>
        <v>13915.000000000002</v>
      </c>
    </row>
    <row r="1154" spans="1:20" x14ac:dyDescent="0.2">
      <c r="A1154" t="s">
        <v>1891</v>
      </c>
      <c r="B1154" s="7">
        <v>45943</v>
      </c>
      <c r="C1154" s="7">
        <v>45990</v>
      </c>
      <c r="D1154" t="s">
        <v>1892</v>
      </c>
      <c r="E1154" t="s">
        <v>91</v>
      </c>
      <c r="F1154" t="s">
        <v>48</v>
      </c>
      <c r="G1154" t="s">
        <v>55</v>
      </c>
      <c r="H1154" t="s">
        <v>69</v>
      </c>
      <c r="I1154" t="s">
        <v>42</v>
      </c>
      <c r="J1154" t="s">
        <v>85</v>
      </c>
      <c r="K1154" t="s">
        <v>106</v>
      </c>
      <c r="L1154" t="s">
        <v>28</v>
      </c>
      <c r="M1154" s="46">
        <v>12200</v>
      </c>
      <c r="N1154">
        <v>3.6999999999999998E-2</v>
      </c>
      <c r="O1154">
        <v>0.2</v>
      </c>
      <c r="P1154" t="s">
        <v>38</v>
      </c>
      <c r="R1154">
        <v>47</v>
      </c>
      <c r="S1154">
        <v>979.16</v>
      </c>
      <c r="T1154">
        <f>Deals_[[#This Row],[Amount]]*Deals_[[#This Row],[Probability_Pct]]</f>
        <v>2440</v>
      </c>
    </row>
    <row r="1155" spans="1:20" x14ac:dyDescent="0.2">
      <c r="A1155" t="s">
        <v>1893</v>
      </c>
      <c r="B1155" s="7">
        <v>46064</v>
      </c>
      <c r="C1155" s="7">
        <v>46109</v>
      </c>
      <c r="D1155" t="s">
        <v>1668</v>
      </c>
      <c r="E1155" t="s">
        <v>54</v>
      </c>
      <c r="F1155" t="s">
        <v>22</v>
      </c>
      <c r="G1155" t="s">
        <v>34</v>
      </c>
      <c r="H1155" t="s">
        <v>95</v>
      </c>
      <c r="I1155" t="s">
        <v>25</v>
      </c>
      <c r="J1155" t="s">
        <v>26</v>
      </c>
      <c r="K1155" t="s">
        <v>78</v>
      </c>
      <c r="L1155" t="s">
        <v>44</v>
      </c>
      <c r="M1155" s="46">
        <v>54400</v>
      </c>
      <c r="N1155">
        <v>0.24299999999999999</v>
      </c>
      <c r="O1155">
        <v>0.5</v>
      </c>
      <c r="P1155" t="s">
        <v>79</v>
      </c>
      <c r="R1155">
        <v>45</v>
      </c>
      <c r="S1155">
        <v>3432.47</v>
      </c>
      <c r="T1155">
        <f>Deals_[[#This Row],[Amount]]*Deals_[[#This Row],[Probability_Pct]]</f>
        <v>27200</v>
      </c>
    </row>
    <row r="1156" spans="1:20" x14ac:dyDescent="0.2">
      <c r="A1156" t="s">
        <v>1894</v>
      </c>
      <c r="B1156" s="7">
        <v>46261</v>
      </c>
      <c r="C1156" s="7">
        <v>46277</v>
      </c>
      <c r="D1156" t="s">
        <v>831</v>
      </c>
      <c r="E1156" t="s">
        <v>68</v>
      </c>
      <c r="F1156" t="s">
        <v>22</v>
      </c>
      <c r="G1156" t="s">
        <v>55</v>
      </c>
      <c r="H1156" t="s">
        <v>64</v>
      </c>
      <c r="I1156" t="s">
        <v>99</v>
      </c>
      <c r="J1156" t="s">
        <v>43</v>
      </c>
      <c r="K1156" t="s">
        <v>50</v>
      </c>
      <c r="L1156" t="s">
        <v>28</v>
      </c>
      <c r="M1156" s="46">
        <v>34700</v>
      </c>
      <c r="N1156">
        <v>0.17599999999999999</v>
      </c>
      <c r="O1156">
        <v>1</v>
      </c>
      <c r="P1156" t="s">
        <v>29</v>
      </c>
      <c r="R1156">
        <v>16</v>
      </c>
      <c r="S1156">
        <v>2382.89</v>
      </c>
      <c r="T1156">
        <f>Deals_[[#This Row],[Amount]]*Deals_[[#This Row],[Probability_Pct]]</f>
        <v>34700</v>
      </c>
    </row>
    <row r="1157" spans="1:20" x14ac:dyDescent="0.2">
      <c r="A1157" t="s">
        <v>1895</v>
      </c>
      <c r="B1157" s="7">
        <v>46109</v>
      </c>
      <c r="C1157" s="7">
        <v>46183</v>
      </c>
      <c r="D1157" t="s">
        <v>1896</v>
      </c>
      <c r="E1157" t="s">
        <v>21</v>
      </c>
      <c r="F1157" t="s">
        <v>74</v>
      </c>
      <c r="G1157" t="s">
        <v>92</v>
      </c>
      <c r="H1157" t="s">
        <v>77</v>
      </c>
      <c r="I1157" t="s">
        <v>42</v>
      </c>
      <c r="J1157" t="s">
        <v>36</v>
      </c>
      <c r="K1157" t="s">
        <v>88</v>
      </c>
      <c r="L1157" t="s">
        <v>28</v>
      </c>
      <c r="M1157" s="46">
        <v>97200</v>
      </c>
      <c r="N1157">
        <v>0.17599999999999999</v>
      </c>
      <c r="O1157">
        <v>0.35</v>
      </c>
      <c r="P1157" t="s">
        <v>38</v>
      </c>
      <c r="R1157">
        <v>74</v>
      </c>
      <c r="S1157">
        <v>6676.88</v>
      </c>
      <c r="T1157">
        <f>Deals_[[#This Row],[Amount]]*Deals_[[#This Row],[Probability_Pct]]</f>
        <v>34020</v>
      </c>
    </row>
    <row r="1158" spans="1:20" x14ac:dyDescent="0.2">
      <c r="A1158" t="s">
        <v>1897</v>
      </c>
      <c r="B1158" s="7">
        <v>46242</v>
      </c>
      <c r="C1158" s="7">
        <v>46289</v>
      </c>
      <c r="D1158" t="s">
        <v>704</v>
      </c>
      <c r="E1158" t="s">
        <v>62</v>
      </c>
      <c r="F1158" t="s">
        <v>22</v>
      </c>
      <c r="G1158" t="s">
        <v>92</v>
      </c>
      <c r="H1158" t="s">
        <v>69</v>
      </c>
      <c r="I1158" t="s">
        <v>99</v>
      </c>
      <c r="J1158" t="s">
        <v>85</v>
      </c>
      <c r="K1158" t="s">
        <v>106</v>
      </c>
      <c r="L1158" t="s">
        <v>51</v>
      </c>
      <c r="M1158" s="46">
        <v>64800</v>
      </c>
      <c r="N1158">
        <v>0.25600000000000001</v>
      </c>
      <c r="O1158">
        <v>0.2</v>
      </c>
      <c r="P1158" t="s">
        <v>38</v>
      </c>
      <c r="R1158">
        <v>47</v>
      </c>
      <c r="S1158">
        <v>4015.12</v>
      </c>
      <c r="T1158">
        <f>Deals_[[#This Row],[Amount]]*Deals_[[#This Row],[Probability_Pct]]</f>
        <v>12960</v>
      </c>
    </row>
    <row r="1159" spans="1:20" x14ac:dyDescent="0.2">
      <c r="A1159" t="s">
        <v>1898</v>
      </c>
      <c r="B1159" s="7">
        <v>46079</v>
      </c>
      <c r="C1159" s="7">
        <v>46126</v>
      </c>
      <c r="D1159" t="s">
        <v>1058</v>
      </c>
      <c r="E1159" t="s">
        <v>91</v>
      </c>
      <c r="F1159" t="s">
        <v>48</v>
      </c>
      <c r="G1159" t="s">
        <v>23</v>
      </c>
      <c r="H1159" t="s">
        <v>95</v>
      </c>
      <c r="I1159" t="s">
        <v>99</v>
      </c>
      <c r="J1159" t="s">
        <v>57</v>
      </c>
      <c r="K1159" t="s">
        <v>58</v>
      </c>
      <c r="L1159" t="s">
        <v>28</v>
      </c>
      <c r="M1159" s="46">
        <v>12000</v>
      </c>
      <c r="N1159">
        <v>0</v>
      </c>
      <c r="O1159">
        <v>0.75</v>
      </c>
      <c r="P1159" t="s">
        <v>59</v>
      </c>
      <c r="R1159">
        <v>47</v>
      </c>
      <c r="S1159">
        <v>1000</v>
      </c>
      <c r="T1159">
        <f>Deals_[[#This Row],[Amount]]*Deals_[[#This Row],[Probability_Pct]]</f>
        <v>9000</v>
      </c>
    </row>
    <row r="1160" spans="1:20" x14ac:dyDescent="0.2">
      <c r="A1160" t="s">
        <v>1899</v>
      </c>
      <c r="B1160" s="7">
        <v>46254</v>
      </c>
      <c r="C1160" s="7">
        <v>46299</v>
      </c>
      <c r="D1160" t="s">
        <v>1900</v>
      </c>
      <c r="E1160" t="s">
        <v>54</v>
      </c>
      <c r="F1160" t="s">
        <v>74</v>
      </c>
      <c r="G1160" t="s">
        <v>34</v>
      </c>
      <c r="H1160" t="s">
        <v>120</v>
      </c>
      <c r="I1160" t="s">
        <v>99</v>
      </c>
      <c r="J1160" t="s">
        <v>85</v>
      </c>
      <c r="K1160" t="s">
        <v>106</v>
      </c>
      <c r="L1160" t="s">
        <v>28</v>
      </c>
      <c r="M1160" s="46">
        <v>263800</v>
      </c>
      <c r="N1160">
        <v>6.0000000000000001E-3</v>
      </c>
      <c r="O1160">
        <v>0.2</v>
      </c>
      <c r="P1160" t="s">
        <v>38</v>
      </c>
      <c r="R1160">
        <v>45</v>
      </c>
      <c r="S1160">
        <v>21859.34</v>
      </c>
      <c r="T1160">
        <f>Deals_[[#This Row],[Amount]]*Deals_[[#This Row],[Probability_Pct]]</f>
        <v>52760</v>
      </c>
    </row>
    <row r="1161" spans="1:20" x14ac:dyDescent="0.2">
      <c r="A1161" t="s">
        <v>1901</v>
      </c>
      <c r="B1161" s="7">
        <v>46070</v>
      </c>
      <c r="C1161" s="7">
        <v>46151</v>
      </c>
      <c r="D1161" t="s">
        <v>1902</v>
      </c>
      <c r="E1161" t="s">
        <v>111</v>
      </c>
      <c r="F1161" t="s">
        <v>48</v>
      </c>
      <c r="G1161" t="s">
        <v>55</v>
      </c>
      <c r="H1161" t="s">
        <v>64</v>
      </c>
      <c r="I1161" t="s">
        <v>65</v>
      </c>
      <c r="J1161" t="s">
        <v>26</v>
      </c>
      <c r="K1161" t="s">
        <v>58</v>
      </c>
      <c r="L1161" t="s">
        <v>51</v>
      </c>
      <c r="M1161" s="46">
        <v>9000</v>
      </c>
      <c r="N1161">
        <v>6.9000000000000006E-2</v>
      </c>
      <c r="O1161">
        <v>0.8</v>
      </c>
      <c r="P1161" t="s">
        <v>59</v>
      </c>
      <c r="R1161">
        <v>81</v>
      </c>
      <c r="S1161">
        <v>698.15</v>
      </c>
      <c r="T1161">
        <f>Deals_[[#This Row],[Amount]]*Deals_[[#This Row],[Probability_Pct]]</f>
        <v>7200</v>
      </c>
    </row>
    <row r="1162" spans="1:20" x14ac:dyDescent="0.2">
      <c r="A1162" t="s">
        <v>1903</v>
      </c>
      <c r="B1162" s="7">
        <v>46213</v>
      </c>
      <c r="C1162" s="7">
        <v>46264</v>
      </c>
      <c r="D1162" t="s">
        <v>490</v>
      </c>
      <c r="E1162" t="s">
        <v>111</v>
      </c>
      <c r="F1162" t="s">
        <v>74</v>
      </c>
      <c r="G1162" t="s">
        <v>55</v>
      </c>
      <c r="H1162" t="s">
        <v>137</v>
      </c>
      <c r="I1162" t="s">
        <v>25</v>
      </c>
      <c r="J1162" t="s">
        <v>57</v>
      </c>
      <c r="K1162" t="s">
        <v>58</v>
      </c>
      <c r="L1162" t="s">
        <v>28</v>
      </c>
      <c r="M1162" s="46">
        <v>187500</v>
      </c>
      <c r="N1162">
        <v>0.13800000000000001</v>
      </c>
      <c r="O1162">
        <v>0.7</v>
      </c>
      <c r="P1162" t="s">
        <v>59</v>
      </c>
      <c r="R1162">
        <v>51</v>
      </c>
      <c r="S1162">
        <v>13465.93</v>
      </c>
      <c r="T1162">
        <f>Deals_[[#This Row],[Amount]]*Deals_[[#This Row],[Probability_Pct]]</f>
        <v>131250</v>
      </c>
    </row>
    <row r="1163" spans="1:20" x14ac:dyDescent="0.2">
      <c r="A1163" t="s">
        <v>1904</v>
      </c>
      <c r="B1163" s="7">
        <v>45950</v>
      </c>
      <c r="C1163" s="7">
        <v>46006</v>
      </c>
      <c r="D1163" t="s">
        <v>388</v>
      </c>
      <c r="E1163" t="s">
        <v>21</v>
      </c>
      <c r="F1163" t="s">
        <v>74</v>
      </c>
      <c r="G1163" t="s">
        <v>55</v>
      </c>
      <c r="H1163" t="s">
        <v>83</v>
      </c>
      <c r="I1163" t="s">
        <v>65</v>
      </c>
      <c r="J1163" t="s">
        <v>36</v>
      </c>
      <c r="K1163" t="s">
        <v>37</v>
      </c>
      <c r="L1163" t="s">
        <v>44</v>
      </c>
      <c r="M1163" s="46">
        <v>193100</v>
      </c>
      <c r="N1163">
        <v>0.1</v>
      </c>
      <c r="O1163">
        <v>0.15</v>
      </c>
      <c r="P1163" t="s">
        <v>38</v>
      </c>
      <c r="R1163">
        <v>56</v>
      </c>
      <c r="S1163">
        <v>14482.01</v>
      </c>
      <c r="T1163">
        <f>Deals_[[#This Row],[Amount]]*Deals_[[#This Row],[Probability_Pct]]</f>
        <v>28965</v>
      </c>
    </row>
    <row r="1164" spans="1:20" x14ac:dyDescent="0.2">
      <c r="A1164" t="s">
        <v>1905</v>
      </c>
      <c r="B1164" s="7">
        <v>46006</v>
      </c>
      <c r="C1164" s="7">
        <v>46143</v>
      </c>
      <c r="D1164" t="s">
        <v>571</v>
      </c>
      <c r="E1164" t="s">
        <v>91</v>
      </c>
      <c r="F1164" t="s">
        <v>48</v>
      </c>
      <c r="G1164" t="s">
        <v>92</v>
      </c>
      <c r="H1164" t="s">
        <v>95</v>
      </c>
      <c r="I1164" t="s">
        <v>25</v>
      </c>
      <c r="J1164" t="s">
        <v>26</v>
      </c>
      <c r="K1164" t="s">
        <v>106</v>
      </c>
      <c r="L1164" t="s">
        <v>44</v>
      </c>
      <c r="M1164" s="46">
        <v>23600</v>
      </c>
      <c r="N1164">
        <v>0</v>
      </c>
      <c r="O1164">
        <v>0.25</v>
      </c>
      <c r="P1164" t="s">
        <v>38</v>
      </c>
      <c r="R1164">
        <v>137</v>
      </c>
      <c r="S1164">
        <v>1966.67</v>
      </c>
      <c r="T1164">
        <f>Deals_[[#This Row],[Amount]]*Deals_[[#This Row],[Probability_Pct]]</f>
        <v>5900</v>
      </c>
    </row>
    <row r="1165" spans="1:20" x14ac:dyDescent="0.2">
      <c r="A1165" t="s">
        <v>1906</v>
      </c>
      <c r="B1165" s="7">
        <v>46224</v>
      </c>
      <c r="C1165" s="7">
        <v>46277</v>
      </c>
      <c r="D1165" t="s">
        <v>1364</v>
      </c>
      <c r="E1165" t="s">
        <v>62</v>
      </c>
      <c r="F1165" t="s">
        <v>22</v>
      </c>
      <c r="G1165" t="s">
        <v>55</v>
      </c>
      <c r="H1165" t="s">
        <v>83</v>
      </c>
      <c r="I1165" t="s">
        <v>65</v>
      </c>
      <c r="J1165" t="s">
        <v>57</v>
      </c>
      <c r="K1165" t="s">
        <v>50</v>
      </c>
      <c r="L1165" t="s">
        <v>28</v>
      </c>
      <c r="M1165" s="46">
        <v>96300</v>
      </c>
      <c r="N1165">
        <v>0.10100000000000001</v>
      </c>
      <c r="O1165">
        <v>1</v>
      </c>
      <c r="P1165" t="s">
        <v>29</v>
      </c>
      <c r="R1165">
        <v>53</v>
      </c>
      <c r="S1165">
        <v>7212.25</v>
      </c>
      <c r="T1165">
        <f>Deals_[[#This Row],[Amount]]*Deals_[[#This Row],[Probability_Pct]]</f>
        <v>96300</v>
      </c>
    </row>
    <row r="1166" spans="1:20" x14ac:dyDescent="0.2">
      <c r="A1166" t="s">
        <v>1907</v>
      </c>
      <c r="B1166" s="7">
        <v>46023</v>
      </c>
      <c r="C1166" s="7">
        <v>46091</v>
      </c>
      <c r="D1166" t="s">
        <v>936</v>
      </c>
      <c r="E1166" t="s">
        <v>62</v>
      </c>
      <c r="F1166" t="s">
        <v>22</v>
      </c>
      <c r="G1166" t="s">
        <v>34</v>
      </c>
      <c r="H1166" t="s">
        <v>41</v>
      </c>
      <c r="I1166" t="s">
        <v>35</v>
      </c>
      <c r="J1166" t="s">
        <v>36</v>
      </c>
      <c r="K1166" t="s">
        <v>37</v>
      </c>
      <c r="L1166" t="s">
        <v>44</v>
      </c>
      <c r="M1166" s="46">
        <v>50900</v>
      </c>
      <c r="N1166">
        <v>0.11700000000000001</v>
      </c>
      <c r="O1166">
        <v>0.1</v>
      </c>
      <c r="P1166" t="s">
        <v>38</v>
      </c>
      <c r="R1166">
        <v>68</v>
      </c>
      <c r="S1166">
        <v>3744.33</v>
      </c>
      <c r="T1166">
        <f>Deals_[[#This Row],[Amount]]*Deals_[[#This Row],[Probability_Pct]]</f>
        <v>5090</v>
      </c>
    </row>
    <row r="1167" spans="1:20" x14ac:dyDescent="0.2">
      <c r="A1167" t="s">
        <v>1908</v>
      </c>
      <c r="B1167" s="7">
        <v>45953</v>
      </c>
      <c r="C1167" s="7">
        <v>46087</v>
      </c>
      <c r="D1167" t="s">
        <v>1909</v>
      </c>
      <c r="E1167" t="s">
        <v>54</v>
      </c>
      <c r="F1167" t="s">
        <v>48</v>
      </c>
      <c r="G1167" t="s">
        <v>63</v>
      </c>
      <c r="H1167" t="s">
        <v>69</v>
      </c>
      <c r="I1167" t="s">
        <v>84</v>
      </c>
      <c r="J1167" t="s">
        <v>43</v>
      </c>
      <c r="K1167" t="s">
        <v>88</v>
      </c>
      <c r="L1167" t="s">
        <v>28</v>
      </c>
      <c r="M1167" s="46">
        <v>22100</v>
      </c>
      <c r="N1167">
        <v>7.0999999999999994E-2</v>
      </c>
      <c r="O1167">
        <v>0.35</v>
      </c>
      <c r="P1167" t="s">
        <v>38</v>
      </c>
      <c r="R1167">
        <v>134</v>
      </c>
      <c r="S1167">
        <v>1711.36</v>
      </c>
      <c r="T1167">
        <f>Deals_[[#This Row],[Amount]]*Deals_[[#This Row],[Probability_Pct]]</f>
        <v>7734.9999999999991</v>
      </c>
    </row>
    <row r="1168" spans="1:20" x14ac:dyDescent="0.2">
      <c r="A1168" t="s">
        <v>1910</v>
      </c>
      <c r="B1168" s="7">
        <v>45999</v>
      </c>
      <c r="C1168" s="7">
        <v>46103</v>
      </c>
      <c r="D1168" t="s">
        <v>653</v>
      </c>
      <c r="E1168" t="s">
        <v>82</v>
      </c>
      <c r="F1168" t="s">
        <v>74</v>
      </c>
      <c r="G1168" t="s">
        <v>34</v>
      </c>
      <c r="H1168" t="s">
        <v>77</v>
      </c>
      <c r="I1168" t="s">
        <v>65</v>
      </c>
      <c r="J1168" t="s">
        <v>43</v>
      </c>
      <c r="K1168" t="s">
        <v>78</v>
      </c>
      <c r="L1168" t="s">
        <v>28</v>
      </c>
      <c r="M1168" s="46">
        <v>107000</v>
      </c>
      <c r="N1168">
        <v>0.154</v>
      </c>
      <c r="O1168">
        <v>0.55000000000000004</v>
      </c>
      <c r="P1168" t="s">
        <v>79</v>
      </c>
      <c r="R1168">
        <v>104</v>
      </c>
      <c r="S1168">
        <v>7544.36</v>
      </c>
      <c r="T1168">
        <f>Deals_[[#This Row],[Amount]]*Deals_[[#This Row],[Probability_Pct]]</f>
        <v>58850.000000000007</v>
      </c>
    </row>
    <row r="1169" spans="1:20" x14ac:dyDescent="0.2">
      <c r="A1169" t="s">
        <v>1911</v>
      </c>
      <c r="B1169" s="7">
        <v>45963</v>
      </c>
      <c r="C1169" s="7">
        <v>46040</v>
      </c>
      <c r="D1169" t="s">
        <v>130</v>
      </c>
      <c r="E1169" t="s">
        <v>111</v>
      </c>
      <c r="F1169" t="s">
        <v>74</v>
      </c>
      <c r="G1169" t="s">
        <v>34</v>
      </c>
      <c r="H1169" t="s">
        <v>24</v>
      </c>
      <c r="I1169" t="s">
        <v>65</v>
      </c>
      <c r="J1169" t="s">
        <v>85</v>
      </c>
      <c r="K1169" t="s">
        <v>106</v>
      </c>
      <c r="L1169" t="s">
        <v>44</v>
      </c>
      <c r="M1169" s="46">
        <v>217800</v>
      </c>
      <c r="N1169">
        <v>0.23100000000000001</v>
      </c>
      <c r="O1169">
        <v>0.25</v>
      </c>
      <c r="P1169" t="s">
        <v>38</v>
      </c>
      <c r="R1169">
        <v>77</v>
      </c>
      <c r="S1169">
        <v>13955.79</v>
      </c>
      <c r="T1169">
        <f>Deals_[[#This Row],[Amount]]*Deals_[[#This Row],[Probability_Pct]]</f>
        <v>54450</v>
      </c>
    </row>
    <row r="1170" spans="1:20" x14ac:dyDescent="0.2">
      <c r="A1170" t="s">
        <v>1912</v>
      </c>
      <c r="B1170" s="7">
        <v>46034</v>
      </c>
      <c r="C1170" s="7">
        <v>46061</v>
      </c>
      <c r="D1170" t="s">
        <v>1692</v>
      </c>
      <c r="E1170" t="s">
        <v>82</v>
      </c>
      <c r="F1170" t="s">
        <v>48</v>
      </c>
      <c r="G1170" t="s">
        <v>92</v>
      </c>
      <c r="H1170" t="s">
        <v>49</v>
      </c>
      <c r="I1170" t="s">
        <v>25</v>
      </c>
      <c r="J1170" t="s">
        <v>26</v>
      </c>
      <c r="K1170" t="s">
        <v>106</v>
      </c>
      <c r="L1170" t="s">
        <v>44</v>
      </c>
      <c r="M1170" s="46">
        <v>13400</v>
      </c>
      <c r="N1170">
        <v>0.113</v>
      </c>
      <c r="O1170">
        <v>0.15</v>
      </c>
      <c r="P1170" t="s">
        <v>38</v>
      </c>
      <c r="R1170">
        <v>27</v>
      </c>
      <c r="S1170">
        <v>991.02</v>
      </c>
      <c r="T1170">
        <f>Deals_[[#This Row],[Amount]]*Deals_[[#This Row],[Probability_Pct]]</f>
        <v>2010</v>
      </c>
    </row>
    <row r="1171" spans="1:20" x14ac:dyDescent="0.2">
      <c r="A1171" t="s">
        <v>1913</v>
      </c>
      <c r="B1171" s="7">
        <v>45980</v>
      </c>
      <c r="C1171" s="7">
        <v>46069</v>
      </c>
      <c r="D1171" t="s">
        <v>1914</v>
      </c>
      <c r="E1171" t="s">
        <v>82</v>
      </c>
      <c r="F1171" t="s">
        <v>22</v>
      </c>
      <c r="G1171" t="s">
        <v>92</v>
      </c>
      <c r="H1171" t="s">
        <v>41</v>
      </c>
      <c r="I1171" t="s">
        <v>65</v>
      </c>
      <c r="J1171" t="s">
        <v>36</v>
      </c>
      <c r="K1171" t="s">
        <v>50</v>
      </c>
      <c r="L1171" t="s">
        <v>28</v>
      </c>
      <c r="M1171" s="46">
        <v>80300</v>
      </c>
      <c r="N1171">
        <v>0.18</v>
      </c>
      <c r="O1171">
        <v>0.95</v>
      </c>
      <c r="P1171" t="s">
        <v>29</v>
      </c>
      <c r="R1171">
        <v>89</v>
      </c>
      <c r="S1171">
        <v>5489.15</v>
      </c>
      <c r="T1171">
        <f>Deals_[[#This Row],[Amount]]*Deals_[[#This Row],[Probability_Pct]]</f>
        <v>76285</v>
      </c>
    </row>
    <row r="1172" spans="1:20" x14ac:dyDescent="0.2">
      <c r="A1172" t="s">
        <v>1915</v>
      </c>
      <c r="B1172" s="7">
        <v>46014</v>
      </c>
      <c r="C1172" s="7">
        <v>46154</v>
      </c>
      <c r="D1172" t="s">
        <v>198</v>
      </c>
      <c r="E1172" t="s">
        <v>54</v>
      </c>
      <c r="F1172" t="s">
        <v>22</v>
      </c>
      <c r="G1172" t="s">
        <v>23</v>
      </c>
      <c r="H1172" t="s">
        <v>56</v>
      </c>
      <c r="I1172" t="s">
        <v>84</v>
      </c>
      <c r="J1172" t="s">
        <v>26</v>
      </c>
      <c r="K1172" t="s">
        <v>37</v>
      </c>
      <c r="L1172" t="s">
        <v>51</v>
      </c>
      <c r="M1172" s="46">
        <v>68900</v>
      </c>
      <c r="N1172">
        <v>0.1</v>
      </c>
      <c r="O1172">
        <v>0.1</v>
      </c>
      <c r="P1172" t="s">
        <v>38</v>
      </c>
      <c r="R1172">
        <v>140</v>
      </c>
      <c r="S1172">
        <v>5165.37</v>
      </c>
      <c r="T1172">
        <f>Deals_[[#This Row],[Amount]]*Deals_[[#This Row],[Probability_Pct]]</f>
        <v>6890</v>
      </c>
    </row>
    <row r="1173" spans="1:20" x14ac:dyDescent="0.2">
      <c r="A1173" t="s">
        <v>1916</v>
      </c>
      <c r="B1173" s="7">
        <v>46138</v>
      </c>
      <c r="C1173" s="7">
        <v>46229</v>
      </c>
      <c r="D1173" t="s">
        <v>1917</v>
      </c>
      <c r="E1173" t="s">
        <v>82</v>
      </c>
      <c r="F1173" t="s">
        <v>74</v>
      </c>
      <c r="G1173" t="s">
        <v>92</v>
      </c>
      <c r="H1173" t="s">
        <v>77</v>
      </c>
      <c r="I1173" t="s">
        <v>65</v>
      </c>
      <c r="J1173" t="s">
        <v>26</v>
      </c>
      <c r="K1173" t="s">
        <v>78</v>
      </c>
      <c r="L1173" t="s">
        <v>44</v>
      </c>
      <c r="M1173" s="46">
        <v>192700</v>
      </c>
      <c r="N1173">
        <v>0.192</v>
      </c>
      <c r="O1173">
        <v>0.55000000000000004</v>
      </c>
      <c r="P1173" t="s">
        <v>79</v>
      </c>
      <c r="R1173">
        <v>91</v>
      </c>
      <c r="S1173">
        <v>12976.27</v>
      </c>
      <c r="T1173">
        <f>Deals_[[#This Row],[Amount]]*Deals_[[#This Row],[Probability_Pct]]</f>
        <v>105985.00000000001</v>
      </c>
    </row>
    <row r="1174" spans="1:20" x14ac:dyDescent="0.2">
      <c r="A1174" t="s">
        <v>1918</v>
      </c>
      <c r="B1174" s="7">
        <v>45957</v>
      </c>
      <c r="C1174" s="7">
        <v>46105</v>
      </c>
      <c r="D1174" t="s">
        <v>1313</v>
      </c>
      <c r="E1174" t="s">
        <v>62</v>
      </c>
      <c r="F1174" t="s">
        <v>22</v>
      </c>
      <c r="G1174" t="s">
        <v>23</v>
      </c>
      <c r="H1174" t="s">
        <v>56</v>
      </c>
      <c r="I1174" t="s">
        <v>84</v>
      </c>
      <c r="J1174" t="s">
        <v>85</v>
      </c>
      <c r="K1174" t="s">
        <v>37</v>
      </c>
      <c r="L1174" t="s">
        <v>44</v>
      </c>
      <c r="M1174" s="46">
        <v>78200</v>
      </c>
      <c r="N1174">
        <v>8.2000000000000003E-2</v>
      </c>
      <c r="O1174">
        <v>0.15</v>
      </c>
      <c r="P1174" t="s">
        <v>38</v>
      </c>
      <c r="R1174">
        <v>148</v>
      </c>
      <c r="S1174">
        <v>5985.53</v>
      </c>
      <c r="T1174">
        <f>Deals_[[#This Row],[Amount]]*Deals_[[#This Row],[Probability_Pct]]</f>
        <v>11730</v>
      </c>
    </row>
    <row r="1175" spans="1:20" x14ac:dyDescent="0.2">
      <c r="A1175" t="s">
        <v>1919</v>
      </c>
      <c r="B1175" s="7">
        <v>45951</v>
      </c>
      <c r="C1175" s="7">
        <v>46075</v>
      </c>
      <c r="D1175" t="s">
        <v>1920</v>
      </c>
      <c r="E1175" t="s">
        <v>111</v>
      </c>
      <c r="F1175" t="s">
        <v>48</v>
      </c>
      <c r="G1175" t="s">
        <v>63</v>
      </c>
      <c r="H1175" t="s">
        <v>69</v>
      </c>
      <c r="I1175" t="s">
        <v>99</v>
      </c>
      <c r="J1175" t="s">
        <v>36</v>
      </c>
      <c r="K1175" t="s">
        <v>78</v>
      </c>
      <c r="L1175" t="s">
        <v>51</v>
      </c>
      <c r="M1175" s="46">
        <v>11200</v>
      </c>
      <c r="N1175">
        <v>0.126</v>
      </c>
      <c r="O1175">
        <v>0.55000000000000004</v>
      </c>
      <c r="P1175" t="s">
        <v>79</v>
      </c>
      <c r="R1175">
        <v>124</v>
      </c>
      <c r="S1175">
        <v>815.68</v>
      </c>
      <c r="T1175">
        <f>Deals_[[#This Row],[Amount]]*Deals_[[#This Row],[Probability_Pct]]</f>
        <v>6160.0000000000009</v>
      </c>
    </row>
    <row r="1176" spans="1:20" x14ac:dyDescent="0.2">
      <c r="A1176" t="s">
        <v>1921</v>
      </c>
      <c r="B1176" s="7">
        <v>45972</v>
      </c>
      <c r="C1176" s="7">
        <v>46019</v>
      </c>
      <c r="D1176" t="s">
        <v>1922</v>
      </c>
      <c r="E1176" t="s">
        <v>21</v>
      </c>
      <c r="F1176" t="s">
        <v>74</v>
      </c>
      <c r="G1176" t="s">
        <v>63</v>
      </c>
      <c r="H1176" t="s">
        <v>41</v>
      </c>
      <c r="I1176" t="s">
        <v>65</v>
      </c>
      <c r="J1176" t="s">
        <v>57</v>
      </c>
      <c r="K1176" t="s">
        <v>106</v>
      </c>
      <c r="L1176" t="s">
        <v>44</v>
      </c>
      <c r="M1176" s="46">
        <v>227500</v>
      </c>
      <c r="N1176">
        <v>8.5999999999999993E-2</v>
      </c>
      <c r="O1176">
        <v>0.2</v>
      </c>
      <c r="P1176" t="s">
        <v>38</v>
      </c>
      <c r="R1176">
        <v>47</v>
      </c>
      <c r="S1176">
        <v>17326.490000000002</v>
      </c>
      <c r="T1176">
        <f>Deals_[[#This Row],[Amount]]*Deals_[[#This Row],[Probability_Pct]]</f>
        <v>45500</v>
      </c>
    </row>
    <row r="1177" spans="1:20" x14ac:dyDescent="0.2">
      <c r="A1177" t="s">
        <v>1923</v>
      </c>
      <c r="B1177" s="7">
        <v>46017</v>
      </c>
      <c r="C1177" s="7">
        <v>46130</v>
      </c>
      <c r="D1177" t="s">
        <v>1924</v>
      </c>
      <c r="E1177" t="s">
        <v>33</v>
      </c>
      <c r="F1177" t="s">
        <v>22</v>
      </c>
      <c r="G1177" t="s">
        <v>34</v>
      </c>
      <c r="H1177" t="s">
        <v>98</v>
      </c>
      <c r="I1177" t="s">
        <v>25</v>
      </c>
      <c r="J1177" t="s">
        <v>85</v>
      </c>
      <c r="K1177" t="s">
        <v>27</v>
      </c>
      <c r="L1177" t="s">
        <v>28</v>
      </c>
      <c r="M1177" s="46">
        <v>82600</v>
      </c>
      <c r="N1177">
        <v>0.184</v>
      </c>
      <c r="O1177">
        <v>0</v>
      </c>
      <c r="P1177" t="s">
        <v>29</v>
      </c>
      <c r="Q1177" t="s">
        <v>209</v>
      </c>
      <c r="R1177">
        <v>113</v>
      </c>
      <c r="S1177">
        <v>5614.36</v>
      </c>
      <c r="T1177">
        <f>Deals_[[#This Row],[Amount]]*Deals_[[#This Row],[Probability_Pct]]</f>
        <v>0</v>
      </c>
    </row>
    <row r="1178" spans="1:20" x14ac:dyDescent="0.2">
      <c r="A1178" t="s">
        <v>1925</v>
      </c>
      <c r="B1178" s="7">
        <v>45948</v>
      </c>
      <c r="C1178" s="7">
        <v>45986</v>
      </c>
      <c r="D1178" t="s">
        <v>1686</v>
      </c>
      <c r="E1178" t="s">
        <v>54</v>
      </c>
      <c r="F1178" t="s">
        <v>48</v>
      </c>
      <c r="G1178" t="s">
        <v>23</v>
      </c>
      <c r="H1178" t="s">
        <v>24</v>
      </c>
      <c r="I1178" t="s">
        <v>42</v>
      </c>
      <c r="J1178" t="s">
        <v>85</v>
      </c>
      <c r="K1178" t="s">
        <v>78</v>
      </c>
      <c r="L1178" t="s">
        <v>44</v>
      </c>
      <c r="M1178" s="46">
        <v>6700</v>
      </c>
      <c r="N1178">
        <v>7.8E-2</v>
      </c>
      <c r="O1178">
        <v>0.55000000000000004</v>
      </c>
      <c r="P1178" t="s">
        <v>79</v>
      </c>
      <c r="R1178">
        <v>38</v>
      </c>
      <c r="S1178">
        <v>514.70000000000005</v>
      </c>
      <c r="T1178">
        <f>Deals_[[#This Row],[Amount]]*Deals_[[#This Row],[Probability_Pct]]</f>
        <v>3685.0000000000005</v>
      </c>
    </row>
    <row r="1179" spans="1:20" x14ac:dyDescent="0.2">
      <c r="A1179" t="s">
        <v>1926</v>
      </c>
      <c r="B1179" s="7">
        <v>46212</v>
      </c>
      <c r="C1179" s="7">
        <v>46277</v>
      </c>
      <c r="D1179" t="s">
        <v>1927</v>
      </c>
      <c r="E1179" t="s">
        <v>54</v>
      </c>
      <c r="F1179" t="s">
        <v>48</v>
      </c>
      <c r="G1179" t="s">
        <v>92</v>
      </c>
      <c r="H1179" t="s">
        <v>83</v>
      </c>
      <c r="I1179" t="s">
        <v>35</v>
      </c>
      <c r="J1179" t="s">
        <v>85</v>
      </c>
      <c r="K1179" t="s">
        <v>88</v>
      </c>
      <c r="L1179" t="s">
        <v>51</v>
      </c>
      <c r="M1179" s="46">
        <v>23000</v>
      </c>
      <c r="N1179">
        <v>7.8E-2</v>
      </c>
      <c r="O1179">
        <v>0.3</v>
      </c>
      <c r="P1179" t="s">
        <v>38</v>
      </c>
      <c r="R1179">
        <v>65</v>
      </c>
      <c r="S1179">
        <v>1767.22</v>
      </c>
      <c r="T1179">
        <f>Deals_[[#This Row],[Amount]]*Deals_[[#This Row],[Probability_Pct]]</f>
        <v>6900</v>
      </c>
    </row>
    <row r="1180" spans="1:20" x14ac:dyDescent="0.2">
      <c r="A1180" t="s">
        <v>1928</v>
      </c>
      <c r="B1180" s="7">
        <v>45953</v>
      </c>
      <c r="C1180" s="7">
        <v>45994</v>
      </c>
      <c r="D1180" t="s">
        <v>818</v>
      </c>
      <c r="E1180" t="s">
        <v>91</v>
      </c>
      <c r="F1180" t="s">
        <v>22</v>
      </c>
      <c r="G1180" t="s">
        <v>23</v>
      </c>
      <c r="H1180" t="s">
        <v>98</v>
      </c>
      <c r="I1180" t="s">
        <v>25</v>
      </c>
      <c r="J1180" t="s">
        <v>43</v>
      </c>
      <c r="K1180" t="s">
        <v>27</v>
      </c>
      <c r="L1180" t="s">
        <v>28</v>
      </c>
      <c r="M1180" s="46">
        <v>71300</v>
      </c>
      <c r="N1180">
        <v>0.11899999999999999</v>
      </c>
      <c r="O1180">
        <v>0.05</v>
      </c>
      <c r="P1180" t="s">
        <v>29</v>
      </c>
      <c r="Q1180" t="s">
        <v>30</v>
      </c>
      <c r="R1180">
        <v>41</v>
      </c>
      <c r="S1180">
        <v>5233.87</v>
      </c>
      <c r="T1180">
        <f>Deals_[[#This Row],[Amount]]*Deals_[[#This Row],[Probability_Pct]]</f>
        <v>3565</v>
      </c>
    </row>
    <row r="1181" spans="1:20" x14ac:dyDescent="0.2">
      <c r="A1181" t="s">
        <v>1929</v>
      </c>
      <c r="B1181" s="7">
        <v>46175</v>
      </c>
      <c r="C1181" s="7">
        <v>46246</v>
      </c>
      <c r="D1181" t="s">
        <v>1930</v>
      </c>
      <c r="E1181" t="s">
        <v>111</v>
      </c>
      <c r="F1181" t="s">
        <v>48</v>
      </c>
      <c r="G1181" t="s">
        <v>55</v>
      </c>
      <c r="H1181" t="s">
        <v>77</v>
      </c>
      <c r="I1181" t="s">
        <v>35</v>
      </c>
      <c r="J1181" t="s">
        <v>26</v>
      </c>
      <c r="K1181" t="s">
        <v>50</v>
      </c>
      <c r="L1181" t="s">
        <v>28</v>
      </c>
      <c r="M1181" s="46">
        <v>20100</v>
      </c>
      <c r="N1181">
        <v>0.14499999999999999</v>
      </c>
      <c r="O1181">
        <v>1</v>
      </c>
      <c r="P1181" t="s">
        <v>29</v>
      </c>
      <c r="R1181">
        <v>71</v>
      </c>
      <c r="S1181">
        <v>1431.7</v>
      </c>
      <c r="T1181">
        <f>Deals_[[#This Row],[Amount]]*Deals_[[#This Row],[Probability_Pct]]</f>
        <v>20100</v>
      </c>
    </row>
    <row r="1182" spans="1:20" x14ac:dyDescent="0.2">
      <c r="A1182" t="s">
        <v>1931</v>
      </c>
      <c r="B1182" s="7">
        <v>45960</v>
      </c>
      <c r="C1182" s="7">
        <v>46104</v>
      </c>
      <c r="D1182" t="s">
        <v>890</v>
      </c>
      <c r="E1182" t="s">
        <v>33</v>
      </c>
      <c r="F1182" t="s">
        <v>74</v>
      </c>
      <c r="G1182" t="s">
        <v>55</v>
      </c>
      <c r="H1182" t="s">
        <v>77</v>
      </c>
      <c r="I1182" t="s">
        <v>42</v>
      </c>
      <c r="J1182" t="s">
        <v>57</v>
      </c>
      <c r="K1182" t="s">
        <v>37</v>
      </c>
      <c r="L1182" t="s">
        <v>44</v>
      </c>
      <c r="M1182" s="46">
        <v>323500</v>
      </c>
      <c r="N1182">
        <v>5.0000000000000001E-3</v>
      </c>
      <c r="O1182">
        <v>0.05</v>
      </c>
      <c r="P1182" t="s">
        <v>38</v>
      </c>
      <c r="R1182">
        <v>144</v>
      </c>
      <c r="S1182">
        <v>26818.3</v>
      </c>
      <c r="T1182">
        <f>Deals_[[#This Row],[Amount]]*Deals_[[#This Row],[Probability_Pct]]</f>
        <v>16175</v>
      </c>
    </row>
    <row r="1183" spans="1:20" x14ac:dyDescent="0.2">
      <c r="A1183" t="s">
        <v>1932</v>
      </c>
      <c r="B1183" s="7">
        <v>46098</v>
      </c>
      <c r="C1183" s="7">
        <v>46143</v>
      </c>
      <c r="D1183" t="s">
        <v>480</v>
      </c>
      <c r="E1183" t="s">
        <v>111</v>
      </c>
      <c r="F1183" t="s">
        <v>22</v>
      </c>
      <c r="G1183" t="s">
        <v>34</v>
      </c>
      <c r="H1183" t="s">
        <v>95</v>
      </c>
      <c r="I1183" t="s">
        <v>65</v>
      </c>
      <c r="J1183" t="s">
        <v>85</v>
      </c>
      <c r="K1183" t="s">
        <v>106</v>
      </c>
      <c r="L1183" t="s">
        <v>28</v>
      </c>
      <c r="M1183" s="46">
        <v>90000</v>
      </c>
      <c r="N1183">
        <v>1.7999999999999999E-2</v>
      </c>
      <c r="O1183">
        <v>0.2</v>
      </c>
      <c r="P1183" t="s">
        <v>38</v>
      </c>
      <c r="R1183">
        <v>45</v>
      </c>
      <c r="S1183">
        <v>7364.29</v>
      </c>
      <c r="T1183">
        <f>Deals_[[#This Row],[Amount]]*Deals_[[#This Row],[Probability_Pct]]</f>
        <v>18000</v>
      </c>
    </row>
    <row r="1184" spans="1:20" x14ac:dyDescent="0.2">
      <c r="A1184" t="s">
        <v>1933</v>
      </c>
      <c r="B1184" s="7">
        <v>46200</v>
      </c>
      <c r="C1184" s="7">
        <v>46326</v>
      </c>
      <c r="D1184" t="s">
        <v>1130</v>
      </c>
      <c r="E1184" t="s">
        <v>82</v>
      </c>
      <c r="F1184" t="s">
        <v>48</v>
      </c>
      <c r="G1184" t="s">
        <v>55</v>
      </c>
      <c r="H1184" t="s">
        <v>56</v>
      </c>
      <c r="I1184" t="s">
        <v>65</v>
      </c>
      <c r="J1184" t="s">
        <v>57</v>
      </c>
      <c r="K1184" t="s">
        <v>37</v>
      </c>
      <c r="L1184" t="s">
        <v>28</v>
      </c>
      <c r="M1184" s="46">
        <v>21500</v>
      </c>
      <c r="N1184">
        <v>0.11899999999999999</v>
      </c>
      <c r="O1184">
        <v>0.05</v>
      </c>
      <c r="P1184" t="s">
        <v>38</v>
      </c>
      <c r="R1184">
        <v>126</v>
      </c>
      <c r="S1184">
        <v>1578.14</v>
      </c>
      <c r="T1184">
        <f>Deals_[[#This Row],[Amount]]*Deals_[[#This Row],[Probability_Pct]]</f>
        <v>1075</v>
      </c>
    </row>
    <row r="1185" spans="1:20" x14ac:dyDescent="0.2">
      <c r="A1185" t="s">
        <v>1934</v>
      </c>
      <c r="B1185" s="7">
        <v>46167</v>
      </c>
      <c r="C1185" s="7">
        <v>46243</v>
      </c>
      <c r="D1185" t="s">
        <v>520</v>
      </c>
      <c r="E1185" t="s">
        <v>62</v>
      </c>
      <c r="F1185" t="s">
        <v>48</v>
      </c>
      <c r="G1185" t="s">
        <v>92</v>
      </c>
      <c r="H1185" t="s">
        <v>120</v>
      </c>
      <c r="I1185" t="s">
        <v>35</v>
      </c>
      <c r="J1185" t="s">
        <v>26</v>
      </c>
      <c r="K1185" t="s">
        <v>88</v>
      </c>
      <c r="L1185" t="s">
        <v>44</v>
      </c>
      <c r="M1185" s="46">
        <v>16500</v>
      </c>
      <c r="N1185">
        <v>4.0000000000000001E-3</v>
      </c>
      <c r="O1185">
        <v>0.35</v>
      </c>
      <c r="P1185" t="s">
        <v>38</v>
      </c>
      <c r="R1185">
        <v>76</v>
      </c>
      <c r="S1185">
        <v>1369.52</v>
      </c>
      <c r="T1185">
        <f>Deals_[[#This Row],[Amount]]*Deals_[[#This Row],[Probability_Pct]]</f>
        <v>5775</v>
      </c>
    </row>
    <row r="1186" spans="1:20" x14ac:dyDescent="0.2">
      <c r="A1186" t="s">
        <v>1935</v>
      </c>
      <c r="B1186" s="7">
        <v>46094</v>
      </c>
      <c r="C1186" s="7">
        <v>46135</v>
      </c>
      <c r="D1186" t="s">
        <v>790</v>
      </c>
      <c r="E1186" t="s">
        <v>68</v>
      </c>
      <c r="F1186" t="s">
        <v>48</v>
      </c>
      <c r="G1186" t="s">
        <v>92</v>
      </c>
      <c r="H1186" t="s">
        <v>24</v>
      </c>
      <c r="I1186" t="s">
        <v>99</v>
      </c>
      <c r="J1186" t="s">
        <v>85</v>
      </c>
      <c r="K1186" t="s">
        <v>78</v>
      </c>
      <c r="L1186" t="s">
        <v>28</v>
      </c>
      <c r="M1186" s="46">
        <v>13900</v>
      </c>
      <c r="N1186">
        <v>1.7000000000000001E-2</v>
      </c>
      <c r="O1186">
        <v>0.6</v>
      </c>
      <c r="P1186" t="s">
        <v>79</v>
      </c>
      <c r="R1186">
        <v>41</v>
      </c>
      <c r="S1186">
        <v>1138.19</v>
      </c>
      <c r="T1186">
        <f>Deals_[[#This Row],[Amount]]*Deals_[[#This Row],[Probability_Pct]]</f>
        <v>8340</v>
      </c>
    </row>
    <row r="1187" spans="1:20" x14ac:dyDescent="0.2">
      <c r="A1187" t="s">
        <v>1936</v>
      </c>
      <c r="B1187" s="7">
        <v>46058</v>
      </c>
      <c r="C1187" s="7">
        <v>46170</v>
      </c>
      <c r="D1187" t="s">
        <v>762</v>
      </c>
      <c r="E1187" t="s">
        <v>62</v>
      </c>
      <c r="F1187" t="s">
        <v>48</v>
      </c>
      <c r="G1187" t="s">
        <v>34</v>
      </c>
      <c r="H1187" t="s">
        <v>64</v>
      </c>
      <c r="I1187" t="s">
        <v>65</v>
      </c>
      <c r="J1187" t="s">
        <v>57</v>
      </c>
      <c r="K1187" t="s">
        <v>106</v>
      </c>
      <c r="L1187" t="s">
        <v>28</v>
      </c>
      <c r="M1187" s="46">
        <v>10900</v>
      </c>
      <c r="N1187">
        <v>0.105</v>
      </c>
      <c r="O1187">
        <v>0.2</v>
      </c>
      <c r="P1187" t="s">
        <v>38</v>
      </c>
      <c r="R1187">
        <v>112</v>
      </c>
      <c r="S1187">
        <v>813.06</v>
      </c>
      <c r="T1187">
        <f>Deals_[[#This Row],[Amount]]*Deals_[[#This Row],[Probability_Pct]]</f>
        <v>2180</v>
      </c>
    </row>
    <row r="1188" spans="1:20" x14ac:dyDescent="0.2">
      <c r="A1188" t="s">
        <v>1937</v>
      </c>
      <c r="B1188" s="7">
        <v>46231</v>
      </c>
      <c r="C1188" s="7">
        <v>46323</v>
      </c>
      <c r="D1188" t="s">
        <v>562</v>
      </c>
      <c r="E1188" t="s">
        <v>21</v>
      </c>
      <c r="F1188" t="s">
        <v>48</v>
      </c>
      <c r="G1188" t="s">
        <v>63</v>
      </c>
      <c r="H1188" t="s">
        <v>64</v>
      </c>
      <c r="I1188" t="s">
        <v>65</v>
      </c>
      <c r="J1188" t="s">
        <v>43</v>
      </c>
      <c r="K1188" t="s">
        <v>58</v>
      </c>
      <c r="L1188" t="s">
        <v>51</v>
      </c>
      <c r="M1188" s="46">
        <v>24500</v>
      </c>
      <c r="N1188">
        <v>0.14000000000000001</v>
      </c>
      <c r="O1188">
        <v>0.75</v>
      </c>
      <c r="P1188" t="s">
        <v>59</v>
      </c>
      <c r="R1188">
        <v>92</v>
      </c>
      <c r="S1188">
        <v>1755.64</v>
      </c>
      <c r="T1188">
        <f>Deals_[[#This Row],[Amount]]*Deals_[[#This Row],[Probability_Pct]]</f>
        <v>18375</v>
      </c>
    </row>
    <row r="1189" spans="1:20" x14ac:dyDescent="0.2">
      <c r="A1189" t="s">
        <v>1938</v>
      </c>
      <c r="B1189" s="7">
        <v>46185</v>
      </c>
      <c r="C1189" s="7">
        <v>46222</v>
      </c>
      <c r="D1189" t="s">
        <v>915</v>
      </c>
      <c r="E1189" t="s">
        <v>68</v>
      </c>
      <c r="F1189" t="s">
        <v>22</v>
      </c>
      <c r="G1189" t="s">
        <v>23</v>
      </c>
      <c r="H1189" t="s">
        <v>95</v>
      </c>
      <c r="I1189" t="s">
        <v>25</v>
      </c>
      <c r="J1189" t="s">
        <v>26</v>
      </c>
      <c r="K1189" t="s">
        <v>58</v>
      </c>
      <c r="L1189" t="s">
        <v>44</v>
      </c>
      <c r="M1189" s="46">
        <v>32400</v>
      </c>
      <c r="N1189">
        <v>0.11</v>
      </c>
      <c r="O1189">
        <v>0.8</v>
      </c>
      <c r="P1189" t="s">
        <v>59</v>
      </c>
      <c r="R1189">
        <v>37</v>
      </c>
      <c r="S1189">
        <v>2402.36</v>
      </c>
      <c r="T1189">
        <f>Deals_[[#This Row],[Amount]]*Deals_[[#This Row],[Probability_Pct]]</f>
        <v>25920</v>
      </c>
    </row>
    <row r="1190" spans="1:20" x14ac:dyDescent="0.2">
      <c r="A1190" t="s">
        <v>1939</v>
      </c>
      <c r="B1190" s="7">
        <v>45934</v>
      </c>
      <c r="C1190" s="7">
        <v>46043</v>
      </c>
      <c r="D1190" t="s">
        <v>228</v>
      </c>
      <c r="E1190" t="s">
        <v>111</v>
      </c>
      <c r="F1190" t="s">
        <v>48</v>
      </c>
      <c r="G1190" t="s">
        <v>63</v>
      </c>
      <c r="H1190" t="s">
        <v>24</v>
      </c>
      <c r="I1190" t="s">
        <v>84</v>
      </c>
      <c r="J1190" t="s">
        <v>43</v>
      </c>
      <c r="K1190" t="s">
        <v>27</v>
      </c>
      <c r="L1190" t="s">
        <v>28</v>
      </c>
      <c r="M1190" s="46">
        <v>13600</v>
      </c>
      <c r="N1190">
        <v>0.10299999999999999</v>
      </c>
      <c r="O1190">
        <v>0</v>
      </c>
      <c r="P1190" t="s">
        <v>29</v>
      </c>
      <c r="Q1190" t="s">
        <v>209</v>
      </c>
      <c r="R1190">
        <v>109</v>
      </c>
      <c r="S1190">
        <v>1016.61</v>
      </c>
      <c r="T1190">
        <f>Deals_[[#This Row],[Amount]]*Deals_[[#This Row],[Probability_Pct]]</f>
        <v>0</v>
      </c>
    </row>
    <row r="1191" spans="1:20" x14ac:dyDescent="0.2">
      <c r="A1191" t="s">
        <v>1940</v>
      </c>
      <c r="B1191" s="7">
        <v>45988</v>
      </c>
      <c r="C1191" s="7">
        <v>46075</v>
      </c>
      <c r="D1191" t="s">
        <v>1656</v>
      </c>
      <c r="E1191" t="s">
        <v>68</v>
      </c>
      <c r="F1191" t="s">
        <v>48</v>
      </c>
      <c r="G1191" t="s">
        <v>34</v>
      </c>
      <c r="H1191" t="s">
        <v>83</v>
      </c>
      <c r="I1191" t="s">
        <v>84</v>
      </c>
      <c r="J1191" t="s">
        <v>85</v>
      </c>
      <c r="K1191" t="s">
        <v>106</v>
      </c>
      <c r="L1191" t="s">
        <v>28</v>
      </c>
      <c r="M1191" s="46">
        <v>28700</v>
      </c>
      <c r="N1191">
        <v>0.218</v>
      </c>
      <c r="O1191">
        <v>0.25</v>
      </c>
      <c r="P1191" t="s">
        <v>38</v>
      </c>
      <c r="R1191">
        <v>87</v>
      </c>
      <c r="S1191">
        <v>1870.33</v>
      </c>
      <c r="T1191">
        <f>Deals_[[#This Row],[Amount]]*Deals_[[#This Row],[Probability_Pct]]</f>
        <v>7175</v>
      </c>
    </row>
    <row r="1192" spans="1:20" x14ac:dyDescent="0.2">
      <c r="A1192" t="s">
        <v>1941</v>
      </c>
      <c r="B1192" s="7">
        <v>46028</v>
      </c>
      <c r="C1192" s="7">
        <v>46072</v>
      </c>
      <c r="D1192" t="s">
        <v>1601</v>
      </c>
      <c r="E1192" t="s">
        <v>68</v>
      </c>
      <c r="F1192" t="s">
        <v>48</v>
      </c>
      <c r="G1192" t="s">
        <v>63</v>
      </c>
      <c r="H1192" t="s">
        <v>49</v>
      </c>
      <c r="I1192" t="s">
        <v>99</v>
      </c>
      <c r="J1192" t="s">
        <v>85</v>
      </c>
      <c r="K1192" t="s">
        <v>50</v>
      </c>
      <c r="L1192" t="s">
        <v>28</v>
      </c>
      <c r="M1192" s="46">
        <v>8700</v>
      </c>
      <c r="N1192">
        <v>0.16400000000000001</v>
      </c>
      <c r="O1192">
        <v>0.95</v>
      </c>
      <c r="P1192" t="s">
        <v>29</v>
      </c>
      <c r="R1192">
        <v>44</v>
      </c>
      <c r="S1192">
        <v>606.25</v>
      </c>
      <c r="T1192">
        <f>Deals_[[#This Row],[Amount]]*Deals_[[#This Row],[Probability_Pct]]</f>
        <v>8265</v>
      </c>
    </row>
    <row r="1193" spans="1:20" x14ac:dyDescent="0.2">
      <c r="A1193" t="s">
        <v>1942</v>
      </c>
      <c r="B1193" s="7">
        <v>46252</v>
      </c>
      <c r="C1193" s="7">
        <v>46282</v>
      </c>
      <c r="D1193" t="s">
        <v>1633</v>
      </c>
      <c r="E1193" t="s">
        <v>91</v>
      </c>
      <c r="F1193" t="s">
        <v>48</v>
      </c>
      <c r="G1193" t="s">
        <v>55</v>
      </c>
      <c r="H1193" t="s">
        <v>137</v>
      </c>
      <c r="I1193" t="s">
        <v>42</v>
      </c>
      <c r="J1193" t="s">
        <v>43</v>
      </c>
      <c r="K1193" t="s">
        <v>106</v>
      </c>
      <c r="L1193" t="s">
        <v>28</v>
      </c>
      <c r="M1193" s="46">
        <v>7700</v>
      </c>
      <c r="N1193">
        <v>0.125</v>
      </c>
      <c r="O1193">
        <v>0.2</v>
      </c>
      <c r="P1193" t="s">
        <v>38</v>
      </c>
      <c r="R1193">
        <v>30</v>
      </c>
      <c r="S1193">
        <v>561.55999999999995</v>
      </c>
      <c r="T1193">
        <f>Deals_[[#This Row],[Amount]]*Deals_[[#This Row],[Probability_Pct]]</f>
        <v>1540</v>
      </c>
    </row>
    <row r="1194" spans="1:20" x14ac:dyDescent="0.2">
      <c r="A1194" t="s">
        <v>1943</v>
      </c>
      <c r="B1194" s="7">
        <v>46184</v>
      </c>
      <c r="C1194" s="7">
        <v>46316</v>
      </c>
      <c r="D1194" t="s">
        <v>465</v>
      </c>
      <c r="E1194" t="s">
        <v>91</v>
      </c>
      <c r="F1194" t="s">
        <v>48</v>
      </c>
      <c r="G1194" t="s">
        <v>23</v>
      </c>
      <c r="H1194" t="s">
        <v>120</v>
      </c>
      <c r="I1194" t="s">
        <v>99</v>
      </c>
      <c r="J1194" t="s">
        <v>36</v>
      </c>
      <c r="K1194" t="s">
        <v>88</v>
      </c>
      <c r="L1194" t="s">
        <v>44</v>
      </c>
      <c r="M1194" s="46">
        <v>22300</v>
      </c>
      <c r="N1194">
        <v>0.19500000000000001</v>
      </c>
      <c r="O1194">
        <v>0.4</v>
      </c>
      <c r="P1194" t="s">
        <v>38</v>
      </c>
      <c r="R1194">
        <v>132</v>
      </c>
      <c r="S1194">
        <v>1496.37</v>
      </c>
      <c r="T1194">
        <f>Deals_[[#This Row],[Amount]]*Deals_[[#This Row],[Probability_Pct]]</f>
        <v>8920</v>
      </c>
    </row>
    <row r="1195" spans="1:20" x14ac:dyDescent="0.2">
      <c r="A1195" t="s">
        <v>1944</v>
      </c>
      <c r="B1195" s="7">
        <v>46119</v>
      </c>
      <c r="C1195" s="7">
        <v>46251</v>
      </c>
      <c r="D1195" t="s">
        <v>1945</v>
      </c>
      <c r="E1195" t="s">
        <v>111</v>
      </c>
      <c r="F1195" t="s">
        <v>48</v>
      </c>
      <c r="G1195" t="s">
        <v>55</v>
      </c>
      <c r="H1195" t="s">
        <v>49</v>
      </c>
      <c r="I1195" t="s">
        <v>42</v>
      </c>
      <c r="J1195" t="s">
        <v>43</v>
      </c>
      <c r="K1195" t="s">
        <v>37</v>
      </c>
      <c r="L1195" t="s">
        <v>28</v>
      </c>
      <c r="M1195" s="46">
        <v>21300</v>
      </c>
      <c r="N1195">
        <v>0.13300000000000001</v>
      </c>
      <c r="O1195">
        <v>0.05</v>
      </c>
      <c r="P1195" t="s">
        <v>38</v>
      </c>
      <c r="R1195">
        <v>132</v>
      </c>
      <c r="S1195">
        <v>1539.46</v>
      </c>
      <c r="T1195">
        <f>Deals_[[#This Row],[Amount]]*Deals_[[#This Row],[Probability_Pct]]</f>
        <v>1065</v>
      </c>
    </row>
    <row r="1196" spans="1:20" x14ac:dyDescent="0.2">
      <c r="A1196" t="s">
        <v>1946</v>
      </c>
      <c r="B1196" s="7">
        <v>46219</v>
      </c>
      <c r="C1196" s="7">
        <v>46302</v>
      </c>
      <c r="D1196" t="s">
        <v>681</v>
      </c>
      <c r="E1196" t="s">
        <v>54</v>
      </c>
      <c r="F1196" t="s">
        <v>48</v>
      </c>
      <c r="G1196" t="s">
        <v>63</v>
      </c>
      <c r="H1196" t="s">
        <v>120</v>
      </c>
      <c r="I1196" t="s">
        <v>25</v>
      </c>
      <c r="J1196" t="s">
        <v>43</v>
      </c>
      <c r="K1196" t="s">
        <v>78</v>
      </c>
      <c r="L1196" t="s">
        <v>51</v>
      </c>
      <c r="M1196" s="46">
        <v>11200</v>
      </c>
      <c r="N1196">
        <v>0</v>
      </c>
      <c r="O1196">
        <v>0.55000000000000004</v>
      </c>
      <c r="P1196" t="s">
        <v>79</v>
      </c>
      <c r="R1196">
        <v>83</v>
      </c>
      <c r="S1196">
        <v>933.33</v>
      </c>
      <c r="T1196">
        <f>Deals_[[#This Row],[Amount]]*Deals_[[#This Row],[Probability_Pct]]</f>
        <v>6160.0000000000009</v>
      </c>
    </row>
    <row r="1197" spans="1:20" x14ac:dyDescent="0.2">
      <c r="A1197" t="s">
        <v>1947</v>
      </c>
      <c r="B1197" s="7">
        <v>46076</v>
      </c>
      <c r="C1197" s="7">
        <v>46138</v>
      </c>
      <c r="D1197" t="s">
        <v>612</v>
      </c>
      <c r="E1197" t="s">
        <v>82</v>
      </c>
      <c r="F1197" t="s">
        <v>74</v>
      </c>
      <c r="G1197" t="s">
        <v>55</v>
      </c>
      <c r="H1197" t="s">
        <v>137</v>
      </c>
      <c r="I1197" t="s">
        <v>35</v>
      </c>
      <c r="J1197" t="s">
        <v>26</v>
      </c>
      <c r="K1197" t="s">
        <v>106</v>
      </c>
      <c r="L1197" t="s">
        <v>51</v>
      </c>
      <c r="M1197" s="46">
        <v>281700</v>
      </c>
      <c r="N1197">
        <v>0.151</v>
      </c>
      <c r="O1197">
        <v>0.25</v>
      </c>
      <c r="P1197" t="s">
        <v>38</v>
      </c>
      <c r="R1197">
        <v>62</v>
      </c>
      <c r="S1197">
        <v>19926.87</v>
      </c>
      <c r="T1197">
        <f>Deals_[[#This Row],[Amount]]*Deals_[[#This Row],[Probability_Pct]]</f>
        <v>70425</v>
      </c>
    </row>
    <row r="1198" spans="1:20" x14ac:dyDescent="0.2">
      <c r="A1198" t="s">
        <v>1948</v>
      </c>
      <c r="B1198" s="7">
        <v>46060</v>
      </c>
      <c r="C1198" s="7">
        <v>46134</v>
      </c>
      <c r="D1198" t="s">
        <v>1949</v>
      </c>
      <c r="E1198" t="s">
        <v>21</v>
      </c>
      <c r="F1198" t="s">
        <v>74</v>
      </c>
      <c r="G1198" t="s">
        <v>55</v>
      </c>
      <c r="H1198" t="s">
        <v>120</v>
      </c>
      <c r="I1198" t="s">
        <v>84</v>
      </c>
      <c r="J1198" t="s">
        <v>57</v>
      </c>
      <c r="K1198" t="s">
        <v>88</v>
      </c>
      <c r="L1198" t="s">
        <v>44</v>
      </c>
      <c r="M1198" s="46">
        <v>326000</v>
      </c>
      <c r="N1198">
        <v>0.155</v>
      </c>
      <c r="O1198">
        <v>0.35</v>
      </c>
      <c r="P1198" t="s">
        <v>38</v>
      </c>
      <c r="R1198">
        <v>74</v>
      </c>
      <c r="S1198">
        <v>22966.23</v>
      </c>
      <c r="T1198">
        <f>Deals_[[#This Row],[Amount]]*Deals_[[#This Row],[Probability_Pct]]</f>
        <v>114100</v>
      </c>
    </row>
    <row r="1199" spans="1:20" x14ac:dyDescent="0.2">
      <c r="A1199" t="s">
        <v>1950</v>
      </c>
      <c r="B1199" s="7">
        <v>45943</v>
      </c>
      <c r="C1199" s="7">
        <v>46070</v>
      </c>
      <c r="D1199" t="s">
        <v>1951</v>
      </c>
      <c r="E1199" t="s">
        <v>82</v>
      </c>
      <c r="F1199" t="s">
        <v>74</v>
      </c>
      <c r="G1199" t="s">
        <v>23</v>
      </c>
      <c r="H1199" t="s">
        <v>56</v>
      </c>
      <c r="I1199" t="s">
        <v>99</v>
      </c>
      <c r="J1199" t="s">
        <v>36</v>
      </c>
      <c r="K1199" t="s">
        <v>78</v>
      </c>
      <c r="L1199" t="s">
        <v>28</v>
      </c>
      <c r="M1199" s="46">
        <v>112100</v>
      </c>
      <c r="N1199">
        <v>0.02</v>
      </c>
      <c r="O1199">
        <v>0.55000000000000004</v>
      </c>
      <c r="P1199" t="s">
        <v>79</v>
      </c>
      <c r="R1199">
        <v>127</v>
      </c>
      <c r="S1199">
        <v>9153.01</v>
      </c>
      <c r="T1199">
        <f>Deals_[[#This Row],[Amount]]*Deals_[[#This Row],[Probability_Pct]]</f>
        <v>61655.000000000007</v>
      </c>
    </row>
    <row r="1200" spans="1:20" x14ac:dyDescent="0.2">
      <c r="A1200" t="s">
        <v>1952</v>
      </c>
      <c r="B1200" s="7">
        <v>45959</v>
      </c>
      <c r="C1200" s="7">
        <v>46000</v>
      </c>
      <c r="D1200" t="s">
        <v>247</v>
      </c>
      <c r="E1200" t="s">
        <v>68</v>
      </c>
      <c r="F1200" t="s">
        <v>48</v>
      </c>
      <c r="G1200" t="s">
        <v>55</v>
      </c>
      <c r="H1200" t="s">
        <v>98</v>
      </c>
      <c r="I1200" t="s">
        <v>25</v>
      </c>
      <c r="J1200" t="s">
        <v>36</v>
      </c>
      <c r="K1200" t="s">
        <v>37</v>
      </c>
      <c r="L1200" t="s">
        <v>44</v>
      </c>
      <c r="M1200" s="46">
        <v>24400</v>
      </c>
      <c r="N1200">
        <v>0.16300000000000001</v>
      </c>
      <c r="O1200">
        <v>0.15</v>
      </c>
      <c r="P1200" t="s">
        <v>38</v>
      </c>
      <c r="R1200">
        <v>41</v>
      </c>
      <c r="S1200">
        <v>1701.02</v>
      </c>
      <c r="T1200">
        <f>Deals_[[#This Row],[Amount]]*Deals_[[#This Row],[Probability_Pct]]</f>
        <v>3660</v>
      </c>
    </row>
    <row r="1201" spans="1:20" x14ac:dyDescent="0.2">
      <c r="A1201" t="s">
        <v>1953</v>
      </c>
      <c r="B1201" s="7">
        <v>46235</v>
      </c>
      <c r="C1201" s="7">
        <v>46275</v>
      </c>
      <c r="D1201" t="s">
        <v>911</v>
      </c>
      <c r="E1201" t="s">
        <v>62</v>
      </c>
      <c r="F1201" t="s">
        <v>22</v>
      </c>
      <c r="G1201" t="s">
        <v>92</v>
      </c>
      <c r="H1201" t="s">
        <v>77</v>
      </c>
      <c r="I1201" t="s">
        <v>42</v>
      </c>
      <c r="J1201" t="s">
        <v>36</v>
      </c>
      <c r="K1201" t="s">
        <v>106</v>
      </c>
      <c r="L1201" t="s">
        <v>44</v>
      </c>
      <c r="M1201" s="46">
        <v>87200</v>
      </c>
      <c r="N1201">
        <v>0.04</v>
      </c>
      <c r="O1201">
        <v>0.15</v>
      </c>
      <c r="P1201" t="s">
        <v>38</v>
      </c>
      <c r="R1201">
        <v>40</v>
      </c>
      <c r="S1201">
        <v>6979.47</v>
      </c>
      <c r="T1201">
        <f>Deals_[[#This Row],[Amount]]*Deals_[[#This Row],[Probability_Pct]]</f>
        <v>13080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AEB5F-C825-1043-87C1-4C05C3CA8408}">
  <dimension ref="A1:C145"/>
  <sheetViews>
    <sheetView workbookViewId="0">
      <selection activeCell="B55" sqref="B55"/>
    </sheetView>
  </sheetViews>
  <sheetFormatPr baseColWidth="10" defaultRowHeight="15" x14ac:dyDescent="0.2"/>
  <cols>
    <col min="1" max="1" width="18.6640625" customWidth="1"/>
    <col min="2" max="2" width="16.6640625" customWidth="1"/>
    <col min="3" max="3" width="22.83203125" customWidth="1"/>
  </cols>
  <sheetData>
    <row r="1" spans="1:3" x14ac:dyDescent="0.2">
      <c r="A1" t="s">
        <v>1954</v>
      </c>
      <c r="B1" t="s">
        <v>7</v>
      </c>
      <c r="C1" t="s">
        <v>1955</v>
      </c>
    </row>
    <row r="2" spans="1:3" x14ac:dyDescent="0.2">
      <c r="A2" s="7">
        <v>45931</v>
      </c>
      <c r="B2" t="s">
        <v>98</v>
      </c>
      <c r="C2">
        <v>873000</v>
      </c>
    </row>
    <row r="3" spans="1:3" x14ac:dyDescent="0.2">
      <c r="A3" s="7">
        <v>45931</v>
      </c>
      <c r="B3" t="s">
        <v>69</v>
      </c>
      <c r="C3">
        <v>780000</v>
      </c>
    </row>
    <row r="4" spans="1:3" x14ac:dyDescent="0.2">
      <c r="A4" s="7">
        <v>45931</v>
      </c>
      <c r="B4" t="s">
        <v>120</v>
      </c>
      <c r="C4">
        <v>945000</v>
      </c>
    </row>
    <row r="5" spans="1:3" x14ac:dyDescent="0.2">
      <c r="A5" s="7">
        <v>45931</v>
      </c>
      <c r="B5" t="s">
        <v>95</v>
      </c>
      <c r="C5">
        <v>739000</v>
      </c>
    </row>
    <row r="6" spans="1:3" x14ac:dyDescent="0.2">
      <c r="A6" s="7">
        <v>45931</v>
      </c>
      <c r="B6" t="s">
        <v>137</v>
      </c>
      <c r="C6">
        <v>1078000</v>
      </c>
    </row>
    <row r="7" spans="1:3" x14ac:dyDescent="0.2">
      <c r="A7" s="7">
        <v>45931</v>
      </c>
      <c r="B7" t="s">
        <v>41</v>
      </c>
      <c r="C7">
        <v>698000</v>
      </c>
    </row>
    <row r="8" spans="1:3" x14ac:dyDescent="0.2">
      <c r="A8" s="7">
        <v>45931</v>
      </c>
      <c r="B8" t="s">
        <v>24</v>
      </c>
      <c r="C8">
        <v>842000</v>
      </c>
    </row>
    <row r="9" spans="1:3" x14ac:dyDescent="0.2">
      <c r="A9" s="7">
        <v>45931</v>
      </c>
      <c r="B9" t="s">
        <v>49</v>
      </c>
      <c r="C9">
        <v>770000</v>
      </c>
    </row>
    <row r="10" spans="1:3" x14ac:dyDescent="0.2">
      <c r="A10" s="7">
        <v>45931</v>
      </c>
      <c r="B10" t="s">
        <v>56</v>
      </c>
      <c r="C10">
        <v>903000</v>
      </c>
    </row>
    <row r="11" spans="1:3" x14ac:dyDescent="0.2">
      <c r="A11" s="7">
        <v>45931</v>
      </c>
      <c r="B11" t="s">
        <v>83</v>
      </c>
      <c r="C11">
        <v>719000</v>
      </c>
    </row>
    <row r="12" spans="1:3" x14ac:dyDescent="0.2">
      <c r="A12" s="7">
        <v>45931</v>
      </c>
      <c r="B12" t="s">
        <v>64</v>
      </c>
      <c r="C12">
        <v>1006000</v>
      </c>
    </row>
    <row r="13" spans="1:3" x14ac:dyDescent="0.2">
      <c r="A13" s="7">
        <v>45931</v>
      </c>
      <c r="B13" t="s">
        <v>77</v>
      </c>
      <c r="C13">
        <v>760000</v>
      </c>
    </row>
    <row r="14" spans="1:3" x14ac:dyDescent="0.2">
      <c r="A14" s="7">
        <v>45962</v>
      </c>
      <c r="B14" t="s">
        <v>98</v>
      </c>
      <c r="C14">
        <v>884000</v>
      </c>
    </row>
    <row r="15" spans="1:3" x14ac:dyDescent="0.2">
      <c r="A15" s="7">
        <v>45962</v>
      </c>
      <c r="B15" t="s">
        <v>69</v>
      </c>
      <c r="C15">
        <v>790000</v>
      </c>
    </row>
    <row r="16" spans="1:3" x14ac:dyDescent="0.2">
      <c r="A16" s="7">
        <v>45962</v>
      </c>
      <c r="B16" t="s">
        <v>120</v>
      </c>
      <c r="C16">
        <v>957000</v>
      </c>
    </row>
    <row r="17" spans="1:3" x14ac:dyDescent="0.2">
      <c r="A17" s="7">
        <v>45962</v>
      </c>
      <c r="B17" t="s">
        <v>95</v>
      </c>
      <c r="C17">
        <v>749000</v>
      </c>
    </row>
    <row r="18" spans="1:3" x14ac:dyDescent="0.2">
      <c r="A18" s="7">
        <v>45962</v>
      </c>
      <c r="B18" t="s">
        <v>137</v>
      </c>
      <c r="C18">
        <v>1092000</v>
      </c>
    </row>
    <row r="19" spans="1:3" x14ac:dyDescent="0.2">
      <c r="A19" s="7">
        <v>45962</v>
      </c>
      <c r="B19" t="s">
        <v>41</v>
      </c>
      <c r="C19">
        <v>707000</v>
      </c>
    </row>
    <row r="20" spans="1:3" x14ac:dyDescent="0.2">
      <c r="A20" s="7">
        <v>45962</v>
      </c>
      <c r="B20" t="s">
        <v>24</v>
      </c>
      <c r="C20">
        <v>853000</v>
      </c>
    </row>
    <row r="21" spans="1:3" x14ac:dyDescent="0.2">
      <c r="A21" s="7">
        <v>45962</v>
      </c>
      <c r="B21" t="s">
        <v>49</v>
      </c>
      <c r="C21">
        <v>780000</v>
      </c>
    </row>
    <row r="22" spans="1:3" x14ac:dyDescent="0.2">
      <c r="A22" s="7">
        <v>45962</v>
      </c>
      <c r="B22" t="s">
        <v>56</v>
      </c>
      <c r="C22">
        <v>915000</v>
      </c>
    </row>
    <row r="23" spans="1:3" x14ac:dyDescent="0.2">
      <c r="A23" s="7">
        <v>45962</v>
      </c>
      <c r="B23" t="s">
        <v>83</v>
      </c>
      <c r="C23">
        <v>728000</v>
      </c>
    </row>
    <row r="24" spans="1:3" x14ac:dyDescent="0.2">
      <c r="A24" s="7">
        <v>45962</v>
      </c>
      <c r="B24" t="s">
        <v>64</v>
      </c>
      <c r="C24">
        <v>1019000</v>
      </c>
    </row>
    <row r="25" spans="1:3" x14ac:dyDescent="0.2">
      <c r="A25" s="7">
        <v>45962</v>
      </c>
      <c r="B25" t="s">
        <v>77</v>
      </c>
      <c r="C25">
        <v>770000</v>
      </c>
    </row>
    <row r="26" spans="1:3" x14ac:dyDescent="0.2">
      <c r="A26" s="7">
        <v>45992</v>
      </c>
      <c r="B26" t="s">
        <v>98</v>
      </c>
      <c r="C26">
        <v>850000</v>
      </c>
    </row>
    <row r="27" spans="1:3" x14ac:dyDescent="0.2">
      <c r="A27" s="7">
        <v>45992</v>
      </c>
      <c r="B27" t="s">
        <v>69</v>
      </c>
      <c r="C27">
        <v>760000</v>
      </c>
    </row>
    <row r="28" spans="1:3" x14ac:dyDescent="0.2">
      <c r="A28" s="7">
        <v>45992</v>
      </c>
      <c r="B28" t="s">
        <v>120</v>
      </c>
      <c r="C28">
        <v>920000</v>
      </c>
    </row>
    <row r="29" spans="1:3" x14ac:dyDescent="0.2">
      <c r="A29" s="7">
        <v>45992</v>
      </c>
      <c r="B29" t="s">
        <v>95</v>
      </c>
      <c r="C29">
        <v>720000</v>
      </c>
    </row>
    <row r="30" spans="1:3" x14ac:dyDescent="0.2">
      <c r="A30" s="7">
        <v>45992</v>
      </c>
      <c r="B30" t="s">
        <v>137</v>
      </c>
      <c r="C30">
        <v>1050000</v>
      </c>
    </row>
    <row r="31" spans="1:3" x14ac:dyDescent="0.2">
      <c r="A31" s="7">
        <v>45992</v>
      </c>
      <c r="B31" t="s">
        <v>41</v>
      </c>
      <c r="C31">
        <v>680000</v>
      </c>
    </row>
    <row r="32" spans="1:3" x14ac:dyDescent="0.2">
      <c r="A32" s="7">
        <v>45992</v>
      </c>
      <c r="B32" t="s">
        <v>24</v>
      </c>
      <c r="C32">
        <v>820000</v>
      </c>
    </row>
    <row r="33" spans="1:3" x14ac:dyDescent="0.2">
      <c r="A33" s="7">
        <v>45992</v>
      </c>
      <c r="B33" t="s">
        <v>49</v>
      </c>
      <c r="C33">
        <v>750000</v>
      </c>
    </row>
    <row r="34" spans="1:3" x14ac:dyDescent="0.2">
      <c r="A34" s="7">
        <v>45992</v>
      </c>
      <c r="B34" t="s">
        <v>56</v>
      </c>
      <c r="C34">
        <v>880000</v>
      </c>
    </row>
    <row r="35" spans="1:3" x14ac:dyDescent="0.2">
      <c r="A35" s="7">
        <v>45992</v>
      </c>
      <c r="B35" t="s">
        <v>83</v>
      </c>
      <c r="C35">
        <v>700000</v>
      </c>
    </row>
    <row r="36" spans="1:3" x14ac:dyDescent="0.2">
      <c r="A36" s="7">
        <v>45992</v>
      </c>
      <c r="B36" t="s">
        <v>64</v>
      </c>
      <c r="C36">
        <v>980000</v>
      </c>
    </row>
    <row r="37" spans="1:3" x14ac:dyDescent="0.2">
      <c r="A37" s="7">
        <v>45992</v>
      </c>
      <c r="B37" t="s">
        <v>77</v>
      </c>
      <c r="C37">
        <v>740000</v>
      </c>
    </row>
    <row r="38" spans="1:3" x14ac:dyDescent="0.2">
      <c r="A38" s="7">
        <v>46023</v>
      </c>
      <c r="B38" t="s">
        <v>98</v>
      </c>
      <c r="C38">
        <v>861000</v>
      </c>
    </row>
    <row r="39" spans="1:3" x14ac:dyDescent="0.2">
      <c r="A39" s="7">
        <v>46023</v>
      </c>
      <c r="B39" t="s">
        <v>69</v>
      </c>
      <c r="C39">
        <v>770000</v>
      </c>
    </row>
    <row r="40" spans="1:3" x14ac:dyDescent="0.2">
      <c r="A40" s="7">
        <v>46023</v>
      </c>
      <c r="B40" t="s">
        <v>120</v>
      </c>
      <c r="C40">
        <v>932000</v>
      </c>
    </row>
    <row r="41" spans="1:3" x14ac:dyDescent="0.2">
      <c r="A41" s="7">
        <v>46023</v>
      </c>
      <c r="B41" t="s">
        <v>95</v>
      </c>
      <c r="C41">
        <v>730000</v>
      </c>
    </row>
    <row r="42" spans="1:3" x14ac:dyDescent="0.2">
      <c r="A42" s="7">
        <v>46023</v>
      </c>
      <c r="B42" t="s">
        <v>137</v>
      </c>
      <c r="C42">
        <v>1064000</v>
      </c>
    </row>
    <row r="43" spans="1:3" x14ac:dyDescent="0.2">
      <c r="A43" s="7">
        <v>46023</v>
      </c>
      <c r="B43" t="s">
        <v>41</v>
      </c>
      <c r="C43">
        <v>689000</v>
      </c>
    </row>
    <row r="44" spans="1:3" x14ac:dyDescent="0.2">
      <c r="A44" s="7">
        <v>46023</v>
      </c>
      <c r="B44" t="s">
        <v>24</v>
      </c>
      <c r="C44">
        <v>831000</v>
      </c>
    </row>
    <row r="45" spans="1:3" x14ac:dyDescent="0.2">
      <c r="A45" s="7">
        <v>46023</v>
      </c>
      <c r="B45" t="s">
        <v>49</v>
      </c>
      <c r="C45">
        <v>760000</v>
      </c>
    </row>
    <row r="46" spans="1:3" x14ac:dyDescent="0.2">
      <c r="A46" s="7">
        <v>46023</v>
      </c>
      <c r="B46" t="s">
        <v>56</v>
      </c>
      <c r="C46">
        <v>892000</v>
      </c>
    </row>
    <row r="47" spans="1:3" x14ac:dyDescent="0.2">
      <c r="A47" s="7">
        <v>46023</v>
      </c>
      <c r="B47" t="s">
        <v>83</v>
      </c>
      <c r="C47">
        <v>709000</v>
      </c>
    </row>
    <row r="48" spans="1:3" x14ac:dyDescent="0.2">
      <c r="A48" s="7">
        <v>46023</v>
      </c>
      <c r="B48" t="s">
        <v>64</v>
      </c>
      <c r="C48">
        <v>993000</v>
      </c>
    </row>
    <row r="49" spans="1:3" x14ac:dyDescent="0.2">
      <c r="A49" s="7">
        <v>46023</v>
      </c>
      <c r="B49" t="s">
        <v>77</v>
      </c>
      <c r="C49">
        <v>750000</v>
      </c>
    </row>
    <row r="50" spans="1:3" x14ac:dyDescent="0.2">
      <c r="A50" s="7">
        <v>46054</v>
      </c>
      <c r="B50" t="s">
        <v>98</v>
      </c>
      <c r="C50">
        <v>873000</v>
      </c>
    </row>
    <row r="51" spans="1:3" x14ac:dyDescent="0.2">
      <c r="A51" s="7">
        <v>46054</v>
      </c>
      <c r="B51" t="s">
        <v>69</v>
      </c>
      <c r="C51">
        <v>780000</v>
      </c>
    </row>
    <row r="52" spans="1:3" x14ac:dyDescent="0.2">
      <c r="A52" s="7">
        <v>46054</v>
      </c>
      <c r="B52" t="s">
        <v>120</v>
      </c>
      <c r="C52">
        <v>945000</v>
      </c>
    </row>
    <row r="53" spans="1:3" x14ac:dyDescent="0.2">
      <c r="A53" s="7">
        <v>46054</v>
      </c>
      <c r="B53" t="s">
        <v>95</v>
      </c>
      <c r="C53">
        <v>739000</v>
      </c>
    </row>
    <row r="54" spans="1:3" x14ac:dyDescent="0.2">
      <c r="A54" s="7">
        <v>46054</v>
      </c>
      <c r="B54" t="s">
        <v>137</v>
      </c>
      <c r="C54">
        <v>1078000</v>
      </c>
    </row>
    <row r="55" spans="1:3" x14ac:dyDescent="0.2">
      <c r="A55" s="7">
        <v>46054</v>
      </c>
      <c r="B55" t="s">
        <v>41</v>
      </c>
      <c r="C55">
        <v>698000</v>
      </c>
    </row>
    <row r="56" spans="1:3" x14ac:dyDescent="0.2">
      <c r="A56" s="7">
        <v>46054</v>
      </c>
      <c r="B56" t="s">
        <v>24</v>
      </c>
      <c r="C56">
        <v>842000</v>
      </c>
    </row>
    <row r="57" spans="1:3" x14ac:dyDescent="0.2">
      <c r="A57" s="7">
        <v>46054</v>
      </c>
      <c r="B57" t="s">
        <v>49</v>
      </c>
      <c r="C57">
        <v>770000</v>
      </c>
    </row>
    <row r="58" spans="1:3" x14ac:dyDescent="0.2">
      <c r="A58" s="7">
        <v>46054</v>
      </c>
      <c r="B58" t="s">
        <v>56</v>
      </c>
      <c r="C58">
        <v>903000</v>
      </c>
    </row>
    <row r="59" spans="1:3" x14ac:dyDescent="0.2">
      <c r="A59" s="7">
        <v>46054</v>
      </c>
      <c r="B59" t="s">
        <v>83</v>
      </c>
      <c r="C59">
        <v>719000</v>
      </c>
    </row>
    <row r="60" spans="1:3" x14ac:dyDescent="0.2">
      <c r="A60" s="7">
        <v>46054</v>
      </c>
      <c r="B60" t="s">
        <v>64</v>
      </c>
      <c r="C60">
        <v>1006000</v>
      </c>
    </row>
    <row r="61" spans="1:3" x14ac:dyDescent="0.2">
      <c r="A61" s="7">
        <v>46054</v>
      </c>
      <c r="B61" t="s">
        <v>77</v>
      </c>
      <c r="C61">
        <v>760000</v>
      </c>
    </row>
    <row r="62" spans="1:3" x14ac:dyDescent="0.2">
      <c r="A62" s="7">
        <v>46082</v>
      </c>
      <c r="B62" t="s">
        <v>98</v>
      </c>
      <c r="C62">
        <v>884000</v>
      </c>
    </row>
    <row r="63" spans="1:3" x14ac:dyDescent="0.2">
      <c r="A63" s="7">
        <v>46082</v>
      </c>
      <c r="B63" t="s">
        <v>69</v>
      </c>
      <c r="C63">
        <v>790000</v>
      </c>
    </row>
    <row r="64" spans="1:3" x14ac:dyDescent="0.2">
      <c r="A64" s="7">
        <v>46082</v>
      </c>
      <c r="B64" t="s">
        <v>120</v>
      </c>
      <c r="C64">
        <v>957000</v>
      </c>
    </row>
    <row r="65" spans="1:3" x14ac:dyDescent="0.2">
      <c r="A65" s="7">
        <v>46082</v>
      </c>
      <c r="B65" t="s">
        <v>95</v>
      </c>
      <c r="C65">
        <v>749000</v>
      </c>
    </row>
    <row r="66" spans="1:3" x14ac:dyDescent="0.2">
      <c r="A66" s="7">
        <v>46082</v>
      </c>
      <c r="B66" t="s">
        <v>137</v>
      </c>
      <c r="C66">
        <v>1092000</v>
      </c>
    </row>
    <row r="67" spans="1:3" x14ac:dyDescent="0.2">
      <c r="A67" s="7">
        <v>46082</v>
      </c>
      <c r="B67" t="s">
        <v>41</v>
      </c>
      <c r="C67">
        <v>707000</v>
      </c>
    </row>
    <row r="68" spans="1:3" x14ac:dyDescent="0.2">
      <c r="A68" s="7">
        <v>46082</v>
      </c>
      <c r="B68" t="s">
        <v>24</v>
      </c>
      <c r="C68">
        <v>853000</v>
      </c>
    </row>
    <row r="69" spans="1:3" x14ac:dyDescent="0.2">
      <c r="A69" s="7">
        <v>46082</v>
      </c>
      <c r="B69" t="s">
        <v>49</v>
      </c>
      <c r="C69">
        <v>780000</v>
      </c>
    </row>
    <row r="70" spans="1:3" x14ac:dyDescent="0.2">
      <c r="A70" s="7">
        <v>46082</v>
      </c>
      <c r="B70" t="s">
        <v>56</v>
      </c>
      <c r="C70">
        <v>915000</v>
      </c>
    </row>
    <row r="71" spans="1:3" x14ac:dyDescent="0.2">
      <c r="A71" s="7">
        <v>46082</v>
      </c>
      <c r="B71" t="s">
        <v>83</v>
      </c>
      <c r="C71">
        <v>728000</v>
      </c>
    </row>
    <row r="72" spans="1:3" x14ac:dyDescent="0.2">
      <c r="A72" s="7">
        <v>46082</v>
      </c>
      <c r="B72" t="s">
        <v>64</v>
      </c>
      <c r="C72">
        <v>1019000</v>
      </c>
    </row>
    <row r="73" spans="1:3" x14ac:dyDescent="0.2">
      <c r="A73" s="7">
        <v>46082</v>
      </c>
      <c r="B73" t="s">
        <v>77</v>
      </c>
      <c r="C73">
        <v>770000</v>
      </c>
    </row>
    <row r="74" spans="1:3" x14ac:dyDescent="0.2">
      <c r="A74" s="7">
        <v>46113</v>
      </c>
      <c r="B74" t="s">
        <v>98</v>
      </c>
      <c r="C74">
        <v>850000</v>
      </c>
    </row>
    <row r="75" spans="1:3" x14ac:dyDescent="0.2">
      <c r="A75" s="7">
        <v>46113</v>
      </c>
      <c r="B75" t="s">
        <v>69</v>
      </c>
      <c r="C75">
        <v>760000</v>
      </c>
    </row>
    <row r="76" spans="1:3" x14ac:dyDescent="0.2">
      <c r="A76" s="7">
        <v>46113</v>
      </c>
      <c r="B76" t="s">
        <v>120</v>
      </c>
      <c r="C76">
        <v>920000</v>
      </c>
    </row>
    <row r="77" spans="1:3" x14ac:dyDescent="0.2">
      <c r="A77" s="7">
        <v>46113</v>
      </c>
      <c r="B77" t="s">
        <v>95</v>
      </c>
      <c r="C77">
        <v>720000</v>
      </c>
    </row>
    <row r="78" spans="1:3" x14ac:dyDescent="0.2">
      <c r="A78" s="7">
        <v>46113</v>
      </c>
      <c r="B78" t="s">
        <v>137</v>
      </c>
      <c r="C78">
        <v>1050000</v>
      </c>
    </row>
    <row r="79" spans="1:3" x14ac:dyDescent="0.2">
      <c r="A79" s="7">
        <v>46113</v>
      </c>
      <c r="B79" t="s">
        <v>41</v>
      </c>
      <c r="C79">
        <v>680000</v>
      </c>
    </row>
    <row r="80" spans="1:3" x14ac:dyDescent="0.2">
      <c r="A80" s="7">
        <v>46113</v>
      </c>
      <c r="B80" t="s">
        <v>24</v>
      </c>
      <c r="C80">
        <v>820000</v>
      </c>
    </row>
    <row r="81" spans="1:3" x14ac:dyDescent="0.2">
      <c r="A81" s="7">
        <v>46113</v>
      </c>
      <c r="B81" t="s">
        <v>49</v>
      </c>
      <c r="C81">
        <v>750000</v>
      </c>
    </row>
    <row r="82" spans="1:3" x14ac:dyDescent="0.2">
      <c r="A82" s="7">
        <v>46113</v>
      </c>
      <c r="B82" t="s">
        <v>56</v>
      </c>
      <c r="C82">
        <v>880000</v>
      </c>
    </row>
    <row r="83" spans="1:3" x14ac:dyDescent="0.2">
      <c r="A83" s="7">
        <v>46113</v>
      </c>
      <c r="B83" t="s">
        <v>83</v>
      </c>
      <c r="C83">
        <v>700000</v>
      </c>
    </row>
    <row r="84" spans="1:3" x14ac:dyDescent="0.2">
      <c r="A84" s="7">
        <v>46113</v>
      </c>
      <c r="B84" t="s">
        <v>64</v>
      </c>
      <c r="C84">
        <v>980000</v>
      </c>
    </row>
    <row r="85" spans="1:3" x14ac:dyDescent="0.2">
      <c r="A85" s="7">
        <v>46113</v>
      </c>
      <c r="B85" t="s">
        <v>77</v>
      </c>
      <c r="C85">
        <v>740000</v>
      </c>
    </row>
    <row r="86" spans="1:3" x14ac:dyDescent="0.2">
      <c r="A86" s="7">
        <v>46143</v>
      </c>
      <c r="B86" t="s">
        <v>98</v>
      </c>
      <c r="C86">
        <v>861000</v>
      </c>
    </row>
    <row r="87" spans="1:3" x14ac:dyDescent="0.2">
      <c r="A87" s="7">
        <v>46143</v>
      </c>
      <c r="B87" t="s">
        <v>69</v>
      </c>
      <c r="C87">
        <v>770000</v>
      </c>
    </row>
    <row r="88" spans="1:3" x14ac:dyDescent="0.2">
      <c r="A88" s="7">
        <v>46143</v>
      </c>
      <c r="B88" t="s">
        <v>120</v>
      </c>
      <c r="C88">
        <v>932000</v>
      </c>
    </row>
    <row r="89" spans="1:3" x14ac:dyDescent="0.2">
      <c r="A89" s="7">
        <v>46143</v>
      </c>
      <c r="B89" t="s">
        <v>95</v>
      </c>
      <c r="C89">
        <v>730000</v>
      </c>
    </row>
    <row r="90" spans="1:3" x14ac:dyDescent="0.2">
      <c r="A90" s="7">
        <v>46143</v>
      </c>
      <c r="B90" t="s">
        <v>137</v>
      </c>
      <c r="C90">
        <v>1064000</v>
      </c>
    </row>
    <row r="91" spans="1:3" x14ac:dyDescent="0.2">
      <c r="A91" s="7">
        <v>46143</v>
      </c>
      <c r="B91" t="s">
        <v>41</v>
      </c>
      <c r="C91">
        <v>689000</v>
      </c>
    </row>
    <row r="92" spans="1:3" x14ac:dyDescent="0.2">
      <c r="A92" s="7">
        <v>46143</v>
      </c>
      <c r="B92" t="s">
        <v>24</v>
      </c>
      <c r="C92">
        <v>831000</v>
      </c>
    </row>
    <row r="93" spans="1:3" x14ac:dyDescent="0.2">
      <c r="A93" s="7">
        <v>46143</v>
      </c>
      <c r="B93" t="s">
        <v>49</v>
      </c>
      <c r="C93">
        <v>760000</v>
      </c>
    </row>
    <row r="94" spans="1:3" x14ac:dyDescent="0.2">
      <c r="A94" s="7">
        <v>46143</v>
      </c>
      <c r="B94" t="s">
        <v>56</v>
      </c>
      <c r="C94">
        <v>892000</v>
      </c>
    </row>
    <row r="95" spans="1:3" x14ac:dyDescent="0.2">
      <c r="A95" s="7">
        <v>46143</v>
      </c>
      <c r="B95" t="s">
        <v>83</v>
      </c>
      <c r="C95">
        <v>709000</v>
      </c>
    </row>
    <row r="96" spans="1:3" x14ac:dyDescent="0.2">
      <c r="A96" s="7">
        <v>46143</v>
      </c>
      <c r="B96" t="s">
        <v>64</v>
      </c>
      <c r="C96">
        <v>993000</v>
      </c>
    </row>
    <row r="97" spans="1:3" x14ac:dyDescent="0.2">
      <c r="A97" s="7">
        <v>46143</v>
      </c>
      <c r="B97" t="s">
        <v>77</v>
      </c>
      <c r="C97">
        <v>750000</v>
      </c>
    </row>
    <row r="98" spans="1:3" x14ac:dyDescent="0.2">
      <c r="A98" s="7">
        <v>46174</v>
      </c>
      <c r="B98" t="s">
        <v>98</v>
      </c>
      <c r="C98">
        <v>873000</v>
      </c>
    </row>
    <row r="99" spans="1:3" x14ac:dyDescent="0.2">
      <c r="A99" s="7">
        <v>46174</v>
      </c>
      <c r="B99" t="s">
        <v>69</v>
      </c>
      <c r="C99">
        <v>780000</v>
      </c>
    </row>
    <row r="100" spans="1:3" x14ac:dyDescent="0.2">
      <c r="A100" s="7">
        <v>46174</v>
      </c>
      <c r="B100" t="s">
        <v>120</v>
      </c>
      <c r="C100">
        <v>945000</v>
      </c>
    </row>
    <row r="101" spans="1:3" x14ac:dyDescent="0.2">
      <c r="A101" s="7">
        <v>46174</v>
      </c>
      <c r="B101" t="s">
        <v>95</v>
      </c>
      <c r="C101">
        <v>739000</v>
      </c>
    </row>
    <row r="102" spans="1:3" x14ac:dyDescent="0.2">
      <c r="A102" s="7">
        <v>46174</v>
      </c>
      <c r="B102" t="s">
        <v>137</v>
      </c>
      <c r="C102">
        <v>1078000</v>
      </c>
    </row>
    <row r="103" spans="1:3" x14ac:dyDescent="0.2">
      <c r="A103" s="7">
        <v>46174</v>
      </c>
      <c r="B103" t="s">
        <v>41</v>
      </c>
      <c r="C103">
        <v>698000</v>
      </c>
    </row>
    <row r="104" spans="1:3" x14ac:dyDescent="0.2">
      <c r="A104" s="7">
        <v>46174</v>
      </c>
      <c r="B104" t="s">
        <v>24</v>
      </c>
      <c r="C104">
        <v>842000</v>
      </c>
    </row>
    <row r="105" spans="1:3" x14ac:dyDescent="0.2">
      <c r="A105" s="7">
        <v>46174</v>
      </c>
      <c r="B105" t="s">
        <v>49</v>
      </c>
      <c r="C105">
        <v>770000</v>
      </c>
    </row>
    <row r="106" spans="1:3" x14ac:dyDescent="0.2">
      <c r="A106" s="7">
        <v>46174</v>
      </c>
      <c r="B106" t="s">
        <v>56</v>
      </c>
      <c r="C106">
        <v>903000</v>
      </c>
    </row>
    <row r="107" spans="1:3" x14ac:dyDescent="0.2">
      <c r="A107" s="7">
        <v>46174</v>
      </c>
      <c r="B107" t="s">
        <v>83</v>
      </c>
      <c r="C107">
        <v>719000</v>
      </c>
    </row>
    <row r="108" spans="1:3" x14ac:dyDescent="0.2">
      <c r="A108" s="7">
        <v>46174</v>
      </c>
      <c r="B108" t="s">
        <v>64</v>
      </c>
      <c r="C108">
        <v>1006000</v>
      </c>
    </row>
    <row r="109" spans="1:3" x14ac:dyDescent="0.2">
      <c r="A109" s="7">
        <v>46174</v>
      </c>
      <c r="B109" t="s">
        <v>77</v>
      </c>
      <c r="C109">
        <v>760000</v>
      </c>
    </row>
    <row r="110" spans="1:3" x14ac:dyDescent="0.2">
      <c r="A110" s="7">
        <v>46204</v>
      </c>
      <c r="B110" t="s">
        <v>98</v>
      </c>
      <c r="C110">
        <v>884000</v>
      </c>
    </row>
    <row r="111" spans="1:3" x14ac:dyDescent="0.2">
      <c r="A111" s="7">
        <v>46204</v>
      </c>
      <c r="B111" t="s">
        <v>69</v>
      </c>
      <c r="C111">
        <v>790000</v>
      </c>
    </row>
    <row r="112" spans="1:3" x14ac:dyDescent="0.2">
      <c r="A112" s="7">
        <v>46204</v>
      </c>
      <c r="B112" t="s">
        <v>120</v>
      </c>
      <c r="C112">
        <v>957000</v>
      </c>
    </row>
    <row r="113" spans="1:3" x14ac:dyDescent="0.2">
      <c r="A113" s="7">
        <v>46204</v>
      </c>
      <c r="B113" t="s">
        <v>95</v>
      </c>
      <c r="C113">
        <v>749000</v>
      </c>
    </row>
    <row r="114" spans="1:3" x14ac:dyDescent="0.2">
      <c r="A114" s="7">
        <v>46204</v>
      </c>
      <c r="B114" t="s">
        <v>137</v>
      </c>
      <c r="C114">
        <v>1092000</v>
      </c>
    </row>
    <row r="115" spans="1:3" x14ac:dyDescent="0.2">
      <c r="A115" s="7">
        <v>46204</v>
      </c>
      <c r="B115" t="s">
        <v>41</v>
      </c>
      <c r="C115">
        <v>707000</v>
      </c>
    </row>
    <row r="116" spans="1:3" x14ac:dyDescent="0.2">
      <c r="A116" s="7">
        <v>46204</v>
      </c>
      <c r="B116" t="s">
        <v>24</v>
      </c>
      <c r="C116">
        <v>853000</v>
      </c>
    </row>
    <row r="117" spans="1:3" x14ac:dyDescent="0.2">
      <c r="A117" s="7">
        <v>46204</v>
      </c>
      <c r="B117" t="s">
        <v>49</v>
      </c>
      <c r="C117">
        <v>780000</v>
      </c>
    </row>
    <row r="118" spans="1:3" x14ac:dyDescent="0.2">
      <c r="A118" s="7">
        <v>46204</v>
      </c>
      <c r="B118" t="s">
        <v>56</v>
      </c>
      <c r="C118">
        <v>915000</v>
      </c>
    </row>
    <row r="119" spans="1:3" x14ac:dyDescent="0.2">
      <c r="A119" s="7">
        <v>46204</v>
      </c>
      <c r="B119" t="s">
        <v>83</v>
      </c>
      <c r="C119">
        <v>728000</v>
      </c>
    </row>
    <row r="120" spans="1:3" x14ac:dyDescent="0.2">
      <c r="A120" s="7">
        <v>46204</v>
      </c>
      <c r="B120" t="s">
        <v>64</v>
      </c>
      <c r="C120">
        <v>1019000</v>
      </c>
    </row>
    <row r="121" spans="1:3" x14ac:dyDescent="0.2">
      <c r="A121" s="7">
        <v>46204</v>
      </c>
      <c r="B121" t="s">
        <v>77</v>
      </c>
      <c r="C121">
        <v>770000</v>
      </c>
    </row>
    <row r="122" spans="1:3" x14ac:dyDescent="0.2">
      <c r="A122" s="7">
        <v>46235</v>
      </c>
      <c r="B122" t="s">
        <v>98</v>
      </c>
      <c r="C122">
        <v>850000</v>
      </c>
    </row>
    <row r="123" spans="1:3" x14ac:dyDescent="0.2">
      <c r="A123" s="7">
        <v>46235</v>
      </c>
      <c r="B123" t="s">
        <v>69</v>
      </c>
      <c r="C123">
        <v>760000</v>
      </c>
    </row>
    <row r="124" spans="1:3" x14ac:dyDescent="0.2">
      <c r="A124" s="7">
        <v>46235</v>
      </c>
      <c r="B124" t="s">
        <v>120</v>
      </c>
      <c r="C124">
        <v>920000</v>
      </c>
    </row>
    <row r="125" spans="1:3" x14ac:dyDescent="0.2">
      <c r="A125" s="7">
        <v>46235</v>
      </c>
      <c r="B125" t="s">
        <v>95</v>
      </c>
      <c r="C125">
        <v>720000</v>
      </c>
    </row>
    <row r="126" spans="1:3" x14ac:dyDescent="0.2">
      <c r="A126" s="7">
        <v>46235</v>
      </c>
      <c r="B126" t="s">
        <v>137</v>
      </c>
      <c r="C126">
        <v>1050000</v>
      </c>
    </row>
    <row r="127" spans="1:3" x14ac:dyDescent="0.2">
      <c r="A127" s="7">
        <v>46235</v>
      </c>
      <c r="B127" t="s">
        <v>41</v>
      </c>
      <c r="C127">
        <v>680000</v>
      </c>
    </row>
    <row r="128" spans="1:3" x14ac:dyDescent="0.2">
      <c r="A128" s="7">
        <v>46235</v>
      </c>
      <c r="B128" t="s">
        <v>24</v>
      </c>
      <c r="C128">
        <v>820000</v>
      </c>
    </row>
    <row r="129" spans="1:3" x14ac:dyDescent="0.2">
      <c r="A129" s="7">
        <v>46235</v>
      </c>
      <c r="B129" t="s">
        <v>49</v>
      </c>
      <c r="C129">
        <v>750000</v>
      </c>
    </row>
    <row r="130" spans="1:3" x14ac:dyDescent="0.2">
      <c r="A130" s="7">
        <v>46235</v>
      </c>
      <c r="B130" t="s">
        <v>56</v>
      </c>
      <c r="C130">
        <v>880000</v>
      </c>
    </row>
    <row r="131" spans="1:3" x14ac:dyDescent="0.2">
      <c r="A131" s="7">
        <v>46235</v>
      </c>
      <c r="B131" t="s">
        <v>83</v>
      </c>
      <c r="C131">
        <v>700000</v>
      </c>
    </row>
    <row r="132" spans="1:3" x14ac:dyDescent="0.2">
      <c r="A132" s="7">
        <v>46235</v>
      </c>
      <c r="B132" t="s">
        <v>64</v>
      </c>
      <c r="C132">
        <v>980000</v>
      </c>
    </row>
    <row r="133" spans="1:3" x14ac:dyDescent="0.2">
      <c r="A133" s="7">
        <v>46235</v>
      </c>
      <c r="B133" t="s">
        <v>77</v>
      </c>
      <c r="C133">
        <v>740000</v>
      </c>
    </row>
    <row r="134" spans="1:3" x14ac:dyDescent="0.2">
      <c r="A134" s="7">
        <v>46266</v>
      </c>
      <c r="B134" t="s">
        <v>98</v>
      </c>
      <c r="C134">
        <v>861000</v>
      </c>
    </row>
    <row r="135" spans="1:3" x14ac:dyDescent="0.2">
      <c r="A135" s="7">
        <v>46266</v>
      </c>
      <c r="B135" t="s">
        <v>69</v>
      </c>
      <c r="C135">
        <v>770000</v>
      </c>
    </row>
    <row r="136" spans="1:3" x14ac:dyDescent="0.2">
      <c r="A136" s="7">
        <v>46266</v>
      </c>
      <c r="B136" t="s">
        <v>120</v>
      </c>
      <c r="C136">
        <v>932000</v>
      </c>
    </row>
    <row r="137" spans="1:3" x14ac:dyDescent="0.2">
      <c r="A137" s="7">
        <v>46266</v>
      </c>
      <c r="B137" t="s">
        <v>95</v>
      </c>
      <c r="C137">
        <v>730000</v>
      </c>
    </row>
    <row r="138" spans="1:3" x14ac:dyDescent="0.2">
      <c r="A138" s="7">
        <v>46266</v>
      </c>
      <c r="B138" t="s">
        <v>137</v>
      </c>
      <c r="C138">
        <v>1064000</v>
      </c>
    </row>
    <row r="139" spans="1:3" x14ac:dyDescent="0.2">
      <c r="A139" s="7">
        <v>46266</v>
      </c>
      <c r="B139" t="s">
        <v>41</v>
      </c>
      <c r="C139">
        <v>689000</v>
      </c>
    </row>
    <row r="140" spans="1:3" x14ac:dyDescent="0.2">
      <c r="A140" s="7">
        <v>46266</v>
      </c>
      <c r="B140" t="s">
        <v>24</v>
      </c>
      <c r="C140">
        <v>831000</v>
      </c>
    </row>
    <row r="141" spans="1:3" x14ac:dyDescent="0.2">
      <c r="A141" s="7">
        <v>46266</v>
      </c>
      <c r="B141" t="s">
        <v>49</v>
      </c>
      <c r="C141">
        <v>760000</v>
      </c>
    </row>
    <row r="142" spans="1:3" x14ac:dyDescent="0.2">
      <c r="A142" s="7">
        <v>46266</v>
      </c>
      <c r="B142" t="s">
        <v>56</v>
      </c>
      <c r="C142">
        <v>892000</v>
      </c>
    </row>
    <row r="143" spans="1:3" x14ac:dyDescent="0.2">
      <c r="A143" s="7">
        <v>46266</v>
      </c>
      <c r="B143" t="s">
        <v>83</v>
      </c>
      <c r="C143">
        <v>709000</v>
      </c>
    </row>
    <row r="144" spans="1:3" x14ac:dyDescent="0.2">
      <c r="A144" s="7">
        <v>46266</v>
      </c>
      <c r="B144" t="s">
        <v>64</v>
      </c>
      <c r="C144">
        <v>993000</v>
      </c>
    </row>
    <row r="145" spans="1:3" x14ac:dyDescent="0.2">
      <c r="A145" s="7">
        <v>46266</v>
      </c>
      <c r="B145" t="s">
        <v>77</v>
      </c>
      <c r="C145">
        <v>750000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178B4-F658-4742-A160-CB7BBE7B584E}">
  <dimension ref="A1:L38"/>
  <sheetViews>
    <sheetView showGridLines="0" workbookViewId="0">
      <selection activeCell="A22" sqref="A22"/>
    </sheetView>
  </sheetViews>
  <sheetFormatPr baseColWidth="10" defaultRowHeight="15" x14ac:dyDescent="0.2"/>
  <cols>
    <col min="1" max="1" width="31.5" customWidth="1"/>
    <col min="2" max="2" width="47.5" style="14" customWidth="1"/>
    <col min="3" max="3" width="15" customWidth="1"/>
    <col min="4" max="4" width="19.1640625" customWidth="1"/>
    <col min="5" max="5" width="18" customWidth="1"/>
    <col min="6" max="6" width="20.33203125" customWidth="1"/>
    <col min="7" max="7" width="17.6640625" customWidth="1"/>
    <col min="8" max="8" width="17.83203125" customWidth="1"/>
    <col min="9" max="9" width="25.1640625" customWidth="1"/>
    <col min="10" max="10" width="18.5" customWidth="1"/>
    <col min="11" max="11" width="21.83203125" customWidth="1"/>
  </cols>
  <sheetData>
    <row r="1" spans="1:11" ht="21" x14ac:dyDescent="0.25">
      <c r="A1" s="40"/>
      <c r="B1" s="40"/>
      <c r="C1" s="8"/>
      <c r="D1" s="49"/>
      <c r="E1" s="49"/>
      <c r="F1" s="49"/>
      <c r="G1" s="49"/>
      <c r="H1" s="49"/>
      <c r="I1" s="49"/>
      <c r="J1" s="49"/>
      <c r="K1" s="49"/>
    </row>
    <row r="2" spans="1:11" x14ac:dyDescent="0.2">
      <c r="D2" s="50"/>
      <c r="E2" s="50"/>
      <c r="F2" s="50"/>
      <c r="G2" s="50"/>
      <c r="H2" s="50"/>
      <c r="I2" s="50"/>
      <c r="J2" s="50"/>
      <c r="K2" s="50"/>
    </row>
    <row r="3" spans="1:11" ht="17" x14ac:dyDescent="0.2">
      <c r="A3" s="41" t="s">
        <v>1956</v>
      </c>
      <c r="B3" s="42"/>
      <c r="D3" s="51"/>
      <c r="E3" s="51"/>
      <c r="F3" s="51"/>
      <c r="G3" s="52"/>
      <c r="H3" s="51"/>
      <c r="I3" s="51"/>
      <c r="J3" s="51"/>
      <c r="K3" s="51"/>
    </row>
    <row r="4" spans="1:11" ht="16" x14ac:dyDescent="0.2">
      <c r="A4" s="9" t="s">
        <v>1971</v>
      </c>
      <c r="B4" s="34">
        <f>SUMIFS(Deals_[Amount], Deals_[Stage], "&lt;&gt;Closed Won", Deals_[Stage], "&lt;&gt;Closed Lost")</f>
        <v>60589900</v>
      </c>
      <c r="D4" s="51"/>
      <c r="E4" s="51"/>
      <c r="F4" s="51"/>
      <c r="G4" s="52"/>
      <c r="H4" s="51"/>
      <c r="I4" s="51"/>
      <c r="J4" s="51"/>
      <c r="K4" s="51"/>
    </row>
    <row r="5" spans="1:11" ht="16" x14ac:dyDescent="0.2">
      <c r="A5" s="9" t="s">
        <v>1957</v>
      </c>
      <c r="B5" s="35">
        <f>SUMIFS(Deals_[Amount], Deals_[Stage], "Closed Won")</f>
        <v>14276000</v>
      </c>
      <c r="D5" s="51"/>
      <c r="E5" s="51"/>
      <c r="F5" s="51"/>
      <c r="G5" s="52"/>
      <c r="H5" s="51"/>
      <c r="I5" s="51"/>
      <c r="J5" s="51"/>
      <c r="K5" s="51"/>
    </row>
    <row r="6" spans="1:11" ht="16" x14ac:dyDescent="0.2">
      <c r="A6" s="9" t="s">
        <v>1958</v>
      </c>
      <c r="B6" s="37">
        <f>SUMIFS(Deals_[Amount], Deals_[Stage], "Closed Lost")</f>
        <v>8722500</v>
      </c>
      <c r="D6" s="51"/>
      <c r="E6" s="51"/>
      <c r="F6" s="51"/>
      <c r="G6" s="52"/>
      <c r="H6" s="51"/>
      <c r="I6" s="51"/>
      <c r="J6" s="51"/>
      <c r="K6" s="51"/>
    </row>
    <row r="7" spans="1:11" ht="16" x14ac:dyDescent="0.2">
      <c r="A7" s="9" t="s">
        <v>1959</v>
      </c>
      <c r="B7" s="15">
        <f>IFERROR(COUNTIFS(Deals_[Stage], "Closed Won")/(COUNTIFS(Deals_[Stage], "Closed Won")+COUNTIFS(Deals_[Stage], "Closed Lost")),0)</f>
        <v>0.6376811594202898</v>
      </c>
      <c r="D7" s="51"/>
      <c r="E7" s="51"/>
      <c r="F7" s="51"/>
      <c r="G7" s="52"/>
      <c r="H7" s="51"/>
      <c r="I7" s="51"/>
      <c r="J7" s="51"/>
      <c r="K7" s="51"/>
    </row>
    <row r="8" spans="1:11" ht="16" x14ac:dyDescent="0.2">
      <c r="A8" s="9" t="s">
        <v>1960</v>
      </c>
      <c r="B8" s="36">
        <f>IFERROR(AVERAGEIFS(Deals_[Amount], Deals_[Stage], "Closed Won"),0)</f>
        <v>64890.909090909088</v>
      </c>
      <c r="D8" s="51"/>
      <c r="E8" s="51"/>
      <c r="F8" s="51"/>
      <c r="G8" s="52"/>
      <c r="H8" s="51"/>
      <c r="I8" s="51"/>
      <c r="J8" s="51"/>
      <c r="K8" s="51"/>
    </row>
    <row r="9" spans="1:11" ht="16" x14ac:dyDescent="0.2">
      <c r="A9" s="9" t="s">
        <v>1970</v>
      </c>
      <c r="B9" s="15">
        <f>IFERROR(AVERAGEIFS(Deals_[Discount_Pct], Deals_[Stage], "Closed Won"),0)</f>
        <v>0.11907272727272727</v>
      </c>
      <c r="D9" s="51"/>
      <c r="E9" s="51"/>
      <c r="F9" s="51"/>
      <c r="G9" s="52"/>
      <c r="H9" s="51"/>
      <c r="I9" s="51"/>
      <c r="J9" s="51"/>
      <c r="K9" s="51"/>
    </row>
    <row r="10" spans="1:11" ht="16" x14ac:dyDescent="0.2">
      <c r="A10" s="9" t="s">
        <v>1961</v>
      </c>
      <c r="B10" s="35" cm="1">
        <f t="array" ref="B10">SUMPRODUCT(
Deals_[Amount],
Deals_[Probability_Pct],
--(Deals_[Stage]&lt;&gt;"Closed Won"),
--(Deals_[Stage]&lt;&gt;"Closed Lost")
)</f>
        <v>22268745</v>
      </c>
      <c r="D10" s="51"/>
      <c r="E10" s="51"/>
      <c r="F10" s="51"/>
      <c r="G10" s="52"/>
      <c r="H10" s="51"/>
      <c r="I10" s="51"/>
      <c r="J10" s="51"/>
      <c r="K10" s="51"/>
    </row>
    <row r="11" spans="1:11" x14ac:dyDescent="0.2">
      <c r="D11" s="51"/>
      <c r="E11" s="51"/>
      <c r="F11" s="51"/>
      <c r="G11" s="52"/>
      <c r="H11" s="51"/>
      <c r="I11" s="51"/>
      <c r="J11" s="51"/>
      <c r="K11" s="51"/>
    </row>
    <row r="12" spans="1:11" x14ac:dyDescent="0.2">
      <c r="D12" s="51"/>
      <c r="E12" s="51"/>
      <c r="F12" s="51"/>
      <c r="G12" s="52"/>
      <c r="H12" s="51"/>
      <c r="I12" s="51"/>
      <c r="J12" s="51"/>
      <c r="K12" s="51"/>
    </row>
    <row r="13" spans="1:11" x14ac:dyDescent="0.2">
      <c r="D13" s="51"/>
      <c r="E13" s="51"/>
      <c r="F13" s="51"/>
      <c r="G13" s="52"/>
      <c r="H13" s="51"/>
      <c r="I13" s="51"/>
      <c r="J13" s="51"/>
      <c r="K13" s="51"/>
    </row>
    <row r="14" spans="1:11" x14ac:dyDescent="0.2">
      <c r="D14" s="51"/>
      <c r="E14" s="51"/>
      <c r="F14" s="51"/>
      <c r="G14" s="52"/>
      <c r="H14" s="51"/>
      <c r="I14" s="51"/>
      <c r="J14" s="51"/>
      <c r="K14" s="51"/>
    </row>
    <row r="15" spans="1:11" x14ac:dyDescent="0.2">
      <c r="G15" s="13"/>
    </row>
    <row r="16" spans="1:11" x14ac:dyDescent="0.2">
      <c r="G16" s="13"/>
    </row>
    <row r="17" spans="1:12" x14ac:dyDescent="0.2">
      <c r="G17" s="13"/>
    </row>
    <row r="20" spans="1:12" ht="19" x14ac:dyDescent="0.25">
      <c r="A20" s="27" t="s">
        <v>1972</v>
      </c>
      <c r="B20" s="20"/>
      <c r="C20" s="19"/>
      <c r="D20" s="19"/>
      <c r="E20" s="19"/>
      <c r="F20" s="19"/>
      <c r="G20" s="19"/>
      <c r="I20" s="23"/>
      <c r="K20" s="43" t="s">
        <v>1978</v>
      </c>
      <c r="L20" s="44"/>
    </row>
    <row r="21" spans="1:12" x14ac:dyDescent="0.2">
      <c r="A21" s="17" t="s">
        <v>9</v>
      </c>
      <c r="B21" s="18" t="s">
        <v>1973</v>
      </c>
      <c r="C21" s="17" t="s">
        <v>1974</v>
      </c>
      <c r="D21" s="17" t="s">
        <v>1964</v>
      </c>
      <c r="E21" s="17" t="s">
        <v>1975</v>
      </c>
      <c r="F21" s="17" t="s">
        <v>1959</v>
      </c>
      <c r="G21" s="17" t="s">
        <v>1976</v>
      </c>
      <c r="H21" s="22"/>
      <c r="K21" s="10" t="s">
        <v>9</v>
      </c>
      <c r="L21" s="10" t="s">
        <v>1973</v>
      </c>
    </row>
    <row r="22" spans="1:12" x14ac:dyDescent="0.2">
      <c r="A22" s="10" t="s">
        <v>26</v>
      </c>
      <c r="B22" s="16" t="str">
        <f>IFERROR(VLOOKUP(A22,K21:L26,2,FALSE), "Not Found")</f>
        <v>SA</v>
      </c>
      <c r="C22" s="10">
        <f>SUMIFS(Deals_[Amount], Deals_[Product], A22)</f>
        <v>19751400</v>
      </c>
      <c r="D22" s="10">
        <f>SUMIFS(Deals_[Amount], Deals_[Product], A22, Deals_[Stage], "Closed Won")</f>
        <v>3664600</v>
      </c>
      <c r="E22" s="10">
        <f>SUMIFS(Deals_[Amount], Deals_[Product], A22, Deals_[Stage], "Closed Lost")</f>
        <v>2616800</v>
      </c>
      <c r="F22" s="10">
        <f>IFERROR(COUNTIFS(Deals_[Product], A22,Deals_[Stage], "Closed Won")/(COUNTIFS(Deals_[Product],A22, Deals_[Stage],"Closed Won")+COUNTIFS(Deals_[Product],A22,Deals_[Stage], "Closed Lost")),0)</f>
        <v>0.60465116279069764</v>
      </c>
      <c r="G22" s="10">
        <f>IFERROR(AVERAGEIFS(Deals_[Amount],Deals_[Product], A22),0)</f>
        <v>69060.839160839154</v>
      </c>
      <c r="K22" s="10" t="str" cm="1">
        <f t="array" ref="K22:K26">_xlfn.UNIQUE(Deals_[Product])</f>
        <v>Security Add-on</v>
      </c>
      <c r="L22" s="10" t="s">
        <v>1979</v>
      </c>
    </row>
    <row r="23" spans="1:12" x14ac:dyDescent="0.2">
      <c r="A23" s="19"/>
      <c r="B23" s="20"/>
      <c r="C23" s="21"/>
      <c r="D23" s="19"/>
      <c r="E23" s="19"/>
      <c r="F23" s="19"/>
      <c r="G23" s="19"/>
      <c r="K23" s="10" t="str">
        <v>Automation Suite</v>
      </c>
      <c r="L23" s="10" t="s">
        <v>1980</v>
      </c>
    </row>
    <row r="24" spans="1:12" x14ac:dyDescent="0.2">
      <c r="A24" s="19"/>
      <c r="B24" s="20"/>
      <c r="C24" s="21"/>
      <c r="D24" s="19"/>
      <c r="E24" s="19"/>
      <c r="F24" s="19"/>
      <c r="G24" s="19"/>
      <c r="K24" s="10" t="str">
        <v>Enterprise Cloud</v>
      </c>
      <c r="L24" s="10" t="s">
        <v>1981</v>
      </c>
    </row>
    <row r="25" spans="1:12" ht="19" x14ac:dyDescent="0.25">
      <c r="A25" s="45" t="s">
        <v>1962</v>
      </c>
      <c r="B25" s="45"/>
      <c r="C25" s="45"/>
      <c r="D25" s="45"/>
      <c r="E25" s="45"/>
      <c r="F25" s="45"/>
      <c r="G25" s="45"/>
      <c r="H25" s="45"/>
      <c r="K25" s="10" t="str">
        <v>Core Platform</v>
      </c>
      <c r="L25" s="10" t="s">
        <v>1977</v>
      </c>
    </row>
    <row r="26" spans="1:12" x14ac:dyDescent="0.2">
      <c r="A26" s="12" t="s">
        <v>1963</v>
      </c>
      <c r="B26" s="12" t="s">
        <v>1964</v>
      </c>
      <c r="C26" s="12" t="s">
        <v>1965</v>
      </c>
      <c r="D26" s="12" t="s">
        <v>1966</v>
      </c>
      <c r="E26" s="12" t="s">
        <v>1967</v>
      </c>
      <c r="F26" s="12" t="s">
        <v>1968</v>
      </c>
      <c r="G26" s="12" t="s">
        <v>1959</v>
      </c>
      <c r="H26" s="12" t="s">
        <v>1969</v>
      </c>
      <c r="K26" s="10" t="str">
        <v>Analytics Pro</v>
      </c>
      <c r="L26" s="10" t="s">
        <v>1982</v>
      </c>
    </row>
    <row r="27" spans="1:12" x14ac:dyDescent="0.2">
      <c r="A27" s="10" t="str" cm="1">
        <f t="array" ref="A27:A38">_xlfn.UNIQUE(Deals_[Sales_Rep])</f>
        <v>Vikram Singh</v>
      </c>
      <c r="B27" s="10">
        <f>SUMIFS(Deals_[Amount], Deals_[Sales_Rep],A27, Deals_[Stage], "Closed Won")</f>
        <v>1144300</v>
      </c>
      <c r="C27" s="10">
        <f>SUMIFS(Targets[Revenue_Target],Targets[Sales_Rep],A27)</f>
        <v>10038000</v>
      </c>
      <c r="D27" s="11">
        <f>IFERROR(B27/C27,0)</f>
        <v>0.11399681211396692</v>
      </c>
      <c r="E27" s="10">
        <f>SUMIFS(Deals_[Amount], Deals_[Sales_Rep], A27, Deals_[Stage], "&lt;&gt;Closed Won", Deals_[Stage], "&lt;&gt;Closed Lost")</f>
        <v>4587400</v>
      </c>
      <c r="F27" s="10">
        <f>IFERROR(E27/C27,0)</f>
        <v>0.45700338712891014</v>
      </c>
      <c r="G27" s="10">
        <f>IFERROR(
COUNTIFS(
Deals_[Sales_Rep],A27,
Deals_[Stage],"Closed Won"
)
/
(
COUNTIFS(
Deals_[Sales_Rep],A27,
Deals_[Stage],"Closed Won"
)
+
COUNTIFS(
Deals_[Sales_Rep],A27,
Deals_[Stage],"Closed Lost"
)
),
0
)</f>
        <v>0.6428571428571429</v>
      </c>
      <c r="H27" s="10" t="str">
        <f>IF(D27&gt;=1,
"Quota Achieved",
IF(F27&gt;=3,
"Healthy",
IF(F27&gt;=2,
"Watch",
"Coverage Risk"
)
))</f>
        <v>Coverage Risk</v>
      </c>
    </row>
    <row r="28" spans="1:12" x14ac:dyDescent="0.2">
      <c r="A28" s="10" t="str">
        <v>Ananya Rao</v>
      </c>
      <c r="B28" s="10">
        <f>SUMIFS(Deals_[Amount], Deals_[Sales_Rep],A28, Deals_[Stage], "Closed Won")</f>
        <v>1726500</v>
      </c>
      <c r="C28" s="10">
        <f>SUMIFS(Targets[Revenue_Target],Targets[Sales_Rep],A28)</f>
        <v>8322000</v>
      </c>
      <c r="D28" s="11">
        <f t="shared" ref="D28:D38" si="0">IFERROR(B28/C28,0)</f>
        <v>0.20746214852198991</v>
      </c>
      <c r="E28" s="10">
        <f>SUMIFS(Deals_[Amount], Deals_[Sales_Rep], A28, Deals_[Stage], "&lt;&gt;Closed Won", Deals_[Stage], "&lt;&gt;Closed Lost")</f>
        <v>4280500</v>
      </c>
      <c r="F28" s="10">
        <f t="shared" ref="F28:F38" si="1">IFERROR(E28/C28,0)</f>
        <v>0.51435952895938475</v>
      </c>
      <c r="G28" s="10">
        <f>IFERROR(
COUNTIFS(
Deals_[Sales_Rep],A28,
Deals_[Stage],"Closed Won"
)
/
(
COUNTIFS(
Deals_[Sales_Rep],A28,
Deals_[Stage],"Closed Won"
)
+
COUNTIFS(
Deals_[Sales_Rep],A28,
Deals_[Stage],"Closed Lost"
)
),
0
)</f>
        <v>0.59459459459459463</v>
      </c>
      <c r="H28" s="10" t="str">
        <f t="shared" ref="H28:H38" si="2">IF(D28&gt;=1,
"Quota Achieved",
IF(F28&gt;=3,
"Healthy",
IF(F28&gt;=2,
"Watch",
"Coverage Risk"
)
))</f>
        <v>Coverage Risk</v>
      </c>
    </row>
    <row r="29" spans="1:12" x14ac:dyDescent="0.2">
      <c r="A29" s="10" t="str">
        <v>Sara Khan</v>
      </c>
      <c r="B29" s="10">
        <f>SUMIFS(Deals_[Amount], Deals_[Sales_Rep],A29, Deals_[Stage], "Closed Won")</f>
        <v>890100</v>
      </c>
      <c r="C29" s="10">
        <f>SUMIFS(Targets[Revenue_Target],Targets[Sales_Rep],A29)</f>
        <v>9180000</v>
      </c>
      <c r="D29" s="11">
        <f t="shared" si="0"/>
        <v>9.6960784313725484E-2</v>
      </c>
      <c r="E29" s="10">
        <f>SUMIFS(Deals_[Amount], Deals_[Sales_Rep], A29, Deals_[Stage], "&lt;&gt;Closed Won", Deals_[Stage], "&lt;&gt;Closed Lost")</f>
        <v>5440800</v>
      </c>
      <c r="F29" s="10">
        <f t="shared" si="1"/>
        <v>0.59267973856209155</v>
      </c>
      <c r="G29" s="10">
        <f>IFERROR(
COUNTIFS(
Deals_[Sales_Rep],A29,
Deals_[Stage],"Closed Won"
)
/
(
COUNTIFS(
Deals_[Sales_Rep],A29,
Deals_[Stage],"Closed Won"
)
+
COUNTIFS(
Deals_[Sales_Rep],A29,
Deals_[Stage],"Closed Lost"
)
),
0
)</f>
        <v>0.57692307692307687</v>
      </c>
      <c r="H29" s="10" t="str">
        <f t="shared" si="2"/>
        <v>Coverage Risk</v>
      </c>
    </row>
    <row r="30" spans="1:12" x14ac:dyDescent="0.2">
      <c r="A30" s="10" t="str">
        <v>Neel Kapoor</v>
      </c>
      <c r="B30" s="10">
        <f>SUMIFS(Deals_[Amount], Deals_[Sales_Rep],A30, Deals_[Stage], "Closed Won")</f>
        <v>981500</v>
      </c>
      <c r="C30" s="10">
        <f>SUMIFS(Targets[Revenue_Target],Targets[Sales_Rep],A30)</f>
        <v>10770000</v>
      </c>
      <c r="D30" s="11">
        <f t="shared" si="0"/>
        <v>9.1132776230269261E-2</v>
      </c>
      <c r="E30" s="10">
        <f>SUMIFS(Deals_[Amount], Deals_[Sales_Rep], A30, Deals_[Stage], "&lt;&gt;Closed Won", Deals_[Stage], "&lt;&gt;Closed Lost")</f>
        <v>3955800</v>
      </c>
      <c r="F30" s="10">
        <f t="shared" si="1"/>
        <v>0.36729805013927574</v>
      </c>
      <c r="G30" s="10">
        <f>IFERROR(
COUNTIFS(
Deals_[Sales_Rep],A30,
Deals_[Stage],"Closed Won"
)
/
(
COUNTIFS(
Deals_[Sales_Rep],A30,
Deals_[Stage],"Closed Won"
)
+
COUNTIFS(
Deals_[Sales_Rep],A30,
Deals_[Stage],"Closed Lost"
)
),
0
)</f>
        <v>0.6</v>
      </c>
      <c r="H30" s="10" t="str">
        <f t="shared" si="2"/>
        <v>Coverage Risk</v>
      </c>
    </row>
    <row r="31" spans="1:12" x14ac:dyDescent="0.2">
      <c r="A31" s="10" t="str">
        <v>Arjun Malhotra</v>
      </c>
      <c r="B31" s="10">
        <f>SUMIFS(Deals_[Amount], Deals_[Sales_Rep],A31, Deals_[Stage], "Closed Won")</f>
        <v>1074600</v>
      </c>
      <c r="C31" s="10">
        <f>SUMIFS(Targets[Revenue_Target],Targets[Sales_Rep],A31)</f>
        <v>11994000</v>
      </c>
      <c r="D31" s="11">
        <f t="shared" si="0"/>
        <v>8.9594797398699355E-2</v>
      </c>
      <c r="E31" s="10">
        <f>SUMIFS(Deals_[Amount], Deals_[Sales_Rep], A31, Deals_[Stage], "&lt;&gt;Closed Won", Deals_[Stage], "&lt;&gt;Closed Lost")</f>
        <v>4476900</v>
      </c>
      <c r="F31" s="10">
        <f t="shared" si="1"/>
        <v>0.3732616308154077</v>
      </c>
      <c r="G31" s="10">
        <f>IFERROR(
COUNTIFS(
Deals_[Sales_Rep],A31,
Deals_[Stage],"Closed Won"
)
/
(
COUNTIFS(
Deals_[Sales_Rep],A31,
Deals_[Stage],"Closed Won"
)
+
COUNTIFS(
Deals_[Sales_Rep],A31,
Deals_[Stage],"Closed Lost"
)
),
0
)</f>
        <v>0.58620689655172409</v>
      </c>
      <c r="H31" s="10" t="str">
        <f t="shared" si="2"/>
        <v>Coverage Risk</v>
      </c>
    </row>
    <row r="32" spans="1:12" x14ac:dyDescent="0.2">
      <c r="A32" s="10" t="str">
        <v>Meera Iyer</v>
      </c>
      <c r="B32" s="10">
        <f>SUMIFS(Deals_[Amount], Deals_[Sales_Rep],A32, Deals_[Stage], "Closed Won")</f>
        <v>742200</v>
      </c>
      <c r="C32" s="10">
        <f>SUMIFS(Targets[Revenue_Target],Targets[Sales_Rep],A32)</f>
        <v>9300000</v>
      </c>
      <c r="D32" s="11">
        <f t="shared" si="0"/>
        <v>7.9806451612903229E-2</v>
      </c>
      <c r="E32" s="10">
        <f>SUMIFS(Deals_[Amount], Deals_[Sales_Rep], A32, Deals_[Stage], "&lt;&gt;Closed Won", Deals_[Stage], "&lt;&gt;Closed Lost")</f>
        <v>5415400</v>
      </c>
      <c r="F32" s="10">
        <f t="shared" si="1"/>
        <v>0.58230107526881725</v>
      </c>
      <c r="G32" s="10">
        <f>IFERROR(
COUNTIFS(
Deals_[Sales_Rep],A32,
Deals_[Stage],"Closed Won"
)
/
(
COUNTIFS(
Deals_[Sales_Rep],A32,
Deals_[Stage],"Closed Won"
)
+
COUNTIFS(
Deals_[Sales_Rep],A32,
Deals_[Stage],"Closed Lost"
)
),
0
)</f>
        <v>0.54545454545454541</v>
      </c>
      <c r="H32" s="10" t="str">
        <f t="shared" si="2"/>
        <v>Coverage Risk</v>
      </c>
    </row>
    <row r="33" spans="1:8" x14ac:dyDescent="0.2">
      <c r="A33" s="10" t="str">
        <v>Tara Bose</v>
      </c>
      <c r="B33" s="10">
        <f>SUMIFS(Deals_[Amount], Deals_[Sales_Rep],A33, Deals_[Stage], "Closed Won")</f>
        <v>1722300</v>
      </c>
      <c r="C33" s="10">
        <f>SUMIFS(Targets[Revenue_Target],Targets[Sales_Rep],A33)</f>
        <v>9060000</v>
      </c>
      <c r="D33" s="11">
        <f t="shared" si="0"/>
        <v>0.19009933774834437</v>
      </c>
      <c r="E33" s="10">
        <f>SUMIFS(Deals_[Amount], Deals_[Sales_Rep], A33, Deals_[Stage], "&lt;&gt;Closed Won", Deals_[Stage], "&lt;&gt;Closed Lost")</f>
        <v>6305500</v>
      </c>
      <c r="F33" s="10">
        <f t="shared" si="1"/>
        <v>0.69597130242825611</v>
      </c>
      <c r="G33" s="10">
        <f>IFERROR(
COUNTIFS(
Deals_[Sales_Rep],A33,
Deals_[Stage],"Closed Won"
)
/
(
COUNTIFS(
Deals_[Sales_Rep],A33,
Deals_[Stage],"Closed Won"
)
+
COUNTIFS(
Deals_[Sales_Rep],A33,
Deals_[Stage],"Closed Lost"
)
),
0
)</f>
        <v>0.66666666666666663</v>
      </c>
      <c r="H33" s="10" t="str">
        <f t="shared" si="2"/>
        <v>Coverage Risk</v>
      </c>
    </row>
    <row r="34" spans="1:8" x14ac:dyDescent="0.2">
      <c r="A34" s="10" t="str">
        <v>Ishita Menon</v>
      </c>
      <c r="B34" s="10">
        <f>SUMIFS(Deals_[Amount], Deals_[Sales_Rep],A34, Deals_[Stage], "Closed Won")</f>
        <v>1441700</v>
      </c>
      <c r="C34" s="10">
        <f>SUMIFS(Targets[Revenue_Target],Targets[Sales_Rep],A34)</f>
        <v>8568000</v>
      </c>
      <c r="D34" s="11">
        <f t="shared" si="0"/>
        <v>0.16826563958916901</v>
      </c>
      <c r="E34" s="10">
        <f>SUMIFS(Deals_[Amount], Deals_[Sales_Rep], A34, Deals_[Stage], "&lt;&gt;Closed Won", Deals_[Stage], "&lt;&gt;Closed Lost")</f>
        <v>5116700</v>
      </c>
      <c r="F34" s="10">
        <f t="shared" si="1"/>
        <v>0.59718720821661997</v>
      </c>
      <c r="G34" s="10">
        <f>IFERROR(
COUNTIFS(
Deals_[Sales_Rep],A34,
Deals_[Stage],"Closed Won"
)
/
(
COUNTIFS(
Deals_[Sales_Rep],A34,
Deals_[Stage],"Closed Won"
)
+
COUNTIFS(
Deals_[Sales_Rep],A34,
Deals_[Stage],"Closed Lost"
)
),
0
)</f>
        <v>0.7</v>
      </c>
      <c r="H34" s="10" t="str">
        <f t="shared" si="2"/>
        <v>Coverage Risk</v>
      </c>
    </row>
    <row r="35" spans="1:8" x14ac:dyDescent="0.2">
      <c r="A35" s="10" t="str">
        <v>Diya Nair</v>
      </c>
      <c r="B35" s="10">
        <f>SUMIFS(Deals_[Amount], Deals_[Sales_Rep],A35, Deals_[Stage], "Closed Won")</f>
        <v>1685700</v>
      </c>
      <c r="C35" s="10">
        <f>SUMIFS(Targets[Revenue_Target],Targets[Sales_Rep],A35)</f>
        <v>8814000</v>
      </c>
      <c r="D35" s="11">
        <f t="shared" si="0"/>
        <v>0.19125255275697753</v>
      </c>
      <c r="E35" s="10">
        <f>SUMIFS(Deals_[Amount], Deals_[Sales_Rep], A35, Deals_[Stage], "&lt;&gt;Closed Won", Deals_[Stage], "&lt;&gt;Closed Lost")</f>
        <v>5667000</v>
      </c>
      <c r="F35" s="10">
        <f t="shared" si="1"/>
        <v>0.64295439074200134</v>
      </c>
      <c r="G35" s="10">
        <f>IFERROR(
COUNTIFS(
Deals_[Sales_Rep],A35,
Deals_[Stage],"Closed Won"
)
/
(
COUNTIFS(
Deals_[Sales_Rep],A35,
Deals_[Stage],"Closed Won"
)
+
COUNTIFS(
Deals_[Sales_Rep],A35,
Deals_[Stage],"Closed Lost"
)
),
0
)</f>
        <v>0.72</v>
      </c>
      <c r="H35" s="10" t="str">
        <f t="shared" si="2"/>
        <v>Coverage Risk</v>
      </c>
    </row>
    <row r="36" spans="1:8" x14ac:dyDescent="0.2">
      <c r="A36" s="10" t="str">
        <v>Aarav Shah</v>
      </c>
      <c r="B36" s="10">
        <f>SUMIFS(Deals_[Amount], Deals_[Sales_Rep],A36, Deals_[Stage], "Closed Won")</f>
        <v>555800</v>
      </c>
      <c r="C36" s="10">
        <f>SUMIFS(Targets[Revenue_Target],Targets[Sales_Rep],A36)</f>
        <v>10404000</v>
      </c>
      <c r="D36" s="11">
        <f t="shared" si="0"/>
        <v>5.3421760861207229E-2</v>
      </c>
      <c r="E36" s="10">
        <f>SUMIFS(Deals_[Amount], Deals_[Sales_Rep], A36, Deals_[Stage], "&lt;&gt;Closed Won", Deals_[Stage], "&lt;&gt;Closed Lost")</f>
        <v>5878600</v>
      </c>
      <c r="F36" s="10">
        <f t="shared" si="1"/>
        <v>0.56503267973856208</v>
      </c>
      <c r="G36" s="10">
        <f>IFERROR(
COUNTIFS(
Deals_[Sales_Rep],A36,
Deals_[Stage],"Closed Won"
)
/
(
COUNTIFS(
Deals_[Sales_Rep],A36,
Deals_[Stage],"Closed Won"
)
+
COUNTIFS(
Deals_[Sales_Rep],A36,
Deals_[Stage],"Closed Lost"
)
),
0
)</f>
        <v>0.64516129032258063</v>
      </c>
      <c r="H36" s="10" t="str">
        <f t="shared" si="2"/>
        <v>Coverage Risk</v>
      </c>
    </row>
    <row r="37" spans="1:8" x14ac:dyDescent="0.2">
      <c r="A37" s="10" t="str">
        <v>Rohan Gupta</v>
      </c>
      <c r="B37" s="10">
        <f>SUMIFS(Deals_[Amount], Deals_[Sales_Rep],A37, Deals_[Stage], "Closed Won")</f>
        <v>1149900</v>
      </c>
      <c r="C37" s="10">
        <f>SUMIFS(Targets[Revenue_Target],Targets[Sales_Rep],A37)</f>
        <v>11262000</v>
      </c>
      <c r="D37" s="11">
        <f t="shared" si="0"/>
        <v>0.10210442194992009</v>
      </c>
      <c r="E37" s="10">
        <f>SUMIFS(Deals_[Amount], Deals_[Sales_Rep], A37, Deals_[Stage], "&lt;&gt;Closed Won", Deals_[Stage], "&lt;&gt;Closed Lost")</f>
        <v>5512100</v>
      </c>
      <c r="F37" s="10">
        <f t="shared" si="1"/>
        <v>0.48944237258035872</v>
      </c>
      <c r="G37" s="10">
        <f>IFERROR(
COUNTIFS(
Deals_[Sales_Rep],A37,
Deals_[Stage],"Closed Won"
)
/
(
COUNTIFS(
Deals_[Sales_Rep],A37,
Deals_[Stage],"Closed Won"
)
+
COUNTIFS(
Deals_[Sales_Rep],A37,
Deals_[Stage],"Closed Lost"
)
),
0
)</f>
        <v>0.6333333333333333</v>
      </c>
      <c r="H37" s="10" t="str">
        <f t="shared" si="2"/>
        <v>Coverage Risk</v>
      </c>
    </row>
    <row r="38" spans="1:8" x14ac:dyDescent="0.2">
      <c r="A38" s="10" t="str">
        <v>Kabir Mehta</v>
      </c>
      <c r="B38" s="10">
        <f>SUMIFS(Deals_[Amount], Deals_[Sales_Rep],A38, Deals_[Stage], "Closed Won")</f>
        <v>1161400</v>
      </c>
      <c r="C38" s="10">
        <f>SUMIFS(Targets[Revenue_Target],Targets[Sales_Rep],A38)</f>
        <v>12852000</v>
      </c>
      <c r="D38" s="11">
        <f t="shared" si="0"/>
        <v>9.0367258014316831E-2</v>
      </c>
      <c r="E38" s="10">
        <f>SUMIFS(Deals_[Amount], Deals_[Sales_Rep], A38, Deals_[Stage], "&lt;&gt;Closed Won", Deals_[Stage], "&lt;&gt;Closed Lost")</f>
        <v>3953200</v>
      </c>
      <c r="F38" s="10">
        <f t="shared" si="1"/>
        <v>0.30759414877061936</v>
      </c>
      <c r="G38" s="10">
        <f>IFERROR(
COUNTIFS(
Deals_[Sales_Rep],A38,
Deals_[Stage],"Closed Won"
)
/
(
COUNTIFS(
Deals_[Sales_Rep],A38,
Deals_[Stage],"Closed Won"
)
+
COUNTIFS(
Deals_[Sales_Rep],A38,
Deals_[Stage],"Closed Lost"
)
),
0
)</f>
        <v>0.77272727272727271</v>
      </c>
      <c r="H38" s="10" t="str">
        <f t="shared" si="2"/>
        <v>Coverage Risk</v>
      </c>
    </row>
  </sheetData>
  <mergeCells count="5">
    <mergeCell ref="A1:B1"/>
    <mergeCell ref="A3:B3"/>
    <mergeCell ref="K20:L20"/>
    <mergeCell ref="D1:K1"/>
    <mergeCell ref="A25:H25"/>
  </mergeCells>
  <conditionalFormatting sqref="C23:C24">
    <cfRule type="colorScale" priority="5">
      <colorScale>
        <cfvo type="min"/>
        <cfvo type="percentile" val="50"/>
        <cfvo type="max"/>
        <color rgb="FFF8696B"/>
        <color rgb="FFFCFCFF"/>
        <color rgb="FF5A8AC6"/>
      </colorScale>
    </cfRule>
  </conditionalFormatting>
  <conditionalFormatting sqref="G3:G14">
    <cfRule type="colorScale" priority="3">
      <colorScale>
        <cfvo type="min"/>
        <cfvo type="percentile" val="50"/>
        <cfvo type="max"/>
        <color rgb="FFF8696B"/>
        <color rgb="FFFFEB84"/>
        <color rgb="FF63BE7B"/>
      </colorScale>
    </cfRule>
  </conditionalFormatting>
  <conditionalFormatting sqref="G3:G17">
    <cfRule type="colorScale" priority="4">
      <colorScale>
        <cfvo type="min"/>
        <cfvo type="percentile" val="50"/>
        <cfvo type="max"/>
        <color rgb="FFF8696B"/>
        <color rgb="FFFCFCFF"/>
        <color rgb="FF5A8AC6"/>
      </colorScale>
    </cfRule>
  </conditionalFormatting>
  <conditionalFormatting sqref="D27:D38">
    <cfRule type="colorScale" priority="1">
      <colorScale>
        <cfvo type="min"/>
        <cfvo type="percentile" val="50"/>
        <cfvo type="max"/>
        <color rgb="FFF8696B"/>
        <color rgb="FFFFEB84"/>
        <color rgb="FF63BE7B"/>
      </colorScale>
    </cfRule>
  </conditionalFormatting>
  <conditionalFormatting sqref="D27:D38">
    <cfRule type="colorScale" priority="2">
      <colorScale>
        <cfvo type="min"/>
        <cfvo type="percentile" val="50"/>
        <cfvo type="max"/>
        <color rgb="FFF8696B"/>
        <color rgb="FFFCFCFF"/>
        <color rgb="FF5A8AC6"/>
      </colorScale>
    </cfRule>
  </conditionalFormatting>
  <dataValidations count="1">
    <dataValidation type="list" allowBlank="1" showInputMessage="1" showErrorMessage="1" sqref="A22" xr:uid="{DBC5E187-16A9-1C4B-AC0F-49DE8F438BFB}">
      <formula1>$K$21:$K$26</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A1CE8-F714-A243-9583-95AB9859CF08}">
  <dimension ref="A2:M38"/>
  <sheetViews>
    <sheetView showGridLines="0" workbookViewId="0">
      <selection activeCell="D32" sqref="D32"/>
    </sheetView>
  </sheetViews>
  <sheetFormatPr baseColWidth="10" defaultRowHeight="15" x14ac:dyDescent="0.2"/>
  <cols>
    <col min="1" max="1" width="12" bestFit="1" customWidth="1"/>
    <col min="2" max="2" width="12.83203125" bestFit="1" customWidth="1"/>
    <col min="3" max="3" width="13.1640625" bestFit="1" customWidth="1"/>
    <col min="4" max="4" width="19.6640625" customWidth="1"/>
    <col min="5" max="5" width="12.83203125" bestFit="1" customWidth="1"/>
    <col min="6" max="6" width="18" customWidth="1"/>
    <col min="7" max="7" width="12.6640625" bestFit="1" customWidth="1"/>
    <col min="8" max="8" width="12.83203125" bestFit="1" customWidth="1"/>
    <col min="9" max="9" width="14.1640625" customWidth="1"/>
    <col min="10" max="10" width="12.6640625" bestFit="1" customWidth="1"/>
    <col min="11" max="12" width="12.1640625" bestFit="1" customWidth="1"/>
    <col min="13" max="13" width="12.83203125" bestFit="1" customWidth="1"/>
    <col min="14" max="14" width="12.1640625" bestFit="1" customWidth="1"/>
    <col min="15" max="15" width="12.6640625" bestFit="1" customWidth="1"/>
    <col min="16" max="16" width="12.83203125" bestFit="1" customWidth="1"/>
  </cols>
  <sheetData>
    <row r="2" spans="1:13" x14ac:dyDescent="0.2">
      <c r="A2" s="47" t="s">
        <v>2001</v>
      </c>
      <c r="B2" s="47"/>
      <c r="C2" s="47"/>
      <c r="D2" s="47"/>
      <c r="E2" s="47"/>
      <c r="F2" s="47"/>
      <c r="G2" s="47"/>
      <c r="I2" s="48" t="s">
        <v>2002</v>
      </c>
      <c r="J2" s="48"/>
      <c r="L2" s="53"/>
      <c r="M2" s="53"/>
    </row>
    <row r="3" spans="1:13" x14ac:dyDescent="0.2">
      <c r="A3" s="24" t="s">
        <v>1985</v>
      </c>
      <c r="B3" s="24" t="s">
        <v>1999</v>
      </c>
      <c r="I3" s="24" t="s">
        <v>10</v>
      </c>
      <c r="J3" t="s">
        <v>1986</v>
      </c>
    </row>
    <row r="4" spans="1:13" x14ac:dyDescent="0.2">
      <c r="A4" s="24" t="s">
        <v>1983</v>
      </c>
      <c r="B4" t="s">
        <v>55</v>
      </c>
      <c r="C4" t="s">
        <v>23</v>
      </c>
      <c r="D4" t="s">
        <v>63</v>
      </c>
      <c r="E4" t="s">
        <v>92</v>
      </c>
      <c r="F4" t="s">
        <v>34</v>
      </c>
      <c r="G4" t="s">
        <v>1984</v>
      </c>
    </row>
    <row r="5" spans="1:13" x14ac:dyDescent="0.2">
      <c r="A5" s="25" t="s">
        <v>26</v>
      </c>
      <c r="B5" s="26">
        <v>4249500</v>
      </c>
      <c r="C5" s="26">
        <v>4536300</v>
      </c>
      <c r="D5" s="26">
        <v>5098600</v>
      </c>
      <c r="E5" s="26">
        <v>3337700</v>
      </c>
      <c r="F5" s="26">
        <v>2529300</v>
      </c>
      <c r="G5" s="26">
        <v>19751400</v>
      </c>
      <c r="I5" s="24" t="s">
        <v>1983</v>
      </c>
      <c r="J5" s="26" t="s">
        <v>1985</v>
      </c>
    </row>
    <row r="6" spans="1:13" x14ac:dyDescent="0.2">
      <c r="A6" s="25" t="s">
        <v>43</v>
      </c>
      <c r="B6" s="26">
        <v>2827200</v>
      </c>
      <c r="C6" s="26">
        <v>4424500</v>
      </c>
      <c r="D6" s="26">
        <v>4205700</v>
      </c>
      <c r="E6" s="26">
        <v>3573200</v>
      </c>
      <c r="F6" s="26">
        <v>2532200</v>
      </c>
      <c r="G6" s="26">
        <v>17562800</v>
      </c>
      <c r="I6" s="25" t="s">
        <v>1990</v>
      </c>
      <c r="J6" s="26">
        <v>4068500</v>
      </c>
    </row>
    <row r="7" spans="1:13" x14ac:dyDescent="0.2">
      <c r="A7" s="25" t="s">
        <v>57</v>
      </c>
      <c r="B7" s="26">
        <v>4116400</v>
      </c>
      <c r="C7" s="26">
        <v>1987800</v>
      </c>
      <c r="D7" s="26">
        <v>3529700</v>
      </c>
      <c r="E7" s="26">
        <v>3473000</v>
      </c>
      <c r="F7" s="26">
        <v>4323500</v>
      </c>
      <c r="G7" s="26">
        <v>17430400</v>
      </c>
      <c r="I7" s="25" t="s">
        <v>1991</v>
      </c>
      <c r="J7" s="26">
        <v>5817800</v>
      </c>
    </row>
    <row r="8" spans="1:13" x14ac:dyDescent="0.2">
      <c r="A8" s="25" t="s">
        <v>85</v>
      </c>
      <c r="B8" s="26">
        <v>3025700</v>
      </c>
      <c r="C8" s="26">
        <v>2537200</v>
      </c>
      <c r="D8" s="26">
        <v>3065300</v>
      </c>
      <c r="E8" s="26">
        <v>2795200</v>
      </c>
      <c r="F8" s="26">
        <v>3265400</v>
      </c>
      <c r="G8" s="26">
        <v>14688800</v>
      </c>
      <c r="I8" s="25" t="s">
        <v>1992</v>
      </c>
      <c r="J8" s="26">
        <v>7924900</v>
      </c>
    </row>
    <row r="9" spans="1:13" x14ac:dyDescent="0.2">
      <c r="A9" s="25" t="s">
        <v>36</v>
      </c>
      <c r="B9" s="26">
        <v>2803300</v>
      </c>
      <c r="C9" s="26">
        <v>2210300</v>
      </c>
      <c r="D9" s="26">
        <v>2786200</v>
      </c>
      <c r="E9" s="26">
        <v>3585400</v>
      </c>
      <c r="F9" s="26">
        <v>2769800</v>
      </c>
      <c r="G9" s="26">
        <v>14155000</v>
      </c>
      <c r="I9" s="25" t="s">
        <v>1993</v>
      </c>
      <c r="J9" s="26">
        <v>7889300</v>
      </c>
    </row>
    <row r="10" spans="1:13" x14ac:dyDescent="0.2">
      <c r="A10" s="25" t="s">
        <v>1984</v>
      </c>
      <c r="B10" s="26">
        <v>17022100</v>
      </c>
      <c r="C10" s="26">
        <v>15696100</v>
      </c>
      <c r="D10" s="26">
        <v>18685500</v>
      </c>
      <c r="E10" s="26">
        <v>16764500</v>
      </c>
      <c r="F10" s="26">
        <v>15420200</v>
      </c>
      <c r="G10" s="26">
        <v>83588400</v>
      </c>
      <c r="I10" s="25" t="s">
        <v>1994</v>
      </c>
      <c r="J10" s="26">
        <v>7112100</v>
      </c>
    </row>
    <row r="11" spans="1:13" x14ac:dyDescent="0.2">
      <c r="I11" s="25" t="s">
        <v>1995</v>
      </c>
      <c r="J11" s="26">
        <v>5819500</v>
      </c>
    </row>
    <row r="12" spans="1:13" x14ac:dyDescent="0.2">
      <c r="I12" s="25" t="s">
        <v>1996</v>
      </c>
      <c r="J12" s="26">
        <v>8418500</v>
      </c>
    </row>
    <row r="13" spans="1:13" x14ac:dyDescent="0.2">
      <c r="A13" s="48" t="s">
        <v>2003</v>
      </c>
      <c r="B13" s="48"/>
      <c r="I13" s="25" t="s">
        <v>1997</v>
      </c>
      <c r="J13" s="26">
        <v>7933000</v>
      </c>
    </row>
    <row r="14" spans="1:13" x14ac:dyDescent="0.2">
      <c r="A14" s="24" t="s">
        <v>1983</v>
      </c>
      <c r="B14" t="s">
        <v>1985</v>
      </c>
      <c r="D14" s="48" t="s">
        <v>2004</v>
      </c>
      <c r="E14" s="48"/>
      <c r="I14" s="25" t="s">
        <v>1998</v>
      </c>
      <c r="J14" s="26">
        <v>12702400</v>
      </c>
    </row>
    <row r="15" spans="1:13" x14ac:dyDescent="0.2">
      <c r="A15" s="25" t="s">
        <v>37</v>
      </c>
      <c r="B15" s="30">
        <v>0.18017452182360233</v>
      </c>
      <c r="D15" s="24" t="s">
        <v>1983</v>
      </c>
      <c r="E15" t="s">
        <v>1985</v>
      </c>
      <c r="I15" s="25" t="s">
        <v>1989</v>
      </c>
      <c r="J15" s="26">
        <v>8566100</v>
      </c>
    </row>
    <row r="16" spans="1:13" x14ac:dyDescent="0.2">
      <c r="A16" s="25" t="s">
        <v>50</v>
      </c>
      <c r="B16" s="30">
        <v>0.17078924826889855</v>
      </c>
      <c r="D16" s="25" t="s">
        <v>63</v>
      </c>
      <c r="E16" s="26">
        <v>18685500</v>
      </c>
      <c r="I16" s="25" t="s">
        <v>1987</v>
      </c>
      <c r="J16" s="26">
        <v>3792100</v>
      </c>
    </row>
    <row r="17" spans="1:10" x14ac:dyDescent="0.2">
      <c r="A17" s="25" t="s">
        <v>88</v>
      </c>
      <c r="B17" s="30">
        <v>0.14772025783481918</v>
      </c>
      <c r="D17" s="25" t="s">
        <v>55</v>
      </c>
      <c r="E17" s="26">
        <v>17022100</v>
      </c>
      <c r="I17" s="25" t="s">
        <v>1988</v>
      </c>
      <c r="J17" s="26">
        <v>3544200</v>
      </c>
    </row>
    <row r="18" spans="1:10" x14ac:dyDescent="0.2">
      <c r="A18" s="25" t="s">
        <v>78</v>
      </c>
      <c r="B18" s="30">
        <v>0.14761617640725269</v>
      </c>
      <c r="D18" s="25" t="s">
        <v>92</v>
      </c>
      <c r="E18" s="26">
        <v>16764500</v>
      </c>
      <c r="I18" s="25" t="s">
        <v>1984</v>
      </c>
      <c r="J18" s="26">
        <v>83588400</v>
      </c>
    </row>
    <row r="19" spans="1:10" x14ac:dyDescent="0.2">
      <c r="A19" s="25" t="s">
        <v>106</v>
      </c>
      <c r="B19" s="30">
        <v>0.13294428413511922</v>
      </c>
      <c r="D19" s="25" t="s">
        <v>23</v>
      </c>
      <c r="E19" s="26">
        <v>15696100</v>
      </c>
    </row>
    <row r="20" spans="1:10" x14ac:dyDescent="0.2">
      <c r="A20" s="25" t="s">
        <v>58</v>
      </c>
      <c r="B20" s="30">
        <v>0.11640490785802815</v>
      </c>
      <c r="D20" s="25" t="s">
        <v>34</v>
      </c>
      <c r="E20" s="26">
        <v>15420200</v>
      </c>
    </row>
    <row r="21" spans="1:10" x14ac:dyDescent="0.2">
      <c r="A21" s="25" t="s">
        <v>27</v>
      </c>
      <c r="B21" s="30">
        <v>0.10435060367227988</v>
      </c>
      <c r="D21" s="25" t="s">
        <v>1984</v>
      </c>
      <c r="E21" s="26">
        <v>83588400</v>
      </c>
    </row>
    <row r="22" spans="1:10" x14ac:dyDescent="0.2">
      <c r="A22" s="25" t="s">
        <v>1984</v>
      </c>
      <c r="B22" s="30">
        <v>1</v>
      </c>
      <c r="G22" s="48" t="s">
        <v>2005</v>
      </c>
      <c r="H22" s="48"/>
    </row>
    <row r="23" spans="1:10" x14ac:dyDescent="0.2">
      <c r="G23" s="24" t="s">
        <v>10</v>
      </c>
      <c r="H23" t="s">
        <v>1986</v>
      </c>
    </row>
    <row r="25" spans="1:10" x14ac:dyDescent="0.2">
      <c r="A25" s="31"/>
      <c r="B25" s="19"/>
      <c r="G25" s="24" t="s">
        <v>1983</v>
      </c>
      <c r="H25" t="s">
        <v>1985</v>
      </c>
    </row>
    <row r="26" spans="1:10" x14ac:dyDescent="0.2">
      <c r="A26" s="32"/>
      <c r="B26" s="33"/>
      <c r="G26" s="25" t="s">
        <v>77</v>
      </c>
      <c r="H26" s="26">
        <v>8624400</v>
      </c>
    </row>
    <row r="27" spans="1:10" x14ac:dyDescent="0.2">
      <c r="A27" s="32"/>
      <c r="B27" s="33"/>
      <c r="G27" s="25" t="s">
        <v>95</v>
      </c>
      <c r="H27" s="26">
        <v>8050700</v>
      </c>
    </row>
    <row r="28" spans="1:10" x14ac:dyDescent="0.2">
      <c r="A28" s="32"/>
      <c r="B28" s="33"/>
      <c r="G28" s="25" t="s">
        <v>120</v>
      </c>
      <c r="H28" s="26">
        <v>7586800</v>
      </c>
    </row>
    <row r="29" spans="1:10" x14ac:dyDescent="0.2">
      <c r="A29" s="32"/>
      <c r="B29" s="33"/>
      <c r="G29" s="25" t="s">
        <v>98</v>
      </c>
      <c r="H29" s="26">
        <v>7517500</v>
      </c>
    </row>
    <row r="30" spans="1:10" x14ac:dyDescent="0.2">
      <c r="A30" s="32"/>
      <c r="B30" s="33"/>
      <c r="G30" s="25" t="s">
        <v>41</v>
      </c>
      <c r="H30" s="26">
        <v>7258500</v>
      </c>
    </row>
    <row r="31" spans="1:10" x14ac:dyDescent="0.2">
      <c r="A31" s="32"/>
      <c r="B31" s="33"/>
      <c r="G31" s="25" t="s">
        <v>49</v>
      </c>
      <c r="H31" s="26">
        <v>6868500</v>
      </c>
    </row>
    <row r="32" spans="1:10" x14ac:dyDescent="0.2">
      <c r="A32" s="32"/>
      <c r="B32" s="33"/>
      <c r="G32" s="25" t="s">
        <v>83</v>
      </c>
      <c r="H32" s="26">
        <v>6846400</v>
      </c>
    </row>
    <row r="33" spans="7:8" x14ac:dyDescent="0.2">
      <c r="G33" s="25" t="s">
        <v>69</v>
      </c>
      <c r="H33" s="26">
        <v>6801000</v>
      </c>
    </row>
    <row r="34" spans="7:8" x14ac:dyDescent="0.2">
      <c r="G34" s="25" t="s">
        <v>24</v>
      </c>
      <c r="H34" s="26">
        <v>6418200</v>
      </c>
    </row>
    <row r="35" spans="7:8" x14ac:dyDescent="0.2">
      <c r="G35" s="25" t="s">
        <v>64</v>
      </c>
      <c r="H35" s="26">
        <v>6231200</v>
      </c>
    </row>
    <row r="36" spans="7:8" x14ac:dyDescent="0.2">
      <c r="G36" s="25" t="s">
        <v>56</v>
      </c>
      <c r="H36" s="26">
        <v>5930600</v>
      </c>
    </row>
    <row r="37" spans="7:8" x14ac:dyDescent="0.2">
      <c r="G37" s="25" t="s">
        <v>137</v>
      </c>
      <c r="H37" s="26">
        <v>5454600</v>
      </c>
    </row>
    <row r="38" spans="7:8" x14ac:dyDescent="0.2">
      <c r="G38" s="25" t="s">
        <v>1984</v>
      </c>
      <c r="H38" s="26">
        <v>83588400</v>
      </c>
    </row>
  </sheetData>
  <mergeCells count="6">
    <mergeCell ref="A2:G2"/>
    <mergeCell ref="I2:J2"/>
    <mergeCell ref="L2:M2"/>
    <mergeCell ref="A13:B13"/>
    <mergeCell ref="D14:E14"/>
    <mergeCell ref="G22:H2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D3FF5-CEAB-D44E-8E13-DEF2712F3053}">
  <dimension ref="A1:W44"/>
  <sheetViews>
    <sheetView showGridLines="0" tabSelected="1" zoomScaleNormal="100" workbookViewId="0">
      <selection activeCell="D7" sqref="D7"/>
    </sheetView>
  </sheetViews>
  <sheetFormatPr baseColWidth="10" defaultRowHeight="15" x14ac:dyDescent="0.2"/>
  <cols>
    <col min="3" max="3" width="10.83203125" customWidth="1"/>
    <col min="4" max="4" width="14.5" customWidth="1"/>
  </cols>
  <sheetData>
    <row r="1" spans="1:23" ht="15" customHeight="1" x14ac:dyDescent="0.2">
      <c r="A1" s="38"/>
      <c r="B1" s="38"/>
      <c r="C1" s="38"/>
      <c r="D1" s="38"/>
      <c r="E1" s="38"/>
      <c r="F1" s="38"/>
      <c r="G1" s="38"/>
      <c r="H1" s="38"/>
      <c r="I1" s="38"/>
      <c r="J1" s="38"/>
      <c r="K1" s="38"/>
      <c r="L1" s="38"/>
      <c r="M1" s="38"/>
      <c r="N1" s="38"/>
      <c r="O1" s="38"/>
      <c r="P1" s="38"/>
      <c r="Q1" s="28"/>
      <c r="R1" s="28"/>
      <c r="S1" s="28"/>
      <c r="T1" s="28"/>
      <c r="U1" s="28"/>
      <c r="V1" s="28"/>
    </row>
    <row r="2" spans="1:23" ht="15" customHeight="1" x14ac:dyDescent="0.2">
      <c r="A2" s="38"/>
      <c r="B2" s="38"/>
      <c r="C2" s="38"/>
      <c r="D2" s="38"/>
      <c r="E2" s="38"/>
      <c r="F2" s="38"/>
      <c r="G2" s="38"/>
      <c r="H2" s="38"/>
      <c r="I2" s="38"/>
      <c r="J2" s="38"/>
      <c r="K2" s="38"/>
      <c r="L2" s="38"/>
      <c r="M2" s="38"/>
      <c r="N2" s="38"/>
      <c r="O2" s="38"/>
      <c r="P2" s="38"/>
      <c r="Q2" s="28"/>
      <c r="R2" s="28"/>
      <c r="S2" s="28"/>
      <c r="T2" s="28"/>
      <c r="U2" s="28"/>
      <c r="V2" s="28"/>
    </row>
    <row r="3" spans="1:23" ht="15" customHeight="1" x14ac:dyDescent="0.2">
      <c r="A3" s="39"/>
      <c r="B3" s="39"/>
      <c r="C3" s="39"/>
      <c r="D3" s="39"/>
      <c r="E3" s="39"/>
      <c r="F3" s="39"/>
      <c r="G3" s="39"/>
      <c r="H3" s="39"/>
      <c r="I3" s="39"/>
      <c r="J3" s="39"/>
      <c r="K3" s="39"/>
      <c r="L3" s="39"/>
      <c r="M3" s="39"/>
      <c r="N3" s="39"/>
      <c r="O3" s="39"/>
      <c r="P3" s="39"/>
      <c r="Q3" s="28"/>
      <c r="R3" s="28"/>
      <c r="S3" s="28"/>
      <c r="T3" s="28"/>
      <c r="U3" s="28"/>
      <c r="V3" s="28"/>
    </row>
    <row r="4" spans="1:23" ht="15" customHeight="1" x14ac:dyDescent="0.2">
      <c r="A4" s="39"/>
      <c r="B4" s="39"/>
      <c r="C4" s="39"/>
      <c r="D4" s="39"/>
      <c r="E4" s="39"/>
      <c r="F4" s="39"/>
      <c r="G4" s="39"/>
      <c r="H4" s="39"/>
      <c r="I4" s="39"/>
      <c r="J4" s="39"/>
      <c r="K4" s="39"/>
      <c r="L4" s="39"/>
      <c r="M4" s="39"/>
      <c r="N4" s="39"/>
      <c r="O4" s="39"/>
      <c r="P4" s="39"/>
      <c r="Q4" s="28"/>
      <c r="R4" s="28"/>
      <c r="S4" s="28"/>
      <c r="T4" s="28"/>
      <c r="U4" s="28"/>
      <c r="V4" s="28"/>
    </row>
    <row r="5" spans="1:23" x14ac:dyDescent="0.2">
      <c r="A5" s="28"/>
      <c r="B5" s="28"/>
      <c r="C5" s="28"/>
      <c r="D5" s="28"/>
      <c r="E5" s="28"/>
      <c r="F5" s="28"/>
      <c r="G5" s="28"/>
      <c r="H5" s="28"/>
      <c r="I5" s="28"/>
      <c r="J5" s="28"/>
      <c r="K5" s="28"/>
      <c r="L5" s="28"/>
      <c r="M5" s="28"/>
      <c r="N5" s="28"/>
      <c r="O5" s="28"/>
      <c r="P5" s="28"/>
      <c r="Q5" s="28"/>
      <c r="R5" s="28"/>
      <c r="S5" s="28"/>
      <c r="T5" s="28"/>
      <c r="U5" s="28"/>
      <c r="V5" s="28"/>
    </row>
    <row r="6" spans="1:23" x14ac:dyDescent="0.2">
      <c r="A6" s="28"/>
      <c r="B6" s="28"/>
      <c r="C6" s="28"/>
      <c r="D6" s="28"/>
      <c r="E6" s="28"/>
      <c r="F6" s="28"/>
      <c r="G6" s="28"/>
      <c r="H6" s="28"/>
      <c r="I6" s="28"/>
      <c r="J6" s="28"/>
      <c r="K6" s="28"/>
      <c r="L6" s="28"/>
      <c r="M6" s="28"/>
      <c r="N6" s="28"/>
      <c r="O6" s="28"/>
      <c r="P6" s="28"/>
      <c r="Q6" s="28"/>
      <c r="R6" s="28"/>
      <c r="S6" s="28"/>
      <c r="T6" s="28"/>
      <c r="U6" s="28"/>
      <c r="V6" s="28"/>
    </row>
    <row r="7" spans="1:23" x14ac:dyDescent="0.2">
      <c r="A7" s="28"/>
      <c r="B7" s="28"/>
      <c r="C7" s="28"/>
      <c r="D7" s="28"/>
      <c r="E7" s="28"/>
      <c r="F7" s="29"/>
      <c r="G7" s="28"/>
      <c r="H7" s="28"/>
      <c r="I7" s="28"/>
      <c r="J7" s="28"/>
      <c r="K7" s="28"/>
      <c r="L7" s="28"/>
      <c r="M7" s="28"/>
      <c r="N7" s="28"/>
      <c r="O7" s="28"/>
      <c r="P7" s="28"/>
      <c r="Q7" s="28"/>
      <c r="R7" s="28"/>
      <c r="S7" s="28"/>
      <c r="T7" s="28"/>
      <c r="U7" s="28"/>
      <c r="V7" s="28"/>
    </row>
    <row r="8" spans="1:23" x14ac:dyDescent="0.2">
      <c r="A8" s="28"/>
      <c r="B8" s="28"/>
      <c r="C8" s="28"/>
      <c r="D8" s="28"/>
      <c r="E8" s="28"/>
      <c r="F8" s="28"/>
      <c r="G8" s="28"/>
      <c r="H8" s="28"/>
      <c r="I8" s="28"/>
      <c r="J8" s="28"/>
      <c r="K8" s="28"/>
      <c r="L8" s="28"/>
      <c r="M8" s="28"/>
      <c r="N8" s="28"/>
      <c r="O8" s="28"/>
      <c r="P8" s="28"/>
      <c r="Q8" s="28"/>
      <c r="R8" s="28"/>
      <c r="S8" s="28"/>
      <c r="T8" s="28"/>
      <c r="U8" s="28"/>
      <c r="V8" s="28"/>
    </row>
    <row r="9" spans="1:23" x14ac:dyDescent="0.2">
      <c r="A9" s="28"/>
      <c r="B9" s="28"/>
      <c r="C9" s="28"/>
      <c r="D9" s="28"/>
      <c r="E9" s="28"/>
      <c r="F9" s="28"/>
      <c r="G9" s="28"/>
      <c r="H9" s="28"/>
      <c r="I9" s="28"/>
      <c r="J9" s="28"/>
      <c r="K9" s="28"/>
      <c r="L9" s="28"/>
      <c r="M9" s="28"/>
      <c r="N9" s="28"/>
      <c r="O9" s="28"/>
      <c r="P9" s="28"/>
      <c r="Q9" s="28"/>
      <c r="R9" s="28"/>
      <c r="S9" s="28"/>
      <c r="T9" s="28"/>
      <c r="U9" s="28"/>
      <c r="V9" s="28"/>
    </row>
    <row r="10" spans="1:23" x14ac:dyDescent="0.2">
      <c r="A10" s="28"/>
      <c r="B10" s="28"/>
      <c r="C10" s="28"/>
      <c r="D10" s="28"/>
      <c r="E10" s="28"/>
      <c r="F10" s="28"/>
      <c r="G10" s="28"/>
      <c r="H10" s="28"/>
      <c r="I10" s="28"/>
      <c r="J10" s="28"/>
      <c r="K10" s="28"/>
      <c r="L10" s="28"/>
      <c r="M10" s="28"/>
      <c r="N10" s="28"/>
      <c r="O10" s="28"/>
      <c r="P10" s="28"/>
      <c r="Q10" s="28"/>
      <c r="R10" s="28"/>
      <c r="S10" s="28"/>
      <c r="T10" s="28"/>
      <c r="U10" s="28"/>
      <c r="V10" s="28"/>
    </row>
    <row r="11" spans="1:23" x14ac:dyDescent="0.2">
      <c r="A11" s="28"/>
      <c r="B11" s="28"/>
      <c r="C11" s="28"/>
      <c r="D11" s="28"/>
      <c r="E11" s="28"/>
      <c r="F11" s="28"/>
      <c r="G11" s="28"/>
      <c r="H11" s="28"/>
      <c r="I11" s="28"/>
      <c r="J11" s="28"/>
      <c r="K11" s="28"/>
      <c r="L11" s="28"/>
      <c r="M11" s="28"/>
      <c r="N11" s="28"/>
      <c r="O11" s="28"/>
      <c r="P11" s="28"/>
      <c r="Q11" s="28"/>
      <c r="R11" s="28"/>
      <c r="S11" s="28"/>
      <c r="T11" s="28"/>
      <c r="U11" s="28"/>
      <c r="V11" s="28"/>
    </row>
    <row r="12" spans="1:23" x14ac:dyDescent="0.2">
      <c r="A12" s="28"/>
      <c r="B12" s="28"/>
      <c r="C12" s="28"/>
      <c r="D12" s="28"/>
      <c r="E12" s="28"/>
      <c r="F12" s="28"/>
      <c r="G12" s="28"/>
      <c r="H12" s="28"/>
      <c r="I12" s="28"/>
      <c r="J12" s="28"/>
      <c r="K12" s="28"/>
      <c r="L12" s="28"/>
      <c r="M12" s="28"/>
      <c r="N12" s="28"/>
      <c r="O12" s="28"/>
      <c r="P12" s="28"/>
      <c r="Q12" s="28"/>
      <c r="R12" s="28"/>
      <c r="S12" s="28"/>
      <c r="T12" s="28"/>
      <c r="U12" s="28"/>
      <c r="V12" s="28"/>
    </row>
    <row r="13" spans="1:23" x14ac:dyDescent="0.2">
      <c r="A13" s="28"/>
      <c r="B13" s="28"/>
      <c r="C13" s="28"/>
      <c r="D13" s="28"/>
      <c r="E13" s="28"/>
      <c r="F13" s="28"/>
      <c r="G13" s="28"/>
      <c r="H13" s="28"/>
      <c r="I13" s="28"/>
      <c r="J13" s="28"/>
      <c r="K13" s="28"/>
      <c r="L13" s="28"/>
      <c r="M13" s="28"/>
      <c r="N13" s="28"/>
      <c r="O13" s="28"/>
      <c r="P13" s="28"/>
      <c r="Q13" s="28"/>
      <c r="R13" s="28"/>
      <c r="S13" s="28"/>
      <c r="T13" s="28"/>
      <c r="U13" s="28"/>
      <c r="V13" s="28"/>
    </row>
    <row r="14" spans="1:23" x14ac:dyDescent="0.2">
      <c r="A14" s="28"/>
      <c r="B14" s="28"/>
      <c r="C14" s="28"/>
      <c r="D14" s="28"/>
      <c r="E14" s="28"/>
      <c r="F14" s="28"/>
      <c r="G14" s="28"/>
      <c r="H14" s="38"/>
      <c r="I14" s="38"/>
      <c r="J14" s="38"/>
      <c r="K14" s="38"/>
      <c r="L14" s="38"/>
      <c r="M14" s="38"/>
      <c r="N14" s="38"/>
      <c r="O14" s="38"/>
      <c r="P14" s="38"/>
      <c r="Q14" s="38"/>
      <c r="R14" s="38"/>
      <c r="S14" s="38"/>
      <c r="T14" s="38"/>
      <c r="U14" s="38"/>
      <c r="V14" s="38"/>
      <c r="W14" s="38"/>
    </row>
    <row r="15" spans="1:23" x14ac:dyDescent="0.2">
      <c r="A15" s="28"/>
      <c r="B15" s="28"/>
      <c r="C15" s="28"/>
      <c r="D15" s="28"/>
      <c r="E15" s="29"/>
      <c r="F15" s="28"/>
      <c r="G15" s="28"/>
      <c r="H15" s="38"/>
      <c r="I15" s="38"/>
      <c r="J15" s="38"/>
      <c r="K15" s="38"/>
      <c r="L15" s="38"/>
      <c r="M15" s="38"/>
      <c r="N15" s="38"/>
      <c r="O15" s="38"/>
      <c r="P15" s="38"/>
      <c r="Q15" s="38"/>
      <c r="R15" s="38"/>
      <c r="S15" s="38"/>
      <c r="T15" s="38"/>
      <c r="U15" s="38"/>
      <c r="V15" s="38"/>
      <c r="W15" s="38"/>
    </row>
    <row r="16" spans="1:23" x14ac:dyDescent="0.2">
      <c r="A16" s="28"/>
      <c r="B16" s="28"/>
      <c r="C16" s="28"/>
      <c r="D16" s="28"/>
      <c r="E16" s="28"/>
      <c r="F16" s="28"/>
      <c r="G16" s="28"/>
      <c r="H16" s="28"/>
      <c r="I16" s="28"/>
      <c r="J16" s="28"/>
      <c r="K16" s="28"/>
      <c r="L16" s="28"/>
      <c r="M16" s="28"/>
      <c r="N16" s="28"/>
      <c r="O16" s="28"/>
      <c r="P16" s="28"/>
      <c r="Q16" s="28"/>
      <c r="R16" s="28"/>
      <c r="S16" s="28"/>
      <c r="T16" s="28"/>
      <c r="U16" s="28"/>
      <c r="V16" s="28"/>
    </row>
    <row r="17" spans="1:22" x14ac:dyDescent="0.2">
      <c r="A17" s="28"/>
      <c r="B17" s="28"/>
      <c r="C17" s="28"/>
      <c r="D17" s="28"/>
      <c r="E17" s="28"/>
      <c r="F17" s="28"/>
      <c r="G17" s="28"/>
      <c r="H17" s="28"/>
      <c r="I17" s="28"/>
      <c r="J17" s="28"/>
      <c r="K17" s="28"/>
      <c r="L17" s="28"/>
      <c r="M17" s="28"/>
      <c r="N17" s="28"/>
      <c r="O17" s="28"/>
      <c r="P17" s="28"/>
      <c r="Q17" s="28"/>
      <c r="R17" s="28"/>
      <c r="S17" s="28"/>
      <c r="T17" s="28"/>
      <c r="U17" s="28"/>
      <c r="V17" s="28"/>
    </row>
    <row r="18" spans="1:22" x14ac:dyDescent="0.2">
      <c r="A18" s="28"/>
      <c r="B18" s="28"/>
      <c r="C18" s="28"/>
      <c r="D18" s="28"/>
      <c r="E18" s="28"/>
      <c r="F18" s="28"/>
      <c r="G18" s="39"/>
      <c r="H18" s="39"/>
      <c r="I18" s="39"/>
      <c r="J18" s="39"/>
      <c r="K18" s="39"/>
      <c r="L18" s="39"/>
      <c r="M18" s="39"/>
      <c r="N18" s="39"/>
      <c r="O18" s="39"/>
      <c r="P18" s="39"/>
      <c r="Q18" s="39"/>
      <c r="R18" s="39"/>
      <c r="S18" s="39"/>
      <c r="T18" s="39"/>
      <c r="U18" s="39"/>
      <c r="V18" s="39"/>
    </row>
    <row r="19" spans="1:22" x14ac:dyDescent="0.2">
      <c r="A19" s="28"/>
      <c r="B19" s="28"/>
      <c r="C19" s="28"/>
      <c r="D19" s="28"/>
      <c r="E19" s="28"/>
      <c r="F19" s="28"/>
      <c r="G19" s="39"/>
      <c r="H19" s="39"/>
      <c r="I19" s="39"/>
      <c r="J19" s="39"/>
      <c r="K19" s="39"/>
      <c r="L19" s="39"/>
      <c r="M19" s="39"/>
      <c r="N19" s="39"/>
      <c r="O19" s="39"/>
      <c r="P19" s="39"/>
      <c r="Q19" s="39"/>
      <c r="R19" s="39"/>
      <c r="S19" s="39"/>
      <c r="T19" s="39"/>
      <c r="U19" s="39"/>
      <c r="V19" s="39"/>
    </row>
    <row r="20" spans="1:22" x14ac:dyDescent="0.2">
      <c r="A20" s="28"/>
      <c r="B20" s="28"/>
      <c r="C20" s="28"/>
      <c r="D20" s="28"/>
      <c r="E20" s="28"/>
      <c r="F20" s="28"/>
      <c r="G20" s="28"/>
      <c r="H20" s="28"/>
      <c r="I20" s="28"/>
      <c r="J20" s="28"/>
      <c r="K20" s="28"/>
      <c r="L20" s="28"/>
      <c r="M20" s="28"/>
      <c r="N20" s="28"/>
      <c r="O20" s="28"/>
      <c r="P20" s="28"/>
      <c r="Q20" s="28"/>
      <c r="R20" s="28"/>
      <c r="S20" s="28"/>
      <c r="T20" s="28"/>
      <c r="U20" s="28"/>
      <c r="V20" s="28"/>
    </row>
    <row r="21" spans="1:22" x14ac:dyDescent="0.2">
      <c r="A21" s="28"/>
      <c r="B21" s="28"/>
      <c r="C21" s="28"/>
      <c r="D21" s="28"/>
      <c r="E21" s="28"/>
      <c r="F21" s="28"/>
      <c r="G21" s="28"/>
      <c r="H21" s="28"/>
      <c r="I21" s="28"/>
      <c r="J21" s="28"/>
      <c r="K21" s="28"/>
      <c r="L21" s="28"/>
      <c r="M21" s="28"/>
      <c r="N21" s="28"/>
      <c r="O21" s="28"/>
      <c r="P21" s="28"/>
      <c r="Q21" s="28"/>
      <c r="R21" s="28"/>
      <c r="S21" s="28"/>
      <c r="T21" s="28"/>
      <c r="U21" s="28"/>
      <c r="V21" s="28"/>
    </row>
    <row r="22" spans="1:22" x14ac:dyDescent="0.2">
      <c r="A22" s="28"/>
      <c r="B22" s="28"/>
      <c r="C22" s="28"/>
      <c r="D22" s="28"/>
      <c r="E22" s="28"/>
      <c r="F22" s="28"/>
      <c r="G22" s="28"/>
      <c r="H22" s="28"/>
      <c r="I22" s="28"/>
      <c r="J22" s="28"/>
      <c r="K22" s="28"/>
      <c r="L22" s="28"/>
      <c r="M22" s="28"/>
      <c r="N22" s="28"/>
      <c r="O22" s="28"/>
      <c r="P22" s="28"/>
      <c r="Q22" s="28"/>
      <c r="R22" s="28"/>
      <c r="S22" s="28"/>
      <c r="T22" s="28"/>
      <c r="U22" s="28"/>
      <c r="V22" s="28"/>
    </row>
    <row r="23" spans="1:22" x14ac:dyDescent="0.2">
      <c r="A23" s="28"/>
      <c r="B23" s="28"/>
      <c r="C23" s="28"/>
      <c r="D23" s="28"/>
      <c r="E23" s="28"/>
      <c r="F23" s="28"/>
      <c r="G23" s="28"/>
      <c r="H23" s="28"/>
      <c r="I23" s="28"/>
      <c r="J23" s="28"/>
      <c r="K23" s="28"/>
      <c r="L23" s="28"/>
      <c r="M23" s="28"/>
      <c r="N23" s="28"/>
      <c r="O23" s="28"/>
      <c r="P23" s="28"/>
      <c r="Q23" s="28"/>
      <c r="R23" s="28"/>
      <c r="S23" s="28"/>
      <c r="T23" s="28"/>
      <c r="U23" s="28"/>
      <c r="V23" s="28"/>
    </row>
    <row r="24" spans="1:22" x14ac:dyDescent="0.2">
      <c r="A24" s="28"/>
      <c r="B24" s="28"/>
      <c r="C24" s="28"/>
      <c r="D24" s="28"/>
      <c r="E24" s="28"/>
      <c r="F24" s="28"/>
      <c r="G24" s="28"/>
      <c r="H24" s="28"/>
      <c r="I24" s="28"/>
      <c r="J24" s="28"/>
      <c r="K24" s="28"/>
      <c r="L24" s="28"/>
      <c r="M24" s="28"/>
      <c r="N24" s="28"/>
      <c r="O24" s="28"/>
      <c r="P24" s="28"/>
      <c r="Q24" s="28"/>
      <c r="R24" s="28"/>
      <c r="S24" s="28"/>
      <c r="T24" s="28"/>
      <c r="U24" s="28"/>
      <c r="V24" s="28"/>
    </row>
    <row r="25" spans="1:22" x14ac:dyDescent="0.2">
      <c r="A25" s="28"/>
      <c r="B25" s="28"/>
      <c r="C25" s="28"/>
      <c r="D25" s="28"/>
      <c r="E25" s="28"/>
      <c r="F25" s="28"/>
      <c r="G25" s="28"/>
      <c r="H25" s="28"/>
      <c r="I25" s="28"/>
      <c r="J25" s="28"/>
      <c r="K25" s="28"/>
      <c r="L25" s="28"/>
      <c r="M25" s="28"/>
      <c r="N25" s="28"/>
      <c r="O25" s="28"/>
      <c r="P25" s="28"/>
      <c r="Q25" s="28"/>
      <c r="R25" s="28"/>
      <c r="S25" s="28"/>
      <c r="T25" s="28"/>
      <c r="U25" s="28"/>
      <c r="V25" s="28"/>
    </row>
    <row r="26" spans="1:22" x14ac:dyDescent="0.2">
      <c r="A26" s="28"/>
      <c r="B26" s="28"/>
      <c r="C26" s="28"/>
      <c r="D26" s="28"/>
      <c r="E26" s="28"/>
      <c r="F26" s="28"/>
      <c r="G26" s="28"/>
      <c r="H26" s="28"/>
      <c r="I26" s="28"/>
      <c r="J26" s="28"/>
      <c r="K26" s="28"/>
      <c r="L26" s="28"/>
      <c r="M26" s="28"/>
      <c r="N26" s="28"/>
      <c r="O26" s="28"/>
      <c r="P26" s="28"/>
      <c r="Q26" s="28"/>
      <c r="R26" s="28"/>
      <c r="S26" s="28"/>
      <c r="T26" s="28"/>
      <c r="U26" s="28"/>
      <c r="V26" s="28"/>
    </row>
    <row r="27" spans="1:22" x14ac:dyDescent="0.2">
      <c r="A27" s="28"/>
      <c r="B27" s="28"/>
      <c r="C27" s="28"/>
      <c r="D27" s="28"/>
      <c r="E27" s="28"/>
      <c r="F27" s="28"/>
      <c r="G27" s="28"/>
      <c r="H27" s="28"/>
      <c r="I27" s="28"/>
      <c r="J27" s="28"/>
      <c r="K27" s="28"/>
      <c r="L27" s="28"/>
      <c r="M27" s="28"/>
      <c r="N27" s="28"/>
      <c r="O27" s="28"/>
      <c r="P27" s="28"/>
      <c r="Q27" s="28"/>
      <c r="R27" s="28"/>
      <c r="S27" s="28"/>
      <c r="T27" s="28"/>
      <c r="U27" s="28"/>
      <c r="V27" s="28"/>
    </row>
    <row r="28" spans="1:22" x14ac:dyDescent="0.2">
      <c r="A28" s="28"/>
      <c r="B28" s="28"/>
      <c r="C28" s="28"/>
      <c r="D28" s="28"/>
      <c r="E28" s="28"/>
      <c r="F28" s="28"/>
      <c r="G28" s="28"/>
      <c r="H28" s="28"/>
      <c r="I28" s="28"/>
      <c r="J28" s="28"/>
      <c r="K28" s="28"/>
      <c r="L28" s="28"/>
      <c r="M28" s="28"/>
      <c r="N28" s="28"/>
      <c r="O28" s="28"/>
      <c r="P28" s="28"/>
      <c r="Q28" s="28"/>
      <c r="R28" s="28"/>
      <c r="S28" s="28"/>
      <c r="T28" s="28"/>
      <c r="U28" s="28"/>
      <c r="V28" s="28"/>
    </row>
    <row r="29" spans="1:22" x14ac:dyDescent="0.2">
      <c r="A29" s="28"/>
      <c r="B29" s="28"/>
      <c r="C29" s="28"/>
      <c r="D29" s="28"/>
      <c r="E29" s="28"/>
      <c r="F29" s="28"/>
      <c r="G29" s="28"/>
      <c r="H29" s="28"/>
      <c r="I29" s="28"/>
      <c r="J29" s="28"/>
      <c r="K29" s="28"/>
      <c r="L29" s="28"/>
      <c r="M29" s="28"/>
      <c r="N29" s="28"/>
      <c r="O29" s="28"/>
      <c r="P29" s="28"/>
      <c r="Q29" s="28"/>
      <c r="R29" s="28"/>
      <c r="S29" s="28"/>
      <c r="T29" s="28"/>
      <c r="U29" s="28"/>
      <c r="V29" s="28"/>
    </row>
    <row r="30" spans="1:22" x14ac:dyDescent="0.2">
      <c r="A30" s="28"/>
      <c r="B30" s="28"/>
      <c r="C30" s="28"/>
      <c r="D30" s="28"/>
      <c r="E30" s="28"/>
      <c r="F30" s="28"/>
      <c r="G30" s="28"/>
      <c r="H30" s="28"/>
      <c r="I30" s="28"/>
      <c r="J30" s="28"/>
      <c r="K30" s="28"/>
      <c r="L30" s="28"/>
      <c r="M30" s="28"/>
      <c r="N30" s="28"/>
      <c r="O30" s="28"/>
      <c r="P30" s="28"/>
      <c r="Q30" s="28"/>
      <c r="R30" s="28"/>
      <c r="S30" s="28"/>
      <c r="T30" s="28"/>
      <c r="U30" s="28"/>
      <c r="V30" s="28"/>
    </row>
    <row r="31" spans="1:22" x14ac:dyDescent="0.2">
      <c r="A31" s="28"/>
      <c r="B31" s="28"/>
      <c r="C31" s="28"/>
      <c r="D31" s="28"/>
      <c r="E31" s="28"/>
      <c r="F31" s="28"/>
      <c r="G31" s="28"/>
      <c r="H31" s="28"/>
      <c r="I31" s="28"/>
      <c r="J31" s="28"/>
      <c r="K31" s="28"/>
      <c r="L31" s="28"/>
      <c r="M31" s="28"/>
      <c r="N31" s="28"/>
      <c r="O31" s="28"/>
      <c r="P31" s="28"/>
      <c r="Q31" s="28"/>
      <c r="R31" s="28"/>
      <c r="S31" s="28"/>
      <c r="T31" s="28"/>
      <c r="U31" s="28"/>
      <c r="V31" s="28"/>
    </row>
    <row r="32" spans="1:22" x14ac:dyDescent="0.2">
      <c r="A32" s="28"/>
      <c r="B32" s="28"/>
      <c r="C32" s="28"/>
      <c r="D32" s="28"/>
      <c r="E32" s="28"/>
      <c r="F32" s="28"/>
      <c r="G32" s="28"/>
      <c r="H32" s="28"/>
      <c r="I32" s="28"/>
      <c r="J32" s="28"/>
      <c r="K32" s="28"/>
      <c r="L32" s="28"/>
      <c r="M32" s="28"/>
      <c r="N32" s="28"/>
      <c r="O32" s="28"/>
      <c r="P32" s="28"/>
      <c r="Q32" s="28"/>
      <c r="R32" s="28"/>
      <c r="S32" s="28"/>
      <c r="T32" s="28"/>
      <c r="U32" s="28"/>
      <c r="V32" s="28"/>
    </row>
    <row r="33" spans="1:22" x14ac:dyDescent="0.2">
      <c r="A33" s="28"/>
      <c r="B33" s="28"/>
      <c r="C33" s="28"/>
      <c r="D33" s="28"/>
      <c r="E33" s="28"/>
      <c r="F33" s="28"/>
      <c r="G33" s="28"/>
      <c r="H33" s="28"/>
      <c r="I33" s="28"/>
      <c r="J33" s="28"/>
      <c r="K33" s="28"/>
      <c r="L33" s="28"/>
      <c r="M33" s="28"/>
      <c r="N33" s="28"/>
      <c r="O33" s="28"/>
      <c r="P33" s="28"/>
      <c r="Q33" s="28"/>
      <c r="R33" s="28"/>
      <c r="S33" s="28"/>
      <c r="T33" s="28"/>
      <c r="U33" s="28"/>
      <c r="V33" s="28"/>
    </row>
    <row r="34" spans="1:22" x14ac:dyDescent="0.2">
      <c r="A34" s="28"/>
      <c r="B34" s="28"/>
      <c r="C34" s="28"/>
      <c r="D34" s="28"/>
      <c r="E34" s="28"/>
      <c r="F34" s="28"/>
      <c r="G34" s="28"/>
      <c r="H34" s="28"/>
      <c r="I34" s="28"/>
      <c r="J34" s="28"/>
      <c r="K34" s="28"/>
      <c r="L34" s="28"/>
      <c r="M34" s="28"/>
      <c r="N34" s="28"/>
      <c r="O34" s="28"/>
      <c r="P34" s="28"/>
      <c r="Q34" s="28"/>
      <c r="R34" s="28"/>
      <c r="S34" s="28"/>
      <c r="T34" s="28"/>
      <c r="U34" s="28"/>
      <c r="V34" s="28"/>
    </row>
    <row r="35" spans="1:22" x14ac:dyDescent="0.2">
      <c r="A35" s="28"/>
      <c r="B35" s="28"/>
      <c r="C35" s="28"/>
      <c r="D35" s="28"/>
      <c r="E35" s="28"/>
      <c r="F35" s="28"/>
      <c r="G35" s="28"/>
      <c r="H35" s="28"/>
      <c r="I35" s="28"/>
      <c r="J35" s="28"/>
      <c r="K35" s="28"/>
      <c r="L35" s="28"/>
      <c r="M35" s="28"/>
      <c r="N35" s="28"/>
      <c r="O35" s="28"/>
      <c r="P35" s="28"/>
      <c r="Q35" s="28"/>
      <c r="R35" s="28"/>
      <c r="S35" s="28"/>
      <c r="T35" s="28"/>
      <c r="U35" s="28"/>
      <c r="V35" s="28"/>
    </row>
    <row r="36" spans="1:22" x14ac:dyDescent="0.2">
      <c r="A36" s="28"/>
      <c r="B36" s="28"/>
      <c r="C36" s="28"/>
      <c r="D36" s="28"/>
      <c r="E36" s="28"/>
      <c r="F36" s="28"/>
      <c r="G36" s="28"/>
      <c r="H36" s="28"/>
      <c r="I36" s="28"/>
      <c r="J36" s="28"/>
      <c r="K36" s="28"/>
      <c r="L36" s="28"/>
      <c r="M36" s="28"/>
      <c r="N36" s="28"/>
      <c r="O36" s="28"/>
      <c r="P36" s="28"/>
      <c r="Q36" s="28"/>
      <c r="R36" s="28"/>
      <c r="S36" s="28"/>
      <c r="T36" s="28"/>
      <c r="U36" s="28"/>
      <c r="V36" s="28"/>
    </row>
    <row r="37" spans="1:22" x14ac:dyDescent="0.2">
      <c r="A37" s="28"/>
      <c r="B37" s="28"/>
      <c r="C37" s="28"/>
      <c r="D37" s="28"/>
      <c r="E37" s="28"/>
      <c r="F37" s="28"/>
      <c r="G37" s="28"/>
      <c r="H37" s="28"/>
      <c r="I37" s="28"/>
      <c r="J37" s="28"/>
      <c r="K37" s="28"/>
      <c r="L37" s="28"/>
      <c r="M37" s="28"/>
      <c r="N37" s="28"/>
      <c r="O37" s="28"/>
      <c r="P37" s="28"/>
      <c r="Q37" s="28"/>
      <c r="R37" s="28"/>
      <c r="S37" s="28"/>
      <c r="T37" s="28"/>
      <c r="U37" s="28"/>
      <c r="V37" s="28"/>
    </row>
    <row r="38" spans="1:22" x14ac:dyDescent="0.2">
      <c r="A38" s="28"/>
      <c r="B38" s="28"/>
      <c r="C38" s="28"/>
      <c r="D38" s="28"/>
      <c r="E38" s="28"/>
      <c r="F38" s="28"/>
      <c r="G38" s="28"/>
      <c r="H38" s="28"/>
      <c r="I38" s="28"/>
      <c r="J38" s="28"/>
      <c r="K38" s="28"/>
      <c r="L38" s="28"/>
      <c r="M38" s="28"/>
      <c r="N38" s="28"/>
      <c r="O38" s="28"/>
      <c r="P38" s="28"/>
      <c r="Q38" s="28"/>
      <c r="R38" s="28"/>
      <c r="S38" s="28"/>
      <c r="T38" s="28"/>
      <c r="U38" s="28"/>
      <c r="V38" s="28"/>
    </row>
    <row r="39" spans="1:22" x14ac:dyDescent="0.2">
      <c r="A39" s="28"/>
      <c r="B39" s="28"/>
      <c r="C39" s="28"/>
      <c r="D39" s="28"/>
      <c r="E39" s="28"/>
      <c r="F39" s="28"/>
      <c r="G39" s="28"/>
      <c r="H39" s="28"/>
      <c r="I39" s="28"/>
      <c r="J39" s="28"/>
      <c r="K39" s="28"/>
      <c r="L39" s="28"/>
      <c r="M39" s="28"/>
      <c r="N39" s="28"/>
      <c r="O39" s="28"/>
      <c r="P39" s="28"/>
      <c r="Q39" s="28"/>
      <c r="R39" s="28"/>
      <c r="S39" s="28"/>
      <c r="T39" s="28"/>
      <c r="U39" s="28"/>
      <c r="V39" s="28"/>
    </row>
    <row r="40" spans="1:22" x14ac:dyDescent="0.2">
      <c r="A40" s="28"/>
      <c r="B40" s="28"/>
      <c r="C40" s="28"/>
      <c r="D40" s="28"/>
      <c r="E40" s="28"/>
      <c r="F40" s="28"/>
      <c r="G40" s="28"/>
      <c r="H40" s="28"/>
      <c r="I40" s="28"/>
      <c r="J40" s="28"/>
      <c r="K40" s="28"/>
      <c r="L40" s="28"/>
      <c r="M40" s="28"/>
      <c r="N40" s="28"/>
      <c r="O40" s="28"/>
      <c r="P40" s="28"/>
      <c r="Q40" s="28"/>
      <c r="R40" s="28"/>
      <c r="S40" s="28"/>
      <c r="T40" s="28"/>
      <c r="U40" s="28"/>
      <c r="V40" s="28"/>
    </row>
    <row r="41" spans="1:22" x14ac:dyDescent="0.2">
      <c r="A41" s="28"/>
      <c r="B41" s="28"/>
      <c r="C41" s="28"/>
      <c r="D41" s="28"/>
      <c r="E41" s="28"/>
      <c r="F41" s="28"/>
      <c r="G41" s="28"/>
      <c r="H41" s="28"/>
      <c r="I41" s="28"/>
      <c r="J41" s="28"/>
      <c r="K41" s="28"/>
      <c r="L41" s="28"/>
      <c r="M41" s="28"/>
      <c r="N41" s="28"/>
      <c r="O41" s="28"/>
      <c r="P41" s="28"/>
      <c r="Q41" s="28"/>
      <c r="R41" s="28"/>
      <c r="S41" s="28"/>
      <c r="T41" s="28"/>
      <c r="U41" s="28"/>
      <c r="V41" s="28"/>
    </row>
    <row r="42" spans="1:22" x14ac:dyDescent="0.2">
      <c r="A42" s="28"/>
      <c r="B42" s="28"/>
      <c r="C42" s="28"/>
      <c r="D42" s="28"/>
      <c r="E42" s="28"/>
      <c r="F42" s="28"/>
      <c r="G42" s="28"/>
      <c r="H42" s="28"/>
      <c r="I42" s="28"/>
      <c r="J42" s="28"/>
      <c r="K42" s="28"/>
      <c r="L42" s="28"/>
      <c r="M42" s="28"/>
      <c r="N42" s="28"/>
      <c r="O42" s="28"/>
      <c r="P42" s="28"/>
      <c r="Q42" s="28"/>
      <c r="R42" s="28"/>
      <c r="S42" s="28"/>
      <c r="T42" s="28"/>
      <c r="U42" s="28"/>
      <c r="V42" s="28"/>
    </row>
    <row r="43" spans="1:22" x14ac:dyDescent="0.2">
      <c r="A43" s="28"/>
      <c r="B43" s="28"/>
      <c r="C43" s="28"/>
      <c r="D43" s="28"/>
      <c r="E43" s="28"/>
      <c r="F43" s="28"/>
      <c r="G43" s="28"/>
      <c r="H43" s="28"/>
      <c r="I43" s="28"/>
      <c r="J43" s="28"/>
      <c r="K43" s="28"/>
      <c r="L43" s="28"/>
      <c r="M43" s="28"/>
      <c r="N43" s="28"/>
      <c r="O43" s="28"/>
      <c r="P43" s="28"/>
      <c r="Q43" s="28"/>
      <c r="R43" s="28"/>
      <c r="S43" s="28"/>
      <c r="T43" s="28"/>
      <c r="U43" s="28"/>
      <c r="V43" s="28"/>
    </row>
    <row r="44" spans="1:22" x14ac:dyDescent="0.2">
      <c r="A44" s="28"/>
      <c r="B44" s="28"/>
      <c r="C44" s="28"/>
      <c r="D44" s="28"/>
      <c r="E44" s="28"/>
      <c r="F44" s="28"/>
      <c r="G44" s="28"/>
      <c r="H44" s="28"/>
      <c r="I44" s="28"/>
      <c r="J44" s="28"/>
      <c r="K44" s="28"/>
      <c r="L44" s="28"/>
      <c r="M44" s="28"/>
      <c r="N44" s="28"/>
      <c r="O44" s="28"/>
      <c r="P44" s="28"/>
      <c r="Q44" s="28"/>
      <c r="R44" s="28"/>
      <c r="S44" s="28"/>
      <c r="T44" s="28"/>
      <c r="U44" s="28"/>
      <c r="V44" s="28"/>
    </row>
  </sheetData>
  <mergeCells count="4">
    <mergeCell ref="A1:P2"/>
    <mergeCell ref="A3:P4"/>
    <mergeCell ref="G18:V19"/>
    <mergeCell ref="H14:W15"/>
  </mergeCells>
  <pageMargins left="0.7" right="0.7" top="0.75" bottom="0.75" header="0.3" footer="0.3"/>
  <pageSetup paperSize="9" orientation="portrait" horizontalDpi="0" verticalDpi="0"/>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D9CD9A3-EFE2-464B-BCFE-D6437DF5CAD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Deals_Raw</vt:lpstr>
      <vt:lpstr>Rep_Targets</vt:lpstr>
      <vt:lpstr>Clean_Deals</vt:lpstr>
      <vt:lpstr>Cleaned_Rep_Targets</vt:lpstr>
      <vt:lpstr>Executive KPI</vt:lpstr>
      <vt:lpstr>Reports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at9062t</cp:lastModifiedBy>
  <dcterms:created xsi:type="dcterms:W3CDTF">2026-09-12T20:08:46Z</dcterms:created>
  <dcterms:modified xsi:type="dcterms:W3CDTF">2026-09-14T18:58:46Z</dcterms:modified>
</cp:coreProperties>
</file>